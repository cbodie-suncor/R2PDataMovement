
<file path=[Content_Types].xml><?xml version="1.0" encoding="utf-8"?>
<Types xmlns="http://schemas.openxmlformats.org/package/2006/content-types">
  <Default Extension="vml" ContentType="application/vnd.openxmlformats-officedocument.vmlDrawing"/>
  <Default Extension="emf" ContentType="image/x-e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3040" windowHeight="8892" firstSheet="9" activeTab="9"/>
  </bookViews>
  <sheets>
    <sheet name="Phd Host" sheetId="1" state="hidden" r:id="rId1"/>
    <sheet name="ODBC_Module" sheetId="2" state="veryHidden" r:id=""/>
    <sheet name="PHD_Core" sheetId="3" state="veryHidden" r:id=""/>
    <sheet name="DwayTagList" sheetId="4" state="hidden" r:id="rId2"/>
    <sheet name="Auto_Module" sheetId="5" state="veryHidden" r:id=""/>
    <sheet name="Scratch" sheetId="6" state="hidden" r:id="rId3"/>
    <sheet name="ODBC_Globals" sheetId="7" state="veryHidden" r:id=""/>
    <sheet name="Convert_Module" sheetId="8" state="veryHidden" r:id=""/>
    <sheet name="Convert_Dialog" sheetId="9" state="hidden" r:id="rId4"/>
    <sheet name="Production" sheetId="21" r:id="rId5"/>
    <sheet name="Happy Path" sheetId="25" r:id="rId6"/>
    <sheet name="Sheet5" sheetId="27" r:id="rId7"/>
    <sheet name="Transformation Logic" sheetId="22" r:id="rId8"/>
    <sheet name="Sheet2" sheetId="24" r:id="rId9"/>
    <sheet name="Sheet1" sheetId="23" r:id="rId10"/>
    <sheet name="Extract Data" sheetId="10" r:id="rId11"/>
    <sheet name="Sheet4" sheetId="26" r:id="rId12"/>
    <sheet name="Data Sheet" sheetId="11" r:id="rId13"/>
    <sheet name="Tag List" sheetId="12" state="hidden" r:id="rId14"/>
    <sheet name="TagList_Module" sheetId="13" state="veryHidden" r:id=""/>
    <sheet name="Phd Login" sheetId="14" state="hidden" r:id="rId15"/>
    <sheet name="Taglist" sheetId="15" state="hidden" r:id="rId16"/>
    <sheet name="Fall Time Change Data" sheetId="16" r:id="rId17"/>
    <sheet name="Spring Time Change Data" sheetId="17" r:id="rId18"/>
    <sheet name="Tk58" sheetId="19" state="hidden" r:id="rId19"/>
    <sheet name="Var Rpt" sheetId="20" state="hidden" r:id="rId20"/>
  </sheets>
  <externalReferences>
    <externalReference r:id="rId21"/>
  </externalReferences>
  <definedNames>
    <definedName name="_xlnm._FilterDatabase" localSheetId="17" hidden="1">'Data Sheet'!$A$18:$X$57</definedName>
    <definedName name="_xlnm._FilterDatabase" localSheetId="9" hidden="1">Production!$A$18:$E$57</definedName>
    <definedName name="FindButton_Click" localSheetId="22">'Fall Time Change Data'!FindButton_Click</definedName>
    <definedName name="FindButton_Click" localSheetId="9">#N/A</definedName>
    <definedName name="FindButton_Click" localSheetId="23">'Spring Time Change Data'!FindButton_Click</definedName>
    <definedName name="FindButton_Click">'Spring Time Change Data'!FindButton_Click</definedName>
    <definedName name="FindNextButton_Click" localSheetId="22">'Fall Time Change Data'!FindNextButton_Click</definedName>
    <definedName name="FindNextButton_Click" localSheetId="9">#N/A</definedName>
    <definedName name="FindNextButton_Click" localSheetId="23">'Spring Time Change Data'!FindNextButton_Click</definedName>
    <definedName name="FindNextButton_Click">'Spring Time Change Data'!FindNextButton_Click</definedName>
    <definedName name="LOV_TagnameList" localSheetId="18">Taglist!$A$2:$B$4</definedName>
    <definedName name="LOV_TagnameList">Taglist!$A$2:$B$4</definedName>
    <definedName name="NewTagListButton_Click" localSheetId="22">'Fall Time Change Data'!NewTagListButton_Click</definedName>
    <definedName name="NewTagListButton_Click" localSheetId="9">#N/A</definedName>
    <definedName name="NewTagListButton_Click" localSheetId="23">'Spring Time Change Data'!NewTagListButton_Click</definedName>
    <definedName name="NewTagListButton_Click">'Spring Time Change Data'!NewTagListButton_Click</definedName>
    <definedName name="_xlnm.Print_Area" localSheetId="17">'Data Sheet'!$B$17:$E$53</definedName>
    <definedName name="_xlnm.Print_Area" localSheetId="22">'Fall Time Change Data'!$A$2:$I$21</definedName>
    <definedName name="_xlnm.Print_Area" localSheetId="9">Production!$B$17:$B$53</definedName>
    <definedName name="_xlnm.Print_Area" localSheetId="23">'Spring Time Change Data'!$A$5:$I$22</definedName>
    <definedName name="TagFindBox_Change" localSheetId="22">'Fall Time Change Data'!TagFindBox_Change</definedName>
    <definedName name="TagFindBox_Change" localSheetId="9">#N/A</definedName>
    <definedName name="TagFindBox_Change" localSheetId="23">'Spring Time Change Data'!TagFindBox_Change</definedName>
    <definedName name="TagFindBox_Change">'Spring Time Change Data'!TagFindBox_Change</definedName>
    <definedName name="TagListBox_Change" localSheetId="22">'Fall Time Change Data'!TagListBox_Change</definedName>
    <definedName name="TagListBox_Change" localSheetId="9">#N/A</definedName>
    <definedName name="TagListBox_Change" localSheetId="23">'Spring Time Change Data'!TagListBox_Change</definedName>
    <definedName name="TagListBox_Change">'Spring Time Change Data'!TagListBox_Change</definedName>
    <definedName name="TagnameList" localSheetId="22">[1]Taglist!$A$2:$B$21</definedName>
    <definedName name="TagnameList" localSheetId="23">[1]Taglist!$A$2:$B$21</definedName>
    <definedName name="TagnameList">Taglist!$A$2:$B$21</definedName>
    <definedName name="UNI_AA_VERSION" hidden="1">"322.4.0"</definedName>
    <definedName name="UNI_FILT_OFFSPEC" hidden="1">2</definedName>
    <definedName name="UNI_FILT_ONSPEC" hidden="1">1</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Z_031350E9_2A5A_48A9_8BCD_85E50999C522_.wvu.Cols" localSheetId="17" hidden="1">'Data Sheet'!$A:$A</definedName>
    <definedName name="Z_031350E9_2A5A_48A9_8BCD_85E50999C522_.wvu.Cols" localSheetId="9" hidden="1">Production!$A:$A</definedName>
    <definedName name="Z_031350E9_2A5A_48A9_8BCD_85E50999C522_.wvu.FilterData" localSheetId="17" hidden="1">'Data Sheet'!$A$18:$X$57</definedName>
    <definedName name="Z_031350E9_2A5A_48A9_8BCD_85E50999C522_.wvu.FilterData" localSheetId="9" hidden="1">Production!$A$18:$E$57</definedName>
    <definedName name="Z_031350E9_2A5A_48A9_8BCD_85E50999C522_.wvu.PrintArea" localSheetId="17" hidden="1">'Data Sheet'!$B$17:$E$53</definedName>
    <definedName name="Z_031350E9_2A5A_48A9_8BCD_85E50999C522_.wvu.PrintArea" localSheetId="22" hidden="1">'Fall Time Change Data'!$A$2:$I$21</definedName>
    <definedName name="Z_031350E9_2A5A_48A9_8BCD_85E50999C522_.wvu.PrintArea" localSheetId="9" hidden="1">Production!$B$17:$B$53</definedName>
    <definedName name="Z_031350E9_2A5A_48A9_8BCD_85E50999C522_.wvu.PrintArea" localSheetId="23" hidden="1">'Spring Time Change Data'!$A$5:$I$22</definedName>
    <definedName name="Z_031350E9_2A5A_48A9_8BCD_85E50999C522_.wvu.Rows" localSheetId="17" hidden="1">'Data Sheet'!$1:$1</definedName>
    <definedName name="Z_031350E9_2A5A_48A9_8BCD_85E50999C522_.wvu.Rows" localSheetId="9" hidden="1">Production!$1:$1</definedName>
    <definedName name="Z_3590B4C8_3408_4C22_A182_96D6E61B41FC_.wvu.Cols" localSheetId="17" hidden="1">'Data Sheet'!$A:$A</definedName>
    <definedName name="Z_3590B4C8_3408_4C22_A182_96D6E61B41FC_.wvu.Cols" localSheetId="9" hidden="1">Production!$A:$A</definedName>
    <definedName name="Z_3590B4C8_3408_4C22_A182_96D6E61B41FC_.wvu.FilterData" localSheetId="17" hidden="1">'Data Sheet'!$A$18:$X$57</definedName>
    <definedName name="Z_3590B4C8_3408_4C22_A182_96D6E61B41FC_.wvu.FilterData" localSheetId="9" hidden="1">Production!$A$18:$E$57</definedName>
    <definedName name="Z_3590B4C8_3408_4C22_A182_96D6E61B41FC_.wvu.PrintArea" localSheetId="17" hidden="1">'Data Sheet'!$B$17:$E$53</definedName>
    <definedName name="Z_3590B4C8_3408_4C22_A182_96D6E61B41FC_.wvu.PrintArea" localSheetId="22" hidden="1">'Fall Time Change Data'!$A$2:$I$21</definedName>
    <definedName name="Z_3590B4C8_3408_4C22_A182_96D6E61B41FC_.wvu.PrintArea" localSheetId="9" hidden="1">Production!$B$17:$B$53</definedName>
    <definedName name="Z_3590B4C8_3408_4C22_A182_96D6E61B41FC_.wvu.PrintArea" localSheetId="23" hidden="1">'Spring Time Change Data'!$A$5:$I$22</definedName>
    <definedName name="Z_3590B4C8_3408_4C22_A182_96D6E61B41FC_.wvu.Rows" localSheetId="17" hidden="1">'Data Sheet'!$1:$1</definedName>
    <definedName name="Z_3590B4C8_3408_4C22_A182_96D6E61B41FC_.wvu.Rows" localSheetId="9" hidden="1">Production!$1:$1</definedName>
    <definedName name="Z_8BDDDDA7_D938_494A_80FC_9A81AD854C12_.wvu.Cols" localSheetId="17" hidden="1">'Data Sheet'!$A:$A</definedName>
    <definedName name="Z_8BDDDDA7_D938_494A_80FC_9A81AD854C12_.wvu.Cols" localSheetId="9" hidden="1">Production!$A:$A</definedName>
    <definedName name="Z_8BDDDDA7_D938_494A_80FC_9A81AD854C12_.wvu.FilterData" localSheetId="17" hidden="1">'Data Sheet'!$A$18:$X$57</definedName>
    <definedName name="Z_8BDDDDA7_D938_494A_80FC_9A81AD854C12_.wvu.FilterData" localSheetId="9" hidden="1">Production!$A$18:$E$57</definedName>
    <definedName name="Z_8BDDDDA7_D938_494A_80FC_9A81AD854C12_.wvu.PrintArea" localSheetId="17" hidden="1">'Data Sheet'!$B$17:$E$53</definedName>
    <definedName name="Z_8BDDDDA7_D938_494A_80FC_9A81AD854C12_.wvu.PrintArea" localSheetId="22" hidden="1">'Fall Time Change Data'!$A$2:$I$21</definedName>
    <definedName name="Z_8BDDDDA7_D938_494A_80FC_9A81AD854C12_.wvu.PrintArea" localSheetId="9" hidden="1">Production!$B$17:$B$53</definedName>
    <definedName name="Z_8BDDDDA7_D938_494A_80FC_9A81AD854C12_.wvu.PrintArea" localSheetId="23" hidden="1">'Spring Time Change Data'!$A$5:$I$22</definedName>
    <definedName name="Z_8BDDDDA7_D938_494A_80FC_9A81AD854C12_.wvu.Rows" localSheetId="17" hidden="1">'Data Sheet'!$1:$1</definedName>
    <definedName name="Z_8BDDDDA7_D938_494A_80FC_9A81AD854C12_.wvu.Rows" localSheetId="9" hidden="1">Production!$1:$1</definedName>
  </definedNames>
  <calcPr calcId="144525"/>
  <customWorkbookViews>
    <customWorkbookView name="Client - Personal View" guid="{3590B4C8-3408-4C22-A182-96D6E61B41FC}" personalView="1" maximized="1" windowWidth="1920" windowHeight="855" activeSheetId="11"/>
    <customWorkbookView name="Vanderveeken, Karla - Personal View" guid="{031350E9-2A5A-48A9-8BCD-85E50999C522}" personalView="1" maximized="1" windowWidth="1920" windowHeight="820" activeSheetId="11"/>
    <customWorkbookView name="Zehnal, Greg - Personal View" guid="{8BDDDDA7-D938-494A-80FC-9A81AD854C12}" personalView="1" maximized="1" windowWidth="1920" windowHeight="815" activeSheetId="11"/>
  </customWorkbookViews>
</workbook>
</file>

<file path=xl/comments1.xml><?xml version="1.0" encoding="utf-8"?>
<comments xmlns="http://schemas.openxmlformats.org/spreadsheetml/2006/main">
  <authors>
    <author>Seth, Micaala</author>
  </authors>
  <commentList>
    <comment ref="G50" authorId="0">
      <text>
        <r>
          <rPr>
            <b/>
            <sz val="8"/>
            <rFont val="Tahoma"/>
            <charset val="134"/>
          </rPr>
          <t>Seth, Micaala:</t>
        </r>
        <r>
          <rPr>
            <sz val="8"/>
            <rFont val="Tahoma"/>
            <charset val="134"/>
          </rPr>
          <t xml:space="preserve">
example from dec 2020 month end</t>
        </r>
      </text>
    </comment>
    <comment ref="H50" authorId="0">
      <text>
        <r>
          <rPr>
            <b/>
            <sz val="8"/>
            <rFont val="Tahoma"/>
            <charset val="134"/>
          </rPr>
          <t>Seth, Micaala:</t>
        </r>
        <r>
          <rPr>
            <sz val="8"/>
            <rFont val="Tahoma"/>
            <charset val="134"/>
          </rPr>
          <t xml:space="preserve">
example from dec 2020 month end</t>
        </r>
      </text>
    </comment>
  </commentList>
</comments>
</file>

<file path=xl/comments2.xml><?xml version="1.0" encoding="utf-8"?>
<comments xmlns="http://schemas.openxmlformats.org/spreadsheetml/2006/main">
  <authors>
    <author>Vanderveeken, Karla</author>
    <author>Client</author>
    <author>Jennifer Chan</author>
    <author>Zehnal, Greg</author>
    <author>Marshall, Adam</author>
    <author>jechan</author>
  </authors>
  <commentList>
    <comment ref="C5" authorId="0">
      <text>
        <r>
          <rPr>
            <b/>
            <i/>
            <sz val="9"/>
            <rFont val="Tahoma"/>
            <charset val="134"/>
          </rPr>
          <t xml:space="preserve">Long Term Contract = 132-420
Aug 8/03 - Evergreen)
Short Term Contract = 
</t>
        </r>
      </text>
    </comment>
    <comment ref="D5" authorId="0">
      <text>
        <r>
          <rPr>
            <sz val="9"/>
            <rFont val="Tahoma"/>
            <charset val="134"/>
          </rPr>
          <t>Vanderveeken, Karla:</t>
        </r>
        <r>
          <rPr>
            <b/>
            <i/>
            <sz val="9"/>
            <rFont val="Tahoma"/>
            <charset val="134"/>
          </rPr>
          <t xml:space="preserve">
Long Term Contract = 132-420
Aug 8/03 - Evergreen)
Short Term Contract = </t>
        </r>
      </text>
    </comment>
    <comment ref="E5" authorId="0">
      <text>
        <r>
          <rPr>
            <sz val="9"/>
            <rFont val="Tahoma"/>
            <charset val="134"/>
          </rPr>
          <t>Vanderveeken, Karla:</t>
        </r>
        <r>
          <rPr>
            <b/>
            <i/>
            <sz val="9"/>
            <rFont val="Tahoma"/>
            <charset val="134"/>
          </rPr>
          <t xml:space="preserve">
Long Term Contract = 132-420
Aug 8/03 - Evergreen)
Short Term Contract = </t>
        </r>
      </text>
    </comment>
    <comment ref="G5" authorId="0">
      <text>
        <r>
          <rPr>
            <b/>
            <i/>
            <sz val="9"/>
            <rFont val="Tahoma"/>
            <charset val="134"/>
          </rPr>
          <t xml:space="preserve">Long Term Contract = 132-420
Aug 8/03 - Evergreen)
Short Term Contract = 
</t>
        </r>
      </text>
    </comment>
    <comment ref="N5" authorId="0">
      <text>
        <r>
          <rPr>
            <b/>
            <i/>
            <sz val="9"/>
            <rFont val="Tahoma"/>
            <charset val="134"/>
          </rPr>
          <t xml:space="preserve">Long Term Contract = 192-620A
(Oct 1/14 - Evergreen)
Short Term Contract = 
</t>
        </r>
      </text>
    </comment>
    <comment ref="U5" authorId="1">
      <text>
        <r>
          <rPr>
            <sz val="9"/>
            <rFont val="Tahoma"/>
            <charset val="134"/>
          </rPr>
          <t>Client:</t>
        </r>
        <r>
          <rPr>
            <b/>
            <i/>
            <sz val="9"/>
            <rFont val="Tahoma"/>
            <charset val="134"/>
          </rPr>
          <t xml:space="preserve">
192-847 = 3167.73
192-5002 = 6.184</t>
        </r>
      </text>
    </comment>
    <comment ref="V5" authorId="1">
      <text>
        <r>
          <rPr>
            <b/>
            <sz val="9"/>
            <rFont val="Tahoma"/>
            <charset val="134"/>
          </rPr>
          <t>Client:</t>
        </r>
        <r>
          <rPr>
            <sz val="9"/>
            <rFont val="Tahoma"/>
            <charset val="134"/>
          </rPr>
          <t xml:space="preserve">
192-848
</t>
        </r>
      </text>
    </comment>
    <comment ref="T6" authorId="0">
      <text>
        <r>
          <rPr>
            <sz val="9"/>
            <rFont val="Tahoma"/>
            <charset val="134"/>
          </rPr>
          <t>Vanderveeken, Karla:</t>
        </r>
        <r>
          <rPr>
            <b/>
            <i/>
            <sz val="9"/>
            <rFont val="Tahoma"/>
            <charset val="134"/>
          </rPr>
          <t xml:space="preserve">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V6" authorId="0">
      <text>
        <r>
          <rPr>
            <sz val="9"/>
            <rFont val="Tahoma"/>
            <charset val="134"/>
          </rPr>
          <t>Vanderveeken, Karla:</t>
        </r>
        <r>
          <rPr>
            <b/>
            <i/>
            <sz val="9"/>
            <rFont val="Tahoma"/>
            <charset val="134"/>
          </rPr>
          <t xml:space="preserve">
Client: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M7" authorId="2">
      <text>
        <r>
          <rPr>
            <sz val="9"/>
            <rFont val="Tahoma"/>
            <charset val="134"/>
          </rPr>
          <t>Jennifer Chan:</t>
        </r>
        <r>
          <rPr>
            <b/>
            <sz val="9"/>
            <rFont val="Tahoma"/>
            <charset val="134"/>
          </rPr>
          <t xml:space="preserve">
Vanderveeken, Karla 9:50 AM
Hi Sherry...why do we receive HAGO as VGO?
________________________________
Campbell, Sherry Lyne 9:52 AM
I don't know...I asked Sarnia if they use the different material code and reply was no at Sarnia "Syn Tower Bottoms, HAGO and VGO" are all 100153, whereas at Montreal HAGO would be 100046 and VGO is 100148&lt;==purchase, sale of VGO is probably 100153, etc...
Vanderveeken, Karla 9:52 AM
see i use material number  
102219 
which is actually HAGO
so when it goes on teh net prod it shows up as hago...otherwise it is going to show up as vgo
Campbell, Sherry Lyne 9:54 AM
Talk to Melissa, she is the one that provided me with listing of unfinished product....so this needs to be cleared up...  You and I both need a listing of what the material code would be to purchase and what it is for sales, and it must align with the RO31 report, etc...
</t>
        </r>
      </text>
    </comment>
    <comment ref="X8" authorId="1">
      <text>
        <r>
          <rPr>
            <b/>
            <sz val="9"/>
            <rFont val="Tahoma"/>
            <charset val="134"/>
          </rPr>
          <t>Client:</t>
        </r>
        <r>
          <rPr>
            <sz val="9"/>
            <rFont val="Tahoma"/>
            <charset val="134"/>
          </rPr>
          <t xml:space="preserve">
Because we are buying this from Shell.  Shell won't own it in the end.</t>
        </r>
      </text>
    </comment>
    <comment ref="D15" authorId="0">
      <text>
        <r>
          <rPr>
            <b/>
            <sz val="9"/>
            <rFont val="Tahoma"/>
            <charset val="134"/>
          </rPr>
          <t>Vanderveeken, Karla:</t>
        </r>
        <r>
          <rPr>
            <sz val="9"/>
            <rFont val="Tahoma"/>
            <charset val="134"/>
          </rPr>
          <t xml:space="preserve">
New contract in place to change from BULK to RFNY effecitve Sept 12/17</t>
        </r>
      </text>
    </comment>
    <comment ref="C18" authorId="1">
      <text>
        <r>
          <rPr>
            <b/>
            <sz val="8"/>
            <rFont val="Tahoma"/>
            <charset val="134"/>
          </rPr>
          <t>mseth:</t>
        </r>
        <r>
          <rPr>
            <sz val="8"/>
            <rFont val="Tahoma"/>
            <charset val="134"/>
          </rPr>
          <t xml:space="preserve">
03FI278.PV to check for start of shipment and flush to #2 line displacement</t>
        </r>
      </text>
    </comment>
    <comment ref="G18" authorId="3">
      <text>
        <r>
          <rPr>
            <b/>
            <sz val="9"/>
            <rFont val="Tahoma"/>
            <charset val="134"/>
          </rPr>
          <t>Zehnal, Greg:</t>
        </r>
        <r>
          <rPr>
            <sz val="9"/>
            <rFont val="Tahoma"/>
            <charset val="134"/>
          </rPr>
          <t xml:space="preserve">
125 m3 line fill on each Light Distillate good receipt. 
Per Trevor Brum - Feb 1/16
Karla.  Per discussions with Jeremy, when Shell pumps D1L to Suncor the first 125kL of product is uLSD (linefill) from the last transfer of uLSD that Suncor sent to Shell.  As a result, anytime Shell sends D1L to Suncor, the first 125kL cannot be considered D1L.  We must therefore regrade this first 125kL as uLSD and add it to Shell’s inventory at our Refinery.
Hope that is clear.  
I’ll regroup with Anne tomorrow on this topic
Any questions, please don’t hesitate.
Cheers
Trevor Brum 
Sr. Coordinator, Commercial Arrangements
Suncor Energy Products Inc. 
Telephone 905-804-7503 
Mobile 905-299-6657 
Fax 905-804-4620 
tbrum@suncor.com 
</t>
        </r>
      </text>
    </comment>
    <comment ref="J19" authorId="1">
      <text>
        <r>
          <rPr>
            <sz val="9"/>
            <rFont val="Tahoma"/>
            <charset val="134"/>
          </rPr>
          <t>Client:</t>
        </r>
        <r>
          <rPr>
            <b/>
            <i/>
            <sz val="9"/>
            <rFont val="Tahoma"/>
            <charset val="134"/>
          </rPr>
          <t xml:space="preserve">
Per Lori Benoit - this meter is bidirectional because the tag description states  “DIST TO/FROM NOVA 9FT210”.  It will recorde product being shipped or received from Nova.
</t>
        </r>
      </text>
    </comment>
    <comment ref="G31" authorId="4">
      <text>
        <r>
          <rPr>
            <b/>
            <sz val="11"/>
            <rFont val="Tahoma"/>
            <charset val="134"/>
          </rPr>
          <t>Marshall, Adam:</t>
        </r>
        <r>
          <rPr>
            <sz val="11"/>
            <rFont val="Tahoma"/>
            <charset val="134"/>
          </rPr>
          <t xml:space="preserve">
125m3 flush to ULSD#2</t>
        </r>
      </text>
    </comment>
    <comment ref="G38" authorId="4">
      <text>
        <r>
          <rPr>
            <b/>
            <sz val="11"/>
            <rFont val="Tahoma"/>
            <charset val="134"/>
          </rPr>
          <t>Marshall, Adam:</t>
        </r>
        <r>
          <rPr>
            <sz val="11"/>
            <rFont val="Tahoma"/>
            <charset val="134"/>
          </rPr>
          <t xml:space="preserve">
125m3 flush to ULSD#2</t>
        </r>
      </text>
    </comment>
    <comment ref="G39" authorId="0">
      <text>
        <r>
          <rPr>
            <b/>
            <sz val="11"/>
            <rFont val="Tahoma"/>
            <charset val="134"/>
          </rPr>
          <t>Vanderveeken, Karla:</t>
        </r>
        <r>
          <rPr>
            <sz val="11"/>
            <rFont val="Tahoma"/>
            <charset val="134"/>
          </rPr>
          <t xml:space="preserve">
125m3 flush to ULSD#2</t>
        </r>
      </text>
    </comment>
    <comment ref="G59" authorId="5">
      <text>
        <r>
          <rPr>
            <sz val="9"/>
            <rFont val="Tahoma"/>
            <charset val="134"/>
          </rPr>
          <t>jechan:</t>
        </r>
        <r>
          <rPr>
            <b/>
            <sz val="9"/>
            <rFont val="Tahoma"/>
            <charset val="134"/>
          </rPr>
          <t xml:space="preserve">
Nova calls this Fuel Oil #2 Clear in their ticket</t>
        </r>
      </text>
    </comment>
    <comment ref="M62" authorId="1">
      <text>
        <r>
          <rPr>
            <sz val="9"/>
            <rFont val="Tahoma"/>
            <charset val="134"/>
          </rPr>
          <t>Client:</t>
        </r>
        <r>
          <rPr>
            <b/>
            <i/>
            <sz val="9"/>
            <rFont val="Tahoma"/>
            <charset val="134"/>
          </rPr>
          <t xml:space="preserve">
to convert from m3 to bbls m3/0.1589873</t>
        </r>
      </text>
    </comment>
    <comment ref="R62" authorId="1">
      <text>
        <r>
          <rPr>
            <sz val="9"/>
            <rFont val="Tahoma"/>
            <charset val="134"/>
          </rPr>
          <t>Client:</t>
        </r>
        <r>
          <rPr>
            <b/>
            <i/>
            <sz val="9"/>
            <rFont val="Tahoma"/>
            <charset val="134"/>
          </rPr>
          <t xml:space="preserve">
to convert from m3 to bbls m3/0.1589873</t>
        </r>
      </text>
    </comment>
  </commentList>
</comments>
</file>

<file path=xl/sharedStrings.xml><?xml version="1.0" encoding="utf-8"?>
<sst xmlns="http://schemas.openxmlformats.org/spreadsheetml/2006/main" count="13099" uniqueCount="12052">
  <si>
    <t>03F011</t>
  </si>
  <si>
    <t>TX TO BTX UNIT</t>
  </si>
  <si>
    <t>03FC011.PV</t>
  </si>
  <si>
    <t>03F050</t>
  </si>
  <si>
    <t>FEED FROM TANK 15</t>
  </si>
  <si>
    <t>03FC050.PV</t>
  </si>
  <si>
    <t>03F063A</t>
  </si>
  <si>
    <t>Type 1 Tank - 08wl003</t>
  </si>
  <si>
    <t>03F063A.PV</t>
  </si>
  <si>
    <t>03F097</t>
  </si>
  <si>
    <t>9 WELL TO 7 WELL LINE   M3/D</t>
  </si>
  <si>
    <t>03FC097.PV</t>
  </si>
  <si>
    <t>03F108</t>
  </si>
  <si>
    <t>OFF PLOT TOPLT #1 CRDUE   M3/ DA</t>
  </si>
  <si>
    <t>03FC108.PV</t>
  </si>
  <si>
    <t>03F111A</t>
  </si>
  <si>
    <t>Type 1 Tank - 08wl010</t>
  </si>
  <si>
    <t>03F111A.PV</t>
  </si>
  <si>
    <t>03F111B</t>
  </si>
  <si>
    <t>03F111B.PV</t>
  </si>
  <si>
    <t>03F149</t>
  </si>
  <si>
    <t>SOUR WATER OUT OF 0-3-TK-28</t>
  </si>
  <si>
    <t>03FC149.PV</t>
  </si>
  <si>
    <t>03F150</t>
  </si>
  <si>
    <t>03F150.PV</t>
  </si>
  <si>
    <t>03F165</t>
  </si>
  <si>
    <t>PHEN SUMP - FLW TO 12TK2M3/D</t>
  </si>
  <si>
    <t>03FI165.PV</t>
  </si>
  <si>
    <t>03F181</t>
  </si>
  <si>
    <t>03F181.PV</t>
  </si>
  <si>
    <t>03F182A</t>
  </si>
  <si>
    <t>Type 1 Tank - 08wl004</t>
  </si>
  <si>
    <t>03F182A.PV</t>
  </si>
  <si>
    <t>03F182B</t>
  </si>
  <si>
    <t>03F182B.PV</t>
  </si>
  <si>
    <t>03F183A</t>
  </si>
  <si>
    <t>Type 1 Tank - 08wl005</t>
  </si>
  <si>
    <t>03F183A.PV</t>
  </si>
  <si>
    <t>03F183B</t>
  </si>
  <si>
    <t>03F183B.PV</t>
  </si>
  <si>
    <t>03F184A</t>
  </si>
  <si>
    <t>Type 1 Tank - 08wl007</t>
  </si>
  <si>
    <t>03F184A.PV</t>
  </si>
  <si>
    <t>03F184B</t>
  </si>
  <si>
    <t>03F184B.PV</t>
  </si>
  <si>
    <t>03F185A</t>
  </si>
  <si>
    <t>Type 1 Tank - 08wl008</t>
  </si>
  <si>
    <t>03F185A.PV</t>
  </si>
  <si>
    <t>03F185B</t>
  </si>
  <si>
    <t>03F185B.PV</t>
  </si>
  <si>
    <t>03F186A</t>
  </si>
  <si>
    <t>Type 1 Tank - 08wl009</t>
  </si>
  <si>
    <t>03F186A.PV</t>
  </si>
  <si>
    <t>03F186B</t>
  </si>
  <si>
    <t>03F186B.PV</t>
  </si>
  <si>
    <t>03F188A</t>
  </si>
  <si>
    <t>Type 1 Tank - 08wl013</t>
  </si>
  <si>
    <t>03F188A.PV</t>
  </si>
  <si>
    <t>03F188B</t>
  </si>
  <si>
    <t>03F188B.PV</t>
  </si>
  <si>
    <t>03F189A</t>
  </si>
  <si>
    <t>WELL 14 FLOW RATE IN    M3/H</t>
  </si>
  <si>
    <t>03F189A.PV</t>
  </si>
  <si>
    <t>03F189B</t>
  </si>
  <si>
    <t>WELL 14 FLOW RATE OUT   M3/H</t>
  </si>
  <si>
    <t>03F189B.PV</t>
  </si>
  <si>
    <t>03F189C</t>
  </si>
  <si>
    <t>WELL 14 FLOW TO ALKY    M3/H</t>
  </si>
  <si>
    <t>08WL014.TK_FLOW(5)</t>
  </si>
  <si>
    <t>03F202</t>
  </si>
  <si>
    <t>STADIS TO LSD HEADER    L/H</t>
  </si>
  <si>
    <t>03FC202.PV</t>
  </si>
  <si>
    <t>03F203</t>
  </si>
  <si>
    <t>TOLAD TO LSD HEADER     L/H</t>
  </si>
  <si>
    <t>03FC203.PV</t>
  </si>
  <si>
    <t>03FC01</t>
  </si>
  <si>
    <t>03CF001.CV</t>
  </si>
  <si>
    <t>03FC02</t>
  </si>
  <si>
    <t>03CF002.CV</t>
  </si>
  <si>
    <t>03FC03</t>
  </si>
  <si>
    <t>03CF003.CV</t>
  </si>
  <si>
    <t>03FC05</t>
  </si>
  <si>
    <t>03CF005.CV</t>
  </si>
  <si>
    <t>03FC08</t>
  </si>
  <si>
    <t>03CF008.CV</t>
  </si>
  <si>
    <t>03FC09</t>
  </si>
  <si>
    <t>03CF009.CV</t>
  </si>
  <si>
    <t>03FC10</t>
  </si>
  <si>
    <t>03CF010.CV</t>
  </si>
  <si>
    <t>03FC11</t>
  </si>
  <si>
    <t>03CF011.CV</t>
  </si>
  <si>
    <t>03FC12</t>
  </si>
  <si>
    <t>03CF012.CV</t>
  </si>
  <si>
    <t>03FC13</t>
  </si>
  <si>
    <t>03CF013.CV</t>
  </si>
  <si>
    <t>03FC14</t>
  </si>
  <si>
    <t>03CF014.CV</t>
  </si>
  <si>
    <t>03FC15</t>
  </si>
  <si>
    <t>03CF015.CV</t>
  </si>
  <si>
    <t>03FC16</t>
  </si>
  <si>
    <t>03CF016.CV</t>
  </si>
  <si>
    <t>03FC17</t>
  </si>
  <si>
    <t>03CF017.CV</t>
  </si>
  <si>
    <t>03FC18</t>
  </si>
  <si>
    <t>03CF018.CV</t>
  </si>
  <si>
    <t>03FC19</t>
  </si>
  <si>
    <t>03CF019.CV</t>
  </si>
  <si>
    <t>03FC20</t>
  </si>
  <si>
    <t>03CF020.CV</t>
  </si>
  <si>
    <t>03FC21</t>
  </si>
  <si>
    <t>03CF021.CV</t>
  </si>
  <si>
    <t>03FC22</t>
  </si>
  <si>
    <t>03CF022.CV</t>
  </si>
  <si>
    <t>03FC23</t>
  </si>
  <si>
    <t>03CF023.CV</t>
  </si>
  <si>
    <t>03FC26</t>
  </si>
  <si>
    <t>03cf026.cv</t>
  </si>
  <si>
    <t>03FC27</t>
  </si>
  <si>
    <t>03CF027.CV</t>
  </si>
  <si>
    <t>03FQ032A</t>
  </si>
  <si>
    <t>NOVA COMPONENT LINE IN  M3</t>
  </si>
  <si>
    <t>03FQI032A.PV</t>
  </si>
  <si>
    <t>03FQ032B</t>
  </si>
  <si>
    <t>NOVA COMPONENT LINE OUT M3</t>
  </si>
  <si>
    <t>03FQI032B.PV</t>
  </si>
  <si>
    <t>03FQ063A</t>
  </si>
  <si>
    <t>WELL 3 TO BLEND HEADER TOTAL</t>
  </si>
  <si>
    <t>03FQI063A.PV</t>
  </si>
  <si>
    <t>03FQ080</t>
  </si>
  <si>
    <t>AMOCO CONDENSATE</t>
  </si>
  <si>
    <t>03FQI080.PV</t>
  </si>
  <si>
    <t>03FQ083</t>
  </si>
  <si>
    <t>HEAVY NAPTHA TO NOVA20TKM3</t>
  </si>
  <si>
    <t>03FQI083.PV</t>
  </si>
  <si>
    <t>03FQ084</t>
  </si>
  <si>
    <t>LIGHT NAPTHA TO NOVA    M3</t>
  </si>
  <si>
    <t>03FQI084.PV</t>
  </si>
  <si>
    <t>03FQ090</t>
  </si>
  <si>
    <t>BENZENE TO NOVA         M3</t>
  </si>
  <si>
    <t>03FQI090.PV</t>
  </si>
  <si>
    <t>03FQ100</t>
  </si>
  <si>
    <t>BB FROM BAYER           M3</t>
  </si>
  <si>
    <t>03FQI100.PV</t>
  </si>
  <si>
    <t>03FQ101A</t>
  </si>
  <si>
    <t>AROMATICS IN            M3</t>
  </si>
  <si>
    <t>03FQI101A.PV</t>
  </si>
  <si>
    <t>03FQ101B</t>
  </si>
  <si>
    <t>AROMATICS OUT           M3</t>
  </si>
  <si>
    <t>03FQI101B.PV</t>
  </si>
  <si>
    <t>03FQ111A</t>
  </si>
  <si>
    <t>WELL 10 TOTAL FLOW IN</t>
  </si>
  <si>
    <t>03FQI111A.PV</t>
  </si>
  <si>
    <t>03FQ111B</t>
  </si>
  <si>
    <t>WELL 10 TOTAL FLOW OUT</t>
  </si>
  <si>
    <t>03FQI111B.PV</t>
  </si>
  <si>
    <t>03FQ150</t>
  </si>
  <si>
    <t>BTX PFOH TO WELL 3 TOTAL</t>
  </si>
  <si>
    <t>03FQI150.PV</t>
  </si>
  <si>
    <t>03FQ181</t>
  </si>
  <si>
    <t>C5/C6 WELL 3 TOTAL</t>
  </si>
  <si>
    <t>03FQI181.PV</t>
  </si>
  <si>
    <t>03FQ182A</t>
  </si>
  <si>
    <t>WELL 4 TOTAL FLOW IN</t>
  </si>
  <si>
    <t>03FQI182A.PV</t>
  </si>
  <si>
    <t>03FQ182B</t>
  </si>
  <si>
    <t>WELL 4 TOTAL FLOW OUT</t>
  </si>
  <si>
    <t>03FQI182B.PV</t>
  </si>
  <si>
    <t>03FQ183A</t>
  </si>
  <si>
    <t>WELL 5 TOTAL FLOW IN</t>
  </si>
  <si>
    <t>03FQI183A.PV</t>
  </si>
  <si>
    <t>03FQ183B</t>
  </si>
  <si>
    <t>WELL 5 TOTAL FLOW OUT</t>
  </si>
  <si>
    <t>03FQI183B.PV</t>
  </si>
  <si>
    <t>03FQ184A</t>
  </si>
  <si>
    <t>WELL 7 TOTAL FLOW IN</t>
  </si>
  <si>
    <t>03FQI184A.PV</t>
  </si>
  <si>
    <t>03FQ184B</t>
  </si>
  <si>
    <t>WELL 7 TOTAL FLOW OUT</t>
  </si>
  <si>
    <t>03FQI184B.PV</t>
  </si>
  <si>
    <t>03FQ185A</t>
  </si>
  <si>
    <t>WELL 8 TOTAL FLOW IN</t>
  </si>
  <si>
    <t>03FQI185A.PV</t>
  </si>
  <si>
    <t>03FQ185B</t>
  </si>
  <si>
    <t>WELL 8 TOTAL FLOW OUT</t>
  </si>
  <si>
    <t>03FQI185B.PV</t>
  </si>
  <si>
    <t>03FQ186A</t>
  </si>
  <si>
    <t>WELL 9 TOTAL FLOW IN</t>
  </si>
  <si>
    <t>03FQI186A.PV</t>
  </si>
  <si>
    <t>03FQ186B</t>
  </si>
  <si>
    <t>WELL 9 TOTAL FLOW OUT</t>
  </si>
  <si>
    <t>03FQI186B.PV</t>
  </si>
  <si>
    <t>03FQ188A</t>
  </si>
  <si>
    <t>WELL 13 TOTAL FLOW IN</t>
  </si>
  <si>
    <t>03FQI188A.PV</t>
  </si>
  <si>
    <t>03FQ188B</t>
  </si>
  <si>
    <t>WELL 13 TOTAL FLOW OUT</t>
  </si>
  <si>
    <t>03FQI188B.PV</t>
  </si>
  <si>
    <t>03FQ189A</t>
  </si>
  <si>
    <t>WELL 14 TOTAL FLOW IN</t>
  </si>
  <si>
    <t>03FQI189A.PV</t>
  </si>
  <si>
    <t>03FQ189B</t>
  </si>
  <si>
    <t>TOTAL IC4 TO SPHERE/PIPELINE</t>
  </si>
  <si>
    <t>03FQI189B.PV</t>
  </si>
  <si>
    <t>03FQ189C</t>
  </si>
  <si>
    <t>TOTAL WELL 14 TO ALKY</t>
  </si>
  <si>
    <t>03FQI189C.PV</t>
  </si>
  <si>
    <t>03FQ191</t>
  </si>
  <si>
    <t>SHELL BB</t>
  </si>
  <si>
    <t>03FQI191.PV</t>
  </si>
  <si>
    <t>03FV050</t>
  </si>
  <si>
    <t>03FC050.OP</t>
  </si>
  <si>
    <t>03L067</t>
  </si>
  <si>
    <t>03TK120 TOLAD LEVEL     %</t>
  </si>
  <si>
    <t>03LI067.PV</t>
  </si>
  <si>
    <t>03TK001L</t>
  </si>
  <si>
    <t>TANK 01 LEVEL</t>
  </si>
  <si>
    <t>03TK001.LEVEL</t>
  </si>
  <si>
    <t>03TK001T</t>
  </si>
  <si>
    <t>TANK 01 TEMP</t>
  </si>
  <si>
    <t>03TK001.TEMP</t>
  </si>
  <si>
    <t>03TK001V</t>
  </si>
  <si>
    <t>TANK 01 VOLUME</t>
  </si>
  <si>
    <t>03TK001.VOL</t>
  </si>
  <si>
    <t>03TK002L</t>
  </si>
  <si>
    <t>TANK 02 LEVEL</t>
  </si>
  <si>
    <t>03TK002.LEVEL</t>
  </si>
  <si>
    <t>03TK002T</t>
  </si>
  <si>
    <t>TANK 02 TEMP</t>
  </si>
  <si>
    <t>03TK002.TEMP</t>
  </si>
  <si>
    <t>03TK002V</t>
  </si>
  <si>
    <t>TANK 02 VOLUME</t>
  </si>
  <si>
    <t>03TK002.VOL</t>
  </si>
  <si>
    <t>03TK003L</t>
  </si>
  <si>
    <t>TANK 03 LEVEL</t>
  </si>
  <si>
    <t>03TK003.LEVEL</t>
  </si>
  <si>
    <t>03TK003T</t>
  </si>
  <si>
    <t>TANK 03 TEMP</t>
  </si>
  <si>
    <t>03TK003.TEMP</t>
  </si>
  <si>
    <t>03TK004L</t>
  </si>
  <si>
    <t>TANK 04 LEVEL</t>
  </si>
  <si>
    <t>03TK004.LEVEL</t>
  </si>
  <si>
    <t>03TK004T</t>
  </si>
  <si>
    <t>TANK 04 TEMP</t>
  </si>
  <si>
    <t>03TK004.TEMP</t>
  </si>
  <si>
    <t>03TK004V</t>
  </si>
  <si>
    <t>TANK 04 VOLUME</t>
  </si>
  <si>
    <t>03TK004.VOL</t>
  </si>
  <si>
    <t>03TK005L</t>
  </si>
  <si>
    <t>TANK 05 LEVEL</t>
  </si>
  <si>
    <t>03TK005.LEVEL</t>
  </si>
  <si>
    <t>03TK005T</t>
  </si>
  <si>
    <t>TANK 05 TEMP</t>
  </si>
  <si>
    <t>03TK005.TEMP</t>
  </si>
  <si>
    <t>03TK005V</t>
  </si>
  <si>
    <t>TANK 05 VOLUME</t>
  </si>
  <si>
    <t>03TK005.VOL</t>
  </si>
  <si>
    <t>03TK006L</t>
  </si>
  <si>
    <t>TANK 06 LEVEL</t>
  </si>
  <si>
    <t>03TK006.LEVEL</t>
  </si>
  <si>
    <t>03TK006T</t>
  </si>
  <si>
    <t>TANK 06 TEMP</t>
  </si>
  <si>
    <t>03TK006.TEMP</t>
  </si>
  <si>
    <t>03TK006V</t>
  </si>
  <si>
    <t>TANK 06 VOLUME</t>
  </si>
  <si>
    <t>03TK006.VOL</t>
  </si>
  <si>
    <t>03TK007L</t>
  </si>
  <si>
    <t>TANK 07 LEVEL</t>
  </si>
  <si>
    <t>03TK007.LEVEL</t>
  </si>
  <si>
    <t>03TK007T</t>
  </si>
  <si>
    <t>TANK 07 TEMP</t>
  </si>
  <si>
    <t>03TK007.TEMP</t>
  </si>
  <si>
    <t>03TK007V</t>
  </si>
  <si>
    <t>TANK 07 VOLUME</t>
  </si>
  <si>
    <t>03TK007.VOL</t>
  </si>
  <si>
    <t>03TK008L</t>
  </si>
  <si>
    <t>TANK 08 LEVEL</t>
  </si>
  <si>
    <t>03TK008.LEVEL</t>
  </si>
  <si>
    <t>03TK008T</t>
  </si>
  <si>
    <t>TANK 08 TEMP</t>
  </si>
  <si>
    <t>03TK008.TEMP</t>
  </si>
  <si>
    <t>03TK008V</t>
  </si>
  <si>
    <t>Type 1 Tank - 03TK008</t>
  </si>
  <si>
    <t>03TK008.VOL</t>
  </si>
  <si>
    <t>03TK009L</t>
  </si>
  <si>
    <t>TANK 09 LEVEL</t>
  </si>
  <si>
    <t>03TK009.LEVEL</t>
  </si>
  <si>
    <t>03TK009T</t>
  </si>
  <si>
    <t>TANK 09 TEMP</t>
  </si>
  <si>
    <t>03TK009.TEMP</t>
  </si>
  <si>
    <t>03TK009V</t>
  </si>
  <si>
    <t>TANK 09 VOLUME</t>
  </si>
  <si>
    <t>03TK009.VOL</t>
  </si>
  <si>
    <t>03TK010L</t>
  </si>
  <si>
    <t>TANK 10 LEVEL</t>
  </si>
  <si>
    <t>03TK010.LEVEL</t>
  </si>
  <si>
    <t>03TK010T</t>
  </si>
  <si>
    <t>TANK 10 TEMP</t>
  </si>
  <si>
    <t>03TK010.TEMP</t>
  </si>
  <si>
    <t>03TK010V</t>
  </si>
  <si>
    <t>TANK 10 VOLUME</t>
  </si>
  <si>
    <t>03TK010.VOL</t>
  </si>
  <si>
    <t>03TK011L</t>
  </si>
  <si>
    <t>TANK 11 LEVEL</t>
  </si>
  <si>
    <t>03TK011.LEVEL</t>
  </si>
  <si>
    <t>03TK011T</t>
  </si>
  <si>
    <t>TANK 11 TEMP</t>
  </si>
  <si>
    <t>03TK011.TEMP</t>
  </si>
  <si>
    <t>03TK011V</t>
  </si>
  <si>
    <t>TANK 11 VOLUME</t>
  </si>
  <si>
    <t>03TK011.VOL</t>
  </si>
  <si>
    <t>03TK012L</t>
  </si>
  <si>
    <t>TANK 12 LEVEL</t>
  </si>
  <si>
    <t>03TK012.LEVEL</t>
  </si>
  <si>
    <t>03TK012T</t>
  </si>
  <si>
    <t>TANK 12 TEMP</t>
  </si>
  <si>
    <t>03TK012.TEMP</t>
  </si>
  <si>
    <t>03TK012V</t>
  </si>
  <si>
    <t>TANK 12 VOLUME</t>
  </si>
  <si>
    <t>03TK012.VOL</t>
  </si>
  <si>
    <t>03TK013L</t>
  </si>
  <si>
    <t>TANK 13 LEVEL</t>
  </si>
  <si>
    <t>03TK013.LEVEL</t>
  </si>
  <si>
    <t>03TK013T</t>
  </si>
  <si>
    <t>TANK 13 TEMP</t>
  </si>
  <si>
    <t>03TK013.TEMP</t>
  </si>
  <si>
    <t>03TK013V</t>
  </si>
  <si>
    <t>TANK 13 VOLUME</t>
  </si>
  <si>
    <t>03TK013.VOL</t>
  </si>
  <si>
    <t>03TK014L</t>
  </si>
  <si>
    <t>TANK 14 LEVEL</t>
  </si>
  <si>
    <t>03TK014.LEVEL</t>
  </si>
  <si>
    <t>03TK014T</t>
  </si>
  <si>
    <t>TANK 14 TEMP</t>
  </si>
  <si>
    <t>03TK014.TEMP</t>
  </si>
  <si>
    <t>03TK014V</t>
  </si>
  <si>
    <t>TANK 14 VOLUME</t>
  </si>
  <si>
    <t>03TK014.VOL</t>
  </si>
  <si>
    <t>03TK015L</t>
  </si>
  <si>
    <t>TANK 15 LEVEL</t>
  </si>
  <si>
    <t>03TK015.LEVEL</t>
  </si>
  <si>
    <t>03TK015T</t>
  </si>
  <si>
    <t>TANK 15 TEMP</t>
  </si>
  <si>
    <t>03TK015.TEMP</t>
  </si>
  <si>
    <t>03TK015V</t>
  </si>
  <si>
    <t>TANK 15 VOLUME</t>
  </si>
  <si>
    <t>03TK015.VOL</t>
  </si>
  <si>
    <t>03TK016L</t>
  </si>
  <si>
    <t>TANK 16 LEVEL</t>
  </si>
  <si>
    <t>03TK016.LEVEL</t>
  </si>
  <si>
    <t>03TK016T</t>
  </si>
  <si>
    <t>TANK 16 TEMP</t>
  </si>
  <si>
    <t>03TK016.TEMP</t>
  </si>
  <si>
    <t>03TK016V</t>
  </si>
  <si>
    <t>TANK 16 VOLUME</t>
  </si>
  <si>
    <t>03TK016.VOL</t>
  </si>
  <si>
    <t>03TK017L</t>
  </si>
  <si>
    <t>TANK 17 LEVEL</t>
  </si>
  <si>
    <t>03TK017.LEVEL</t>
  </si>
  <si>
    <t>03TK017T</t>
  </si>
  <si>
    <t>TANK 17 TEMP</t>
  </si>
  <si>
    <t>03TK017.TEMP</t>
  </si>
  <si>
    <t>03TK017V</t>
  </si>
  <si>
    <t>TANK 17 VOLUME</t>
  </si>
  <si>
    <t>03TK017.VOL</t>
  </si>
  <si>
    <t>03TK018L</t>
  </si>
  <si>
    <t>TANK 18 LEVEL</t>
  </si>
  <si>
    <t>03TK018.LEVEL</t>
  </si>
  <si>
    <t>03TK018T</t>
  </si>
  <si>
    <t>TANK 18 TEMP</t>
  </si>
  <si>
    <t>03TK018.TEMP</t>
  </si>
  <si>
    <t>03TK018V</t>
  </si>
  <si>
    <t>TANK 18 VOLUME</t>
  </si>
  <si>
    <t>03TK018.VOL</t>
  </si>
  <si>
    <t>03TK019L</t>
  </si>
  <si>
    <t>TANK 19 LEVEL</t>
  </si>
  <si>
    <t>03TK019.LEVEL</t>
  </si>
  <si>
    <t>03TK019T</t>
  </si>
  <si>
    <t>TANK 19 TEMP</t>
  </si>
  <si>
    <t>03TK019.TEMP</t>
  </si>
  <si>
    <t>03TK019V</t>
  </si>
  <si>
    <t>TANK 19 VOLUME</t>
  </si>
  <si>
    <t>03TK019.VOL</t>
  </si>
  <si>
    <t>03TK020L</t>
  </si>
  <si>
    <t>TANK 20 LEVEL</t>
  </si>
  <si>
    <t>03TK020.LEVEL</t>
  </si>
  <si>
    <t>03TK020T</t>
  </si>
  <si>
    <t>TANK 20 TEMP</t>
  </si>
  <si>
    <t>03TK020.TEMP</t>
  </si>
  <si>
    <t>03TK020V</t>
  </si>
  <si>
    <t>TANK 20 VOLUME</t>
  </si>
  <si>
    <t>03TK020.VOL</t>
  </si>
  <si>
    <t>03TK021L</t>
  </si>
  <si>
    <t>TANK 21 LEVEL</t>
  </si>
  <si>
    <t>03TK021.LEVEL</t>
  </si>
  <si>
    <t>03TK021T</t>
  </si>
  <si>
    <t>TANK 21 TEMP</t>
  </si>
  <si>
    <t>03TK021.TEMP</t>
  </si>
  <si>
    <t>03TK021V</t>
  </si>
  <si>
    <t>TANK 21 VOLUME</t>
  </si>
  <si>
    <t>03TK021.VOL</t>
  </si>
  <si>
    <t>03TK022L</t>
  </si>
  <si>
    <t>TANK 22 LEVEL</t>
  </si>
  <si>
    <t>03TK022.LEVEL</t>
  </si>
  <si>
    <t>03TK022T</t>
  </si>
  <si>
    <t>TANK 22 TEMP</t>
  </si>
  <si>
    <t>03TK022.TEMP</t>
  </si>
  <si>
    <t>03TK022V</t>
  </si>
  <si>
    <t>TANK 22 VOLUME</t>
  </si>
  <si>
    <t>03TK022.VOL</t>
  </si>
  <si>
    <t>03TK023L</t>
  </si>
  <si>
    <t>TANK 23 LEVEL</t>
  </si>
  <si>
    <t>03TK023.LEVEL</t>
  </si>
  <si>
    <t>03TK023T</t>
  </si>
  <si>
    <t>TANK 23 TEMP</t>
  </si>
  <si>
    <t>03TK023.TEMP</t>
  </si>
  <si>
    <t>03TK023V</t>
  </si>
  <si>
    <t>TANK 23 VOLUME</t>
  </si>
  <si>
    <t>03TK023.VOL</t>
  </si>
  <si>
    <t>03TK025L</t>
  </si>
  <si>
    <t>TANK 25 LEVEL</t>
  </si>
  <si>
    <t>03TK025.LEVEL</t>
  </si>
  <si>
    <t>03TK025T</t>
  </si>
  <si>
    <t>TANK 25 TEMP</t>
  </si>
  <si>
    <t>03TK025.TEMP</t>
  </si>
  <si>
    <t>03TK025V</t>
  </si>
  <si>
    <t>TANK 25 VOLUME</t>
  </si>
  <si>
    <t>03TK025.VOL</t>
  </si>
  <si>
    <t>03TK026L</t>
  </si>
  <si>
    <t>TANK 26 LEVEL</t>
  </si>
  <si>
    <t>03TK026.LEVEL</t>
  </si>
  <si>
    <t>03TK026T</t>
  </si>
  <si>
    <t>TANK 26 TEMP</t>
  </si>
  <si>
    <t>03TK026.TEMP</t>
  </si>
  <si>
    <t>03TK026V</t>
  </si>
  <si>
    <t>TANK 26 VOLUME</t>
  </si>
  <si>
    <t>03TK026.VOL</t>
  </si>
  <si>
    <t>03TK027L</t>
  </si>
  <si>
    <t>TANK 27 LEVEL</t>
  </si>
  <si>
    <t>03TK027.LEVEL</t>
  </si>
  <si>
    <t>03TK027T</t>
  </si>
  <si>
    <t>TANK 27 TEMP</t>
  </si>
  <si>
    <t>03TK027.TEMP</t>
  </si>
  <si>
    <t>03TK027V</t>
  </si>
  <si>
    <t>TANK 27 VOLUME</t>
  </si>
  <si>
    <t>03TK027.VOL</t>
  </si>
  <si>
    <t>03TK028L</t>
  </si>
  <si>
    <t>TANK 28 LEVEL</t>
  </si>
  <si>
    <t>03TK028.LEVEL</t>
  </si>
  <si>
    <t>03TK028T</t>
  </si>
  <si>
    <t>TANK 28 TEMP</t>
  </si>
  <si>
    <t>03TK028.TEMP</t>
  </si>
  <si>
    <t>03TK028V</t>
  </si>
  <si>
    <t>TANK 28 VOLUME</t>
  </si>
  <si>
    <t>03TK028.VOL</t>
  </si>
  <si>
    <t>03TK029L</t>
  </si>
  <si>
    <t>TANK 29 LEVEL</t>
  </si>
  <si>
    <t>03TK029.LEVEL</t>
  </si>
  <si>
    <t>03TK029T</t>
  </si>
  <si>
    <t>TANK 29 TEMP</t>
  </si>
  <si>
    <t>03TK029.TEMP</t>
  </si>
  <si>
    <t>03TK029V</t>
  </si>
  <si>
    <t>TANK 29 VOLUME</t>
  </si>
  <si>
    <t>03TK029.VOL</t>
  </si>
  <si>
    <t>03TK030L</t>
  </si>
  <si>
    <t>TANK 30 LEVEL</t>
  </si>
  <si>
    <t>03TK030.LEVEL</t>
  </si>
  <si>
    <t>03TK030T</t>
  </si>
  <si>
    <t>TANK 30 TEMP</t>
  </si>
  <si>
    <t>03TK030.TEMP</t>
  </si>
  <si>
    <t>03TK030V</t>
  </si>
  <si>
    <t>TANK 30 VOLUME</t>
  </si>
  <si>
    <t>03TK030.VOL</t>
  </si>
  <si>
    <t>03TK031L</t>
  </si>
  <si>
    <t>TANK 31 LEVEL</t>
  </si>
  <si>
    <t>03TK031.LEVEL</t>
  </si>
  <si>
    <t>03TK031T</t>
  </si>
  <si>
    <t>TANK 31 TEMP</t>
  </si>
  <si>
    <t>03TK031.TEMP</t>
  </si>
  <si>
    <t>03TK031V</t>
  </si>
  <si>
    <t>TANK 31 VOLUME</t>
  </si>
  <si>
    <t>03TK031.VOL</t>
  </si>
  <si>
    <t>03TK032L</t>
  </si>
  <si>
    <t>TANK 32 LEVEL</t>
  </si>
  <si>
    <t>03TK032.LEVEL</t>
  </si>
  <si>
    <t>03TK032T</t>
  </si>
  <si>
    <t>TANK 32 TEMP</t>
  </si>
  <si>
    <t>03TK032.TEMP</t>
  </si>
  <si>
    <t>03TK032V</t>
  </si>
  <si>
    <t>TANK 32 VOLUME</t>
  </si>
  <si>
    <t>03TK032.VOL</t>
  </si>
  <si>
    <t>03TK033L</t>
  </si>
  <si>
    <t>TANK 33 LEVEL</t>
  </si>
  <si>
    <t>03TK033.LEVEL</t>
  </si>
  <si>
    <t>03TK033T</t>
  </si>
  <si>
    <t>TANK 33 TEMP</t>
  </si>
  <si>
    <t>03TK033.TEMP</t>
  </si>
  <si>
    <t>03TK033V</t>
  </si>
  <si>
    <t>TANK 33 VOLUME</t>
  </si>
  <si>
    <t>03TK033.VOL</t>
  </si>
  <si>
    <t>03TK034L</t>
  </si>
  <si>
    <t>TANK 34 LEVEL</t>
  </si>
  <si>
    <t>03TK034.LEVEL</t>
  </si>
  <si>
    <t>03TK034T</t>
  </si>
  <si>
    <t>TANK 34 TEMP</t>
  </si>
  <si>
    <t>03TK034.TEMP</t>
  </si>
  <si>
    <t>03TK034V</t>
  </si>
  <si>
    <t>TANK 34 VOLUME</t>
  </si>
  <si>
    <t>03TK034.VOL</t>
  </si>
  <si>
    <t>03TK038L</t>
  </si>
  <si>
    <t>TANK 38 LEVEL</t>
  </si>
  <si>
    <t>03TK038.LEVEL</t>
  </si>
  <si>
    <t>03TK038T</t>
  </si>
  <si>
    <t>TANK 38 TEMP</t>
  </si>
  <si>
    <t>03TK038.TEMP</t>
  </si>
  <si>
    <t>03TK038V</t>
  </si>
  <si>
    <t>TANK 38 VOLUME</t>
  </si>
  <si>
    <t>03TK038.VOL</t>
  </si>
  <si>
    <t>03TK039L</t>
  </si>
  <si>
    <t>TANK 39 LEVEL</t>
  </si>
  <si>
    <t>03TK039.LEVEL</t>
  </si>
  <si>
    <t>03TK039T</t>
  </si>
  <si>
    <t>TANK 39 TEMP</t>
  </si>
  <si>
    <t>03TK039.TEMP</t>
  </si>
  <si>
    <t>03TK039V</t>
  </si>
  <si>
    <t>TANK 39 VOLUME</t>
  </si>
  <si>
    <t>03TK039.VOL</t>
  </si>
  <si>
    <t>03TK040L</t>
  </si>
  <si>
    <t>TANK 40 LEVEL</t>
  </si>
  <si>
    <t>03TK040.LEVEL</t>
  </si>
  <si>
    <t>03TK040T</t>
  </si>
  <si>
    <t>TANK 40 TEMP</t>
  </si>
  <si>
    <t>03TK040.TEMP</t>
  </si>
  <si>
    <t>03TK040V</t>
  </si>
  <si>
    <t>TANK 40 VOLUME</t>
  </si>
  <si>
    <t>03TK040.VOL</t>
  </si>
  <si>
    <t>03TK041L</t>
  </si>
  <si>
    <t>TANK 41 LEVEL</t>
  </si>
  <si>
    <t>03TK041.LEVEL</t>
  </si>
  <si>
    <t>03TK041T</t>
  </si>
  <si>
    <t>TANK 41 TEMP</t>
  </si>
  <si>
    <t>03TK041.TEMP</t>
  </si>
  <si>
    <t>03TK041V</t>
  </si>
  <si>
    <t>TANK 41 VOLUME</t>
  </si>
  <si>
    <t>03TK041.VOL</t>
  </si>
  <si>
    <t>03TK042L</t>
  </si>
  <si>
    <t>TANK 42 LEVEL</t>
  </si>
  <si>
    <t>03TK042.LEVEL</t>
  </si>
  <si>
    <t>03TK042T</t>
  </si>
  <si>
    <t>TANK 42 TEMP</t>
  </si>
  <si>
    <t>03TK042.TEMP</t>
  </si>
  <si>
    <t>03TK042V</t>
  </si>
  <si>
    <t>TANK 42 VOLUME</t>
  </si>
  <si>
    <t>03TK042.VOL</t>
  </si>
  <si>
    <t>03TK043L</t>
  </si>
  <si>
    <t>TANK 43 LEVEL</t>
  </si>
  <si>
    <t>03TK043.LEVEL</t>
  </si>
  <si>
    <t>03TK043T</t>
  </si>
  <si>
    <t>TANK 43 TEMP</t>
  </si>
  <si>
    <t>03TK043.TEMP</t>
  </si>
  <si>
    <t>03TK043V</t>
  </si>
  <si>
    <t>TANK 43 VOLUME</t>
  </si>
  <si>
    <t>03TK043.VOL</t>
  </si>
  <si>
    <t>03TK044L</t>
  </si>
  <si>
    <t>TANK 44 LEVEL</t>
  </si>
  <si>
    <t>03TK044.LEVEL</t>
  </si>
  <si>
    <t>03TK044T</t>
  </si>
  <si>
    <t>TANK 44 TEMP</t>
  </si>
  <si>
    <t>03TK044.TEMP</t>
  </si>
  <si>
    <t>03TK044V</t>
  </si>
  <si>
    <t>TANK 44 VOLUME</t>
  </si>
  <si>
    <t>03TK044.VOL</t>
  </si>
  <si>
    <t>03TK045L</t>
  </si>
  <si>
    <t>TANK 45 LEVEL</t>
  </si>
  <si>
    <t>05TK045.LEVEL</t>
  </si>
  <si>
    <t>03TK045T</t>
  </si>
  <si>
    <t>TANK 45 TEMP</t>
  </si>
  <si>
    <t>05TK045.TEMP</t>
  </si>
  <si>
    <t>03TK045V</t>
  </si>
  <si>
    <t>TANK 45 VOLUME</t>
  </si>
  <si>
    <t>05TK045.VOL</t>
  </si>
  <si>
    <t>03TK046L</t>
  </si>
  <si>
    <t>TANK 46 LEVEL</t>
  </si>
  <si>
    <t>05TK046.LEVEL</t>
  </si>
  <si>
    <t>03TK047L</t>
  </si>
  <si>
    <t>TANK 47 LEVEL</t>
  </si>
  <si>
    <t>03TK047.LEVEL</t>
  </si>
  <si>
    <t>03TK047T</t>
  </si>
  <si>
    <t>TANK 47 TEMP</t>
  </si>
  <si>
    <t>03TK047.TEMP</t>
  </si>
  <si>
    <t>03TK047V</t>
  </si>
  <si>
    <t>TANK 47 VOLUME</t>
  </si>
  <si>
    <t>03TK047.VOL</t>
  </si>
  <si>
    <t>03TK048L</t>
  </si>
  <si>
    <t>TANK 48 LEVEL</t>
  </si>
  <si>
    <t>03TK048.LEVEL</t>
  </si>
  <si>
    <t>03TK048T</t>
  </si>
  <si>
    <t>TANK 48 TEMP</t>
  </si>
  <si>
    <t>03TK048.TEMP</t>
  </si>
  <si>
    <t>03TK048V</t>
  </si>
  <si>
    <t>TANK 48 VOLUME</t>
  </si>
  <si>
    <t>03TK048.VOL</t>
  </si>
  <si>
    <t>03TK049L</t>
  </si>
  <si>
    <t>TANK 49 LEVEL</t>
  </si>
  <si>
    <t>03TK049.LEVEL</t>
  </si>
  <si>
    <t>03TK049T</t>
  </si>
  <si>
    <t>TANK 49 TEMP</t>
  </si>
  <si>
    <t>03TK049.TEMP</t>
  </si>
  <si>
    <t>03TK049V</t>
  </si>
  <si>
    <t>TANK 49 VOLUME</t>
  </si>
  <si>
    <t>03TK049.VOL</t>
  </si>
  <si>
    <t>03TK050L</t>
  </si>
  <si>
    <t>TANK 50 LEVEL</t>
  </si>
  <si>
    <t>03TK050.LEVEL</t>
  </si>
  <si>
    <t>03TK050T</t>
  </si>
  <si>
    <t>TANK 50 TEMP</t>
  </si>
  <si>
    <t>03TK050.TEMP</t>
  </si>
  <si>
    <t>03TK050V</t>
  </si>
  <si>
    <t>TANK 50 VOLUME</t>
  </si>
  <si>
    <t>03TK050.VOL</t>
  </si>
  <si>
    <t>03TK051L</t>
  </si>
  <si>
    <t>TANK 51 LEVEL</t>
  </si>
  <si>
    <t>03TK051.LEVEL</t>
  </si>
  <si>
    <t>03TK051T</t>
  </si>
  <si>
    <t>TANK 51 TEMP</t>
  </si>
  <si>
    <t>03TK051.TEMP</t>
  </si>
  <si>
    <t>03TK051V</t>
  </si>
  <si>
    <t>TANK 51 VOLUME</t>
  </si>
  <si>
    <t>03TK051.VOL</t>
  </si>
  <si>
    <t>03TK054L</t>
  </si>
  <si>
    <t>TANK 54 LEVEL</t>
  </si>
  <si>
    <t>03TK054.LEVEL</t>
  </si>
  <si>
    <t>03TK054T</t>
  </si>
  <si>
    <t>TANK 54 TEMP</t>
  </si>
  <si>
    <t>03TK054.TEMP</t>
  </si>
  <si>
    <t>03TK054V</t>
  </si>
  <si>
    <t>TANK 54 VOLUME</t>
  </si>
  <si>
    <t>03TK054.VOL</t>
  </si>
  <si>
    <t>03TK055L</t>
  </si>
  <si>
    <t>TANK 55 LEVEL</t>
  </si>
  <si>
    <t>03TK055.LEVEL</t>
  </si>
  <si>
    <t>03TK055T</t>
  </si>
  <si>
    <t>TANK 55 TEMP</t>
  </si>
  <si>
    <t>03TK055.TEMP</t>
  </si>
  <si>
    <t>03TK055V</t>
  </si>
  <si>
    <t>TANK 55 VOLUME</t>
  </si>
  <si>
    <t>03TK055.VOL</t>
  </si>
  <si>
    <t>03TK058L</t>
  </si>
  <si>
    <t>TANK 58 LEVEL</t>
  </si>
  <si>
    <t>03TK058.LEVEL</t>
  </si>
  <si>
    <t>03TK058T</t>
  </si>
  <si>
    <t>TANK 58 TEMP</t>
  </si>
  <si>
    <t>03TK058.TEMP</t>
  </si>
  <si>
    <t>03TK058V</t>
  </si>
  <si>
    <t>TANK 58 VOLUME</t>
  </si>
  <si>
    <t>03TK058.VOL</t>
  </si>
  <si>
    <t>03TK070L</t>
  </si>
  <si>
    <t>TANK 70 LEVEL</t>
  </si>
  <si>
    <t>03TK070.LEVEL</t>
  </si>
  <si>
    <t>03TK070T</t>
  </si>
  <si>
    <t>TANK 70 TEMP</t>
  </si>
  <si>
    <t>03TK070.TEMP</t>
  </si>
  <si>
    <t>03TK070V</t>
  </si>
  <si>
    <t>TANK 70 VOLUME</t>
  </si>
  <si>
    <t>03TK070.VOL</t>
  </si>
  <si>
    <t>03TK071L</t>
  </si>
  <si>
    <t>TANK 71 LEVEL</t>
  </si>
  <si>
    <t>03TK071.LEVEL</t>
  </si>
  <si>
    <t>03TK071T</t>
  </si>
  <si>
    <t>TANK 71 TEMP</t>
  </si>
  <si>
    <t>03TK071.TEMP</t>
  </si>
  <si>
    <t>03TK071V</t>
  </si>
  <si>
    <t>TANK 71 VOLUME</t>
  </si>
  <si>
    <t>03TK071.VOL</t>
  </si>
  <si>
    <t>03TK072L</t>
  </si>
  <si>
    <t>TANK 72 LEVEL</t>
  </si>
  <si>
    <t>03TK072.LEVEL</t>
  </si>
  <si>
    <t>03TK072T</t>
  </si>
  <si>
    <t>TANK 72 TEMP</t>
  </si>
  <si>
    <t>03TK072.TEMP</t>
  </si>
  <si>
    <t>03TK072V</t>
  </si>
  <si>
    <t>TANK 72 VOLUME</t>
  </si>
  <si>
    <t>03TK072.VOL</t>
  </si>
  <si>
    <t>03TK073L</t>
  </si>
  <si>
    <t>TANK 73 LEVEL</t>
  </si>
  <si>
    <t>03TK073.LEVEL</t>
  </si>
  <si>
    <t>03TK073T</t>
  </si>
  <si>
    <t>TANK 73 TEMP</t>
  </si>
  <si>
    <t>03TK073.TEMP</t>
  </si>
  <si>
    <t>03TK073V</t>
  </si>
  <si>
    <t>TANK 73 VOLUME</t>
  </si>
  <si>
    <t>03TK073.VOL</t>
  </si>
  <si>
    <t>03TK074L</t>
  </si>
  <si>
    <t>TANK 74 LEVEL</t>
  </si>
  <si>
    <t>03TK074.LEVEL</t>
  </si>
  <si>
    <t>03TK074T</t>
  </si>
  <si>
    <t>TANK 74 TEMP</t>
  </si>
  <si>
    <t>03TK074.TEMP</t>
  </si>
  <si>
    <t>03TK074V</t>
  </si>
  <si>
    <t>TANK 74 VOLUME</t>
  </si>
  <si>
    <t>03TK074.VOL</t>
  </si>
  <si>
    <t>03TK075L</t>
  </si>
  <si>
    <t>TANK 75 LEVEL</t>
  </si>
  <si>
    <t>03TK075.LEVEL</t>
  </si>
  <si>
    <t>03TK075T</t>
  </si>
  <si>
    <t>TANK 75 TEMP</t>
  </si>
  <si>
    <t>03TK075.TEMP</t>
  </si>
  <si>
    <t>03TK075V</t>
  </si>
  <si>
    <t>TANK 75 VOLUME</t>
  </si>
  <si>
    <t>03TK075.VOL</t>
  </si>
  <si>
    <t>03TK076L</t>
  </si>
  <si>
    <t>TANK 76 LEVEL</t>
  </si>
  <si>
    <t>03TK076.LEVEL</t>
  </si>
  <si>
    <t>03TK076T</t>
  </si>
  <si>
    <t>TANK 76 TEMP</t>
  </si>
  <si>
    <t>03TK076.TEMP</t>
  </si>
  <si>
    <t>03TK076V</t>
  </si>
  <si>
    <t>TANK 76 VOLUME</t>
  </si>
  <si>
    <t>03TK076.VOL</t>
  </si>
  <si>
    <t>03TK078L</t>
  </si>
  <si>
    <t>TANK 78 LEVEL</t>
  </si>
  <si>
    <t>03TK078.LEVEL</t>
  </si>
  <si>
    <t>03TK078T</t>
  </si>
  <si>
    <t>TANK 78 TEMP</t>
  </si>
  <si>
    <t>03TK078.TEMP</t>
  </si>
  <si>
    <t>03TK078V</t>
  </si>
  <si>
    <t>TANK 78 VOLUME</t>
  </si>
  <si>
    <t>03TK078.VOL</t>
  </si>
  <si>
    <t>03TK079L</t>
  </si>
  <si>
    <t>TANK 79 LEVEL</t>
  </si>
  <si>
    <t>03TK079.LEVEL</t>
  </si>
  <si>
    <t>03TK079T</t>
  </si>
  <si>
    <t>TANK 79 TEMP</t>
  </si>
  <si>
    <t>03TK079.TEMP</t>
  </si>
  <si>
    <t>03TK079V</t>
  </si>
  <si>
    <t>TANK 79 VOLUME</t>
  </si>
  <si>
    <t>03TK079.VOL</t>
  </si>
  <si>
    <t>03TK080L</t>
  </si>
  <si>
    <t>TANK 80 LEVEL</t>
  </si>
  <si>
    <t>03TK080.LEVEL</t>
  </si>
  <si>
    <t>03TK080T</t>
  </si>
  <si>
    <t>TANK 80 TEMP</t>
  </si>
  <si>
    <t>03TK080.TEMP</t>
  </si>
  <si>
    <t>03TK080V</t>
  </si>
  <si>
    <t>TANK 80 VOLUME</t>
  </si>
  <si>
    <t>03TK080.VOL</t>
  </si>
  <si>
    <t>03TK082L</t>
  </si>
  <si>
    <t>TANK 82 LEVEL</t>
  </si>
  <si>
    <t>03TK082.LEVEL</t>
  </si>
  <si>
    <t>03TK082T</t>
  </si>
  <si>
    <t>TANK 82 TEMP</t>
  </si>
  <si>
    <t>03TK082.TEMP</t>
  </si>
  <si>
    <t>03TK082V</t>
  </si>
  <si>
    <t>TANK 82 VOLUME</t>
  </si>
  <si>
    <t>03TK082.VOL</t>
  </si>
  <si>
    <t>03TK084L</t>
  </si>
  <si>
    <t>TANK 84 LEVEL</t>
  </si>
  <si>
    <t>03TK084.LEVEL</t>
  </si>
  <si>
    <t>03TK084T</t>
  </si>
  <si>
    <t>TANK 84 TEMP</t>
  </si>
  <si>
    <t>03TK084.TEMP</t>
  </si>
  <si>
    <t>03TK084V</t>
  </si>
  <si>
    <t>TANK 84 VOLUME</t>
  </si>
  <si>
    <t>03TK084.VOL</t>
  </si>
  <si>
    <t>03TK086L</t>
  </si>
  <si>
    <t>TANK 86 LEVEL</t>
  </si>
  <si>
    <t>03TK086.LEVEL</t>
  </si>
  <si>
    <t>03TK086T</t>
  </si>
  <si>
    <t>TANK 86 TEMP</t>
  </si>
  <si>
    <t>03TK086.TEMP</t>
  </si>
  <si>
    <t>03TK086V</t>
  </si>
  <si>
    <t>TANK 86 VOLUME</t>
  </si>
  <si>
    <t>03TK086.VOL</t>
  </si>
  <si>
    <t>03TK093L</t>
  </si>
  <si>
    <t>TANK 93 LEVEL</t>
  </si>
  <si>
    <t>05TK093.LEVEL</t>
  </si>
  <si>
    <t>03TK093T</t>
  </si>
  <si>
    <t>TANK 93 TEMP</t>
  </si>
  <si>
    <t>05TK093.TEMP</t>
  </si>
  <si>
    <t>03TK093V</t>
  </si>
  <si>
    <t>TANK 93 VOLUME</t>
  </si>
  <si>
    <t>05TK093.VOL</t>
  </si>
  <si>
    <t>03V111</t>
  </si>
  <si>
    <t>WELL 10 VOLUME</t>
  </si>
  <si>
    <t>03FQI111AB.PV</t>
  </si>
  <si>
    <t>03V150</t>
  </si>
  <si>
    <t>WELL 3 VOLUME</t>
  </si>
  <si>
    <t>03FQI222.PV</t>
  </si>
  <si>
    <t>03V182</t>
  </si>
  <si>
    <t>WELL 4 VOLUME</t>
  </si>
  <si>
    <t>03FQI182AB.PV</t>
  </si>
  <si>
    <t>03V183</t>
  </si>
  <si>
    <t>WELL 5 VOLUME</t>
  </si>
  <si>
    <t>03FQI183AB.PV</t>
  </si>
  <si>
    <t>03V184</t>
  </si>
  <si>
    <t>WELL 7 VOLUME</t>
  </si>
  <si>
    <t>03FQI184AB.PV</t>
  </si>
  <si>
    <t>03V185</t>
  </si>
  <si>
    <t>WELL 8 VOLUME</t>
  </si>
  <si>
    <t>03FQI185AB.PV</t>
  </si>
  <si>
    <t>03V186</t>
  </si>
  <si>
    <t>WELL 9 VOLUME</t>
  </si>
  <si>
    <t>03FQI186AB.PV</t>
  </si>
  <si>
    <t>03V188</t>
  </si>
  <si>
    <t>WELL 13 VOLUME</t>
  </si>
  <si>
    <t>03FQI188AB.PV</t>
  </si>
  <si>
    <t>03V189</t>
  </si>
  <si>
    <t>WELL 14 INVENTORY</t>
  </si>
  <si>
    <t>03FQI189ABC.PV</t>
  </si>
  <si>
    <t>04$M01</t>
  </si>
  <si>
    <t>04MCD001.MV</t>
  </si>
  <si>
    <t>04A049A</t>
  </si>
  <si>
    <t>FILTER A TURB</t>
  </si>
  <si>
    <t>04AI049A.PV</t>
  </si>
  <si>
    <t>04A049B</t>
  </si>
  <si>
    <t>FILTER B TURB</t>
  </si>
  <si>
    <t>04AI049B.PV</t>
  </si>
  <si>
    <t>04A1202AA</t>
  </si>
  <si>
    <t>H-107 N %02</t>
  </si>
  <si>
    <t>04AI1202A.PV</t>
  </si>
  <si>
    <t>04A1202AB</t>
  </si>
  <si>
    <t>H-107 N % COMBUSTIBLES</t>
  </si>
  <si>
    <t>04AI1202B.PV</t>
  </si>
  <si>
    <t>04A1202BA</t>
  </si>
  <si>
    <t>H-107 S % 02</t>
  </si>
  <si>
    <t>04AI1202C.PV</t>
  </si>
  <si>
    <t>04A1202BB</t>
  </si>
  <si>
    <t>H-107 S % COMBUSTIBLES</t>
  </si>
  <si>
    <t>04AI1202D.PV</t>
  </si>
  <si>
    <t>04A1202CA</t>
  </si>
  <si>
    <t>H-114 %O2</t>
  </si>
  <si>
    <t>04AI1202E.PV</t>
  </si>
  <si>
    <t>04A1202CB</t>
  </si>
  <si>
    <t>H-114 % COMBUSTIBLES</t>
  </si>
  <si>
    <t>04AI1202F.PV</t>
  </si>
  <si>
    <t>04A601A</t>
  </si>
  <si>
    <t>H-110 % O2</t>
  </si>
  <si>
    <t>04AI601A.PV</t>
  </si>
  <si>
    <t>04A601B</t>
  </si>
  <si>
    <t>H-110 % COMBUSTIBLES</t>
  </si>
  <si>
    <t>04AI601B.PV</t>
  </si>
  <si>
    <t>04A8550A</t>
  </si>
  <si>
    <t>H-115 % O2</t>
  </si>
  <si>
    <t>04AI8550A.PV</t>
  </si>
  <si>
    <t>04A8550B</t>
  </si>
  <si>
    <t>H-115 % COMBUSTIBLES</t>
  </si>
  <si>
    <t>04AI8550B.PV</t>
  </si>
  <si>
    <t>04AM001</t>
  </si>
  <si>
    <t>PLANT 3 COOLING TOWER PH</t>
  </si>
  <si>
    <t>MA04001.PV</t>
  </si>
  <si>
    <t>04AM002</t>
  </si>
  <si>
    <t>PLANT 3 COOLING TOWER CYCLES</t>
  </si>
  <si>
    <t>MA04002.PV</t>
  </si>
  <si>
    <t>04CC003</t>
  </si>
  <si>
    <t>STM ENERGY CONSUMPTION COST</t>
  </si>
  <si>
    <t>04CC003.CV</t>
  </si>
  <si>
    <t>04CC005</t>
  </si>
  <si>
    <t>FUEL ENERGY CONSUMPTION COST</t>
  </si>
  <si>
    <t>04CC005.CV</t>
  </si>
  <si>
    <t>04CC006</t>
  </si>
  <si>
    <t>TOTAL PLANT 3 ENERGY USAGE COST</t>
  </si>
  <si>
    <t>04CC006.CV</t>
  </si>
  <si>
    <t>04F003</t>
  </si>
  <si>
    <t>STEAM TO 0-4-TP-01A &amp; C    X1000</t>
  </si>
  <si>
    <t>04FI003.PV</t>
  </si>
  <si>
    <t>04F006</t>
  </si>
  <si>
    <t>16" 450# DOW STEAM      KG/D</t>
  </si>
  <si>
    <t>04FI006.PV</t>
  </si>
  <si>
    <t>04F007</t>
  </si>
  <si>
    <t>N.G. TO SRF HEADER         X1000</t>
  </si>
  <si>
    <t>04FI007.PV</t>
  </si>
  <si>
    <t>04F010</t>
  </si>
  <si>
    <t>10" 450# DOW STEAM      KG/D</t>
  </si>
  <si>
    <t>04FI010.PV</t>
  </si>
  <si>
    <t>04F015A</t>
  </si>
  <si>
    <t>HP STEAM TO PLANT 3        X1000</t>
  </si>
  <si>
    <t>04FI015A.PV</t>
  </si>
  <si>
    <t>04F015B</t>
  </si>
  <si>
    <t>HP STEAM FROM PLANT 3      X1000</t>
  </si>
  <si>
    <t>04FI015B.PV</t>
  </si>
  <si>
    <t>04F016A</t>
  </si>
  <si>
    <t>MP STEAM TO PLANT 3        X1000</t>
  </si>
  <si>
    <t>04FI016A.PV</t>
  </si>
  <si>
    <t>04F016B</t>
  </si>
  <si>
    <t>MP STEAM FROM PLANT 3      X1000</t>
  </si>
  <si>
    <t>04FI016B.PV</t>
  </si>
  <si>
    <t>04F017A</t>
  </si>
  <si>
    <t>LP STEAM TO PLANT 3        X1000</t>
  </si>
  <si>
    <t>04FI017A.PV</t>
  </si>
  <si>
    <t>04F017B</t>
  </si>
  <si>
    <t>LP STEAM FROM PLANT 3      X1000</t>
  </si>
  <si>
    <t>04FI017B.PV</t>
  </si>
  <si>
    <t>04F020</t>
  </si>
  <si>
    <t>LP STEAM COND TO PLANT 3</t>
  </si>
  <si>
    <t>04FI020.PV</t>
  </si>
  <si>
    <t>04F021A</t>
  </si>
  <si>
    <t>HP STEAM FROM DOW          X1000</t>
  </si>
  <si>
    <t>04FI021A.PV</t>
  </si>
  <si>
    <t>04F021B</t>
  </si>
  <si>
    <t>04FI021B.PV</t>
  </si>
  <si>
    <t>04F022</t>
  </si>
  <si>
    <t>LETDOWN HP STM TO MP STM   X1000</t>
  </si>
  <si>
    <t>04FI022.PV</t>
  </si>
  <si>
    <t>04F023</t>
  </si>
  <si>
    <t>LETDOWN MP STM TO LP STM   X1000</t>
  </si>
  <si>
    <t>04FI023.PV</t>
  </si>
  <si>
    <t>04F024</t>
  </si>
  <si>
    <t>LP STEAM VENT TO ATM       X1000</t>
  </si>
  <si>
    <t>04FI024.PV</t>
  </si>
  <si>
    <t>04F029</t>
  </si>
  <si>
    <t>NITROGEN TO REFINERY *1000</t>
  </si>
  <si>
    <t>04FI029.CV</t>
  </si>
  <si>
    <t>04F030B</t>
  </si>
  <si>
    <t>CW MAKEUP</t>
  </si>
  <si>
    <t>04FI030B.PV</t>
  </si>
  <si>
    <t>04F031</t>
  </si>
  <si>
    <t>CWS HEADER                 X1000</t>
  </si>
  <si>
    <t>04FI031.PV</t>
  </si>
  <si>
    <t>04F032</t>
  </si>
  <si>
    <t>CW BLOWDOWN</t>
  </si>
  <si>
    <t>04FI032.PV</t>
  </si>
  <si>
    <t>04F033</t>
  </si>
  <si>
    <t>HP STEAM TO PUMP TURBINE   X1000</t>
  </si>
  <si>
    <t>04FI033.PV</t>
  </si>
  <si>
    <t>04F049A</t>
  </si>
  <si>
    <t>FILTER A FLOW</t>
  </si>
  <si>
    <t>04FI049A.PV</t>
  </si>
  <si>
    <t>04F049B</t>
  </si>
  <si>
    <t>FILTER B FLOW</t>
  </si>
  <si>
    <t>04FI049B.PV</t>
  </si>
  <si>
    <t>04F061</t>
  </si>
  <si>
    <t>TOTFLOW FRM BRW TREAT PLANT</t>
  </si>
  <si>
    <t>04FI061.PV</t>
  </si>
  <si>
    <t>04F084</t>
  </si>
  <si>
    <t>450 PSI TO 185 PSI STEAMKGDX1000</t>
  </si>
  <si>
    <t>04FI084.PV</t>
  </si>
  <si>
    <t>04F1043</t>
  </si>
  <si>
    <t>04F1043, 10" DOW STREAM LINE X10</t>
  </si>
  <si>
    <t>04FI1043.PV</t>
  </si>
  <si>
    <t>04F1242</t>
  </si>
  <si>
    <t>04F1242, BFW TO H-114</t>
  </si>
  <si>
    <t>04FI1242.PV</t>
  </si>
  <si>
    <t>04F171</t>
  </si>
  <si>
    <t>04F171, 40# STEAM TO T-116 X1000</t>
  </si>
  <si>
    <t>04FI171.PV</t>
  </si>
  <si>
    <t>04F172</t>
  </si>
  <si>
    <t>04F172, SOUR WATER TO T-116 X100</t>
  </si>
  <si>
    <t>04FI172.PV</t>
  </si>
  <si>
    <t>04F229</t>
  </si>
  <si>
    <t>04F229, F.W. E-202 TO V-118 X100</t>
  </si>
  <si>
    <t>04FI229.PV</t>
  </si>
  <si>
    <t>04F404</t>
  </si>
  <si>
    <t>04F404, ABSORBER GAS TO FUEL X10</t>
  </si>
  <si>
    <t>04FI404.PV</t>
  </si>
  <si>
    <t>04F412</t>
  </si>
  <si>
    <t>04F412, TOTAL UNION GAS TO PL 1</t>
  </si>
  <si>
    <t>04FI412.PV</t>
  </si>
  <si>
    <t>04F414A</t>
  </si>
  <si>
    <t>04F414A, NAT GAS TO FUEL A1000</t>
  </si>
  <si>
    <t>04FI414A.PV</t>
  </si>
  <si>
    <t>04F414B</t>
  </si>
  <si>
    <t>04F414B, NAT GAS TO FUEL B X1000</t>
  </si>
  <si>
    <t>04FI414B.PV</t>
  </si>
  <si>
    <t>04F440</t>
  </si>
  <si>
    <t>SWEET GAS TO FUEL HEADER</t>
  </si>
  <si>
    <t>04FI440.PV</t>
  </si>
  <si>
    <t>04F606</t>
  </si>
  <si>
    <t>04F606, F.W. TO BOILERS118 X100</t>
  </si>
  <si>
    <t>04FI606.PV</t>
  </si>
  <si>
    <t>04F609</t>
  </si>
  <si>
    <t>04F609, STEAM FROM V-118RODUCT</t>
  </si>
  <si>
    <t>04FI609.PV</t>
  </si>
  <si>
    <t>04F614</t>
  </si>
  <si>
    <t>04F614, 275 KPA SUPERHEATED STM.</t>
  </si>
  <si>
    <t>04FI614.PV</t>
  </si>
  <si>
    <t>04F615</t>
  </si>
  <si>
    <t>04F615, 3100 KPA TO 1300 KPA STM</t>
  </si>
  <si>
    <t>04FI615.PV</t>
  </si>
  <si>
    <t>04F625</t>
  </si>
  <si>
    <t>04F625, 1300 KPA TO 275 STM.STM</t>
  </si>
  <si>
    <t>04FI625.PV</t>
  </si>
  <si>
    <t>04F633</t>
  </si>
  <si>
    <t>04F633, STEAM FROM H-110RODUCT</t>
  </si>
  <si>
    <t>04FI633.PV</t>
  </si>
  <si>
    <t>04F641</t>
  </si>
  <si>
    <t>04F641, 3100 KPA STREAM TO BTX X</t>
  </si>
  <si>
    <t>04FI641.PV</t>
  </si>
  <si>
    <t>04F8501</t>
  </si>
  <si>
    <t>04F8501, 40LB. CONDENSATE X1000</t>
  </si>
  <si>
    <t>04FI8501.PV</t>
  </si>
  <si>
    <t>04F8502</t>
  </si>
  <si>
    <t>04F8502, 200LB. CONDENSATE X1000</t>
  </si>
  <si>
    <t>04FI8502.PV</t>
  </si>
  <si>
    <t>04F8551</t>
  </si>
  <si>
    <t>04F8551, STEAM FROM H-115 X1000</t>
  </si>
  <si>
    <t>04FI8551.PV</t>
  </si>
  <si>
    <t>04F908</t>
  </si>
  <si>
    <t>04F908, PROPANE TO VAPORIZR1000</t>
  </si>
  <si>
    <t>04FI908.PV</t>
  </si>
  <si>
    <t>04F920</t>
  </si>
  <si>
    <t>PLANT #1 NITROGEN</t>
  </si>
  <si>
    <t>04FI920.PV</t>
  </si>
  <si>
    <t>04F921</t>
  </si>
  <si>
    <t>NITROGEN TO PLT 2, 1 &amp; TF  *1000</t>
  </si>
  <si>
    <t>30FI4921.PV</t>
  </si>
  <si>
    <t>04F922</t>
  </si>
  <si>
    <t>NITROGEN TO PLT#3 *1000</t>
  </si>
  <si>
    <t>30FI4922.PV</t>
  </si>
  <si>
    <t>04F924</t>
  </si>
  <si>
    <t>PLT-2 C.T. BLOWDOWN</t>
  </si>
  <si>
    <t>04FI924.PV</t>
  </si>
  <si>
    <t>04FC001</t>
  </si>
  <si>
    <t>STEAM LETDOWN/VENTING/TRACING</t>
  </si>
  <si>
    <t>CF04001.CV</t>
  </si>
  <si>
    <t>04FC002</t>
  </si>
  <si>
    <t>TOTAL STEAM ENERGY CONSUMPTION</t>
  </si>
  <si>
    <t>CF04002.CV</t>
  </si>
  <si>
    <t>04FC003</t>
  </si>
  <si>
    <t>STM ENERGY CONSUMPTION RATEX10E9</t>
  </si>
  <si>
    <t>CF04003.CV</t>
  </si>
  <si>
    <t>04FC004</t>
  </si>
  <si>
    <t>TOTAL FUEL ENERGY CONSUMPTION</t>
  </si>
  <si>
    <t>CF04004.CV</t>
  </si>
  <si>
    <t>04FC005</t>
  </si>
  <si>
    <t>FG ENERGY CONSUMPTION RATE X10E9</t>
  </si>
  <si>
    <t>CF04005.CV</t>
  </si>
  <si>
    <t>04FC006</t>
  </si>
  <si>
    <t>TOTAL PLANT 3 ENERGY USAGE X10E9</t>
  </si>
  <si>
    <t>CF04006.CV</t>
  </si>
  <si>
    <t>04FC007</t>
  </si>
  <si>
    <t>CORRECTED NG RATE TO FG    X1000</t>
  </si>
  <si>
    <t>04CF007.CV</t>
  </si>
  <si>
    <t>04FC008</t>
  </si>
  <si>
    <t>CORREC. NG FEED TO H2 UNIT X1000</t>
  </si>
  <si>
    <t>04CF008.CV</t>
  </si>
  <si>
    <t>04FC009</t>
  </si>
  <si>
    <t>04CF009.CV</t>
  </si>
  <si>
    <t>04FC01</t>
  </si>
  <si>
    <t>04CF001.CV</t>
  </si>
  <si>
    <t>04FC010</t>
  </si>
  <si>
    <t>04CF010.CV</t>
  </si>
  <si>
    <t>04FC011</t>
  </si>
  <si>
    <t>04CF011.CV</t>
  </si>
  <si>
    <t>04FC012</t>
  </si>
  <si>
    <t>04CF012.CV</t>
  </si>
  <si>
    <t>04FC013</t>
  </si>
  <si>
    <t>04CF013.CV</t>
  </si>
  <si>
    <t>04FC014</t>
  </si>
  <si>
    <t>04CF014.CV</t>
  </si>
  <si>
    <t>04FC015</t>
  </si>
  <si>
    <t>04CF015.CV</t>
  </si>
  <si>
    <t>04FC016A</t>
  </si>
  <si>
    <t>CF04016A.CV</t>
  </si>
  <si>
    <t>04FC016B</t>
  </si>
  <si>
    <t>CF04016B.CV</t>
  </si>
  <si>
    <t>04FC017A</t>
  </si>
  <si>
    <t>CF04017A.CV</t>
  </si>
  <si>
    <t>04FC017B</t>
  </si>
  <si>
    <t>CF04017B.CV</t>
  </si>
  <si>
    <t>04FC019</t>
  </si>
  <si>
    <t>04CF019.CV</t>
  </si>
  <si>
    <t>04FC02</t>
  </si>
  <si>
    <t>04CF002.CV</t>
  </si>
  <si>
    <t>04FC029</t>
  </si>
  <si>
    <t>CF04029.CV</t>
  </si>
  <si>
    <t>04FC03</t>
  </si>
  <si>
    <t>04CF003.CV</t>
  </si>
  <si>
    <t>04FC030</t>
  </si>
  <si>
    <t>04CF030.CV</t>
  </si>
  <si>
    <t>04FC031</t>
  </si>
  <si>
    <t>04CF031.CV</t>
  </si>
  <si>
    <t>04FC032</t>
  </si>
  <si>
    <t>04CF032.CV</t>
  </si>
  <si>
    <t>04FC04</t>
  </si>
  <si>
    <t>04CF004.CV</t>
  </si>
  <si>
    <t>04FC05</t>
  </si>
  <si>
    <t>04CF005.CV</t>
  </si>
  <si>
    <t>04FC06</t>
  </si>
  <si>
    <t>04CF006.CV</t>
  </si>
  <si>
    <t>04FC08</t>
  </si>
  <si>
    <t>04CF080.CV</t>
  </si>
  <si>
    <t>04FC084</t>
  </si>
  <si>
    <t>04CF084.CV</t>
  </si>
  <si>
    <t>04FC09</t>
  </si>
  <si>
    <t>04CF090.CV</t>
  </si>
  <si>
    <t>04FCC01</t>
  </si>
  <si>
    <t>04CF001C.CV</t>
  </si>
  <si>
    <t>04FCC02</t>
  </si>
  <si>
    <t>04CF002C.CV</t>
  </si>
  <si>
    <t>04FCC03</t>
  </si>
  <si>
    <t>04CF003C.CV</t>
  </si>
  <si>
    <t>04FCC04</t>
  </si>
  <si>
    <t>04CF004C.CV</t>
  </si>
  <si>
    <t>04FCC05</t>
  </si>
  <si>
    <t>04FCC11</t>
  </si>
  <si>
    <t>04CF011C.CV</t>
  </si>
  <si>
    <t>04FCC12</t>
  </si>
  <si>
    <t>04CF012C.CV</t>
  </si>
  <si>
    <t>04FCC13</t>
  </si>
  <si>
    <t>04CF013C.CV</t>
  </si>
  <si>
    <t>04FCC14</t>
  </si>
  <si>
    <t>04CF014C.CV</t>
  </si>
  <si>
    <t>04FCC15</t>
  </si>
  <si>
    <t>04CF015C.CV</t>
  </si>
  <si>
    <t>04FCP01</t>
  </si>
  <si>
    <t>04CP001.CV</t>
  </si>
  <si>
    <t>04FCP02</t>
  </si>
  <si>
    <t>04CP002.CV</t>
  </si>
  <si>
    <t>04FCP03</t>
  </si>
  <si>
    <t>04CP003.CV</t>
  </si>
  <si>
    <t>04FCP04</t>
  </si>
  <si>
    <t>04CP004.CV</t>
  </si>
  <si>
    <t>04FCP05</t>
  </si>
  <si>
    <t>04CP005.CV</t>
  </si>
  <si>
    <t>04FCP11</t>
  </si>
  <si>
    <t>31CCD0004.CV</t>
  </si>
  <si>
    <t>04FCP12</t>
  </si>
  <si>
    <t>04CP012.CV</t>
  </si>
  <si>
    <t>04FCP13</t>
  </si>
  <si>
    <t>04CP013.CV</t>
  </si>
  <si>
    <t>04FCP14</t>
  </si>
  <si>
    <t>04CP014.CV</t>
  </si>
  <si>
    <t>04FCP15</t>
  </si>
  <si>
    <t>04FM002</t>
  </si>
  <si>
    <t>04MF002.MV</t>
  </si>
  <si>
    <t>04FM005</t>
  </si>
  <si>
    <t>04MF005.MV</t>
  </si>
  <si>
    <t>04FM605</t>
  </si>
  <si>
    <t>04MF605.MV</t>
  </si>
  <si>
    <t>04FM910</t>
  </si>
  <si>
    <t>04MF910.MV</t>
  </si>
  <si>
    <t>04H012</t>
  </si>
  <si>
    <t>LP CONDENSATE TO PLANT 3 RI</t>
  </si>
  <si>
    <t>HC04012.PV</t>
  </si>
  <si>
    <t>04L069</t>
  </si>
  <si>
    <t>TK LEVEL 04069</t>
  </si>
  <si>
    <t>04LI069.PV</t>
  </si>
  <si>
    <t>04P002</t>
  </si>
  <si>
    <t>04P002, DOW STM PRESSURE</t>
  </si>
  <si>
    <t>04PI002.PV</t>
  </si>
  <si>
    <t>04P016</t>
  </si>
  <si>
    <t>HP STEAM HEADER</t>
  </si>
  <si>
    <t>04PI016.PV</t>
  </si>
  <si>
    <t>04P017</t>
  </si>
  <si>
    <t>LETDOWN HP STEAM TO MP STEAM</t>
  </si>
  <si>
    <t>04PC017.PV</t>
  </si>
  <si>
    <t>04P019</t>
  </si>
  <si>
    <t>LP STEAM VENT TO ATMOSPHERE</t>
  </si>
  <si>
    <t>04PC019.PV</t>
  </si>
  <si>
    <t>04P020</t>
  </si>
  <si>
    <t>LETDOWN MP STEAM TO LP STEAM</t>
  </si>
  <si>
    <t>04PC020.PV</t>
  </si>
  <si>
    <t>04P023</t>
  </si>
  <si>
    <t>NATURAL GAS TO PLANT 3 PILOT</t>
  </si>
  <si>
    <t>04PC023.PV</t>
  </si>
  <si>
    <t>04P040</t>
  </si>
  <si>
    <t>CWS HEADER</t>
  </si>
  <si>
    <t>04PI040.PV</t>
  </si>
  <si>
    <t>04P090</t>
  </si>
  <si>
    <t>NITROGEN TO REFINERY</t>
  </si>
  <si>
    <t>04PI090.PV</t>
  </si>
  <si>
    <t>04P412</t>
  </si>
  <si>
    <t>04P412, TOTAL UNION GAS</t>
  </si>
  <si>
    <t>04PI412.PV</t>
  </si>
  <si>
    <t>04P640</t>
  </si>
  <si>
    <t>P04P640  PRESS KPA  14" DOW STEA</t>
  </si>
  <si>
    <t>04PC640.PV</t>
  </si>
  <si>
    <t>04PV017</t>
  </si>
  <si>
    <t>04PC017.OP</t>
  </si>
  <si>
    <t>04PV019</t>
  </si>
  <si>
    <t>LP STEAM TO VENT TO ATM</t>
  </si>
  <si>
    <t>04PC019.OP</t>
  </si>
  <si>
    <t>04PV020</t>
  </si>
  <si>
    <t>04PC020.OP</t>
  </si>
  <si>
    <t>04PV023</t>
  </si>
  <si>
    <t>04PC023.OP</t>
  </si>
  <si>
    <t>04T021</t>
  </si>
  <si>
    <t>04TC021.PV</t>
  </si>
  <si>
    <t>04T022</t>
  </si>
  <si>
    <t>CWR HEADER</t>
  </si>
  <si>
    <t>04TI022.PV</t>
  </si>
  <si>
    <t>04T056</t>
  </si>
  <si>
    <t>04TI056.PV</t>
  </si>
  <si>
    <t>04T057</t>
  </si>
  <si>
    <t>MP STEAM HEADER</t>
  </si>
  <si>
    <t>04TI057.PV</t>
  </si>
  <si>
    <t>04T058</t>
  </si>
  <si>
    <t>LP STEAM HEADER</t>
  </si>
  <si>
    <t>04TI058.PV</t>
  </si>
  <si>
    <t>04T064</t>
  </si>
  <si>
    <t>NAPHTHA FROM E-06 E-07</t>
  </si>
  <si>
    <t>04TI064.PV</t>
  </si>
  <si>
    <t>04T068</t>
  </si>
  <si>
    <t>SLOP FROM E-05</t>
  </si>
  <si>
    <t>04TI068.PV</t>
  </si>
  <si>
    <t>04T100</t>
  </si>
  <si>
    <t>C101/V223 TO FLARE</t>
  </si>
  <si>
    <t>04TI100.PV</t>
  </si>
  <si>
    <t>04T1043</t>
  </si>
  <si>
    <t>DOW     STEAM   TEMP.</t>
  </si>
  <si>
    <t>04TI1043.PV</t>
  </si>
  <si>
    <t>04T37-11</t>
  </si>
  <si>
    <t>h110 STACK</t>
  </si>
  <si>
    <t>04TI3711.PV</t>
  </si>
  <si>
    <t>04T405</t>
  </si>
  <si>
    <t>COOLING WATER TO PLT #1</t>
  </si>
  <si>
    <t>04TI405.PV</t>
  </si>
  <si>
    <t>04TM405</t>
  </si>
  <si>
    <t>04MT405.MV</t>
  </si>
  <si>
    <t>05A031</t>
  </si>
  <si>
    <t>EQUALIZATION BASIN PH   pH</t>
  </si>
  <si>
    <t>05AI031.PV</t>
  </si>
  <si>
    <t>05A033</t>
  </si>
  <si>
    <t>AERATION BASIN 1 OUT DO ppm</t>
  </si>
  <si>
    <t>05AC033.PV</t>
  </si>
  <si>
    <t>05A034</t>
  </si>
  <si>
    <t>AERATION BASIN 2 OUT DO ppm</t>
  </si>
  <si>
    <t>05AC034.PV</t>
  </si>
  <si>
    <t>05A035</t>
  </si>
  <si>
    <t>AERATION BASIN 1 OUT PH pH</t>
  </si>
  <si>
    <t>05AI035.PV</t>
  </si>
  <si>
    <t>05A036</t>
  </si>
  <si>
    <t>AERATION BASIN 2 OUT PH pH</t>
  </si>
  <si>
    <t>05AI036.PV</t>
  </si>
  <si>
    <t>05A037</t>
  </si>
  <si>
    <t>WEMCO 1 INLET PH        pH</t>
  </si>
  <si>
    <t>05AI037.PV</t>
  </si>
  <si>
    <t>05A065</t>
  </si>
  <si>
    <t>REFINERY EFFLUENT PH    pH</t>
  </si>
  <si>
    <t>05AI065.PV</t>
  </si>
  <si>
    <t>05AB1P</t>
  </si>
  <si>
    <t>05WATAR1OP.VOLAT</t>
  </si>
  <si>
    <t>05AB2P</t>
  </si>
  <si>
    <t>05WATAR2OP.VOLAT</t>
  </si>
  <si>
    <t>05CL2R</t>
  </si>
  <si>
    <t>05WATRCCL2.WTTOSS</t>
  </si>
  <si>
    <t>05CL3R</t>
  </si>
  <si>
    <t>05WATRCCL3.WTTOSS</t>
  </si>
  <si>
    <t>05CL3WASTE</t>
  </si>
  <si>
    <t>05CL3WASTE.CV</t>
  </si>
  <si>
    <t>05CLTE</t>
  </si>
  <si>
    <t>05WATTTCL.WTTOSS</t>
  </si>
  <si>
    <t>05CLWFITOT</t>
  </si>
  <si>
    <t>05CLWFITOT.CV</t>
  </si>
  <si>
    <t>05EFFTOT</t>
  </si>
  <si>
    <t>05EFFTOT.CV</t>
  </si>
  <si>
    <t>05F010</t>
  </si>
  <si>
    <t>FUEL GAS TO EMERG PURGE    X1000</t>
  </si>
  <si>
    <t>05FI010.PV</t>
  </si>
  <si>
    <t>05F015</t>
  </si>
  <si>
    <t>KO DRUM PUMP DISCHARGE</t>
  </si>
  <si>
    <t>05FI015.PV</t>
  </si>
  <si>
    <t>05F017</t>
  </si>
  <si>
    <t>NATURAL GAS PURGE AND PILOT</t>
  </si>
  <si>
    <t>05FI017.PV</t>
  </si>
  <si>
    <t>05F018</t>
  </si>
  <si>
    <t>MP STEAM TO FLARE NOZZLE   X1000</t>
  </si>
  <si>
    <t>05FI018.PV</t>
  </si>
  <si>
    <t>05F019</t>
  </si>
  <si>
    <t>MP STEAM TO FLARE TIP      X1000</t>
  </si>
  <si>
    <t>05FI019.PV</t>
  </si>
  <si>
    <t>05F020</t>
  </si>
  <si>
    <t>HP STEAM TO KO DRUM PUMP   X1000</t>
  </si>
  <si>
    <t>05FI020.PV</t>
  </si>
  <si>
    <t>05F021</t>
  </si>
  <si>
    <t>AER BN 1 TOTAL CHRG CAL m3/D</t>
  </si>
  <si>
    <t>05FY021.PV</t>
  </si>
  <si>
    <t>05F022</t>
  </si>
  <si>
    <t>AER BN 2 TOTAL CHRG CAL m3/D</t>
  </si>
  <si>
    <t>05FY022.PV</t>
  </si>
  <si>
    <t>05F023</t>
  </si>
  <si>
    <t>CLAR 2 % TOTAL CHRG CAL %</t>
  </si>
  <si>
    <t>05FY023.PV</t>
  </si>
  <si>
    <t>05F024</t>
  </si>
  <si>
    <t>CLAR 3 % TOTAL CHRG CAL %</t>
  </si>
  <si>
    <t>05FY024.PV</t>
  </si>
  <si>
    <t>05F025</t>
  </si>
  <si>
    <t>CLAR 2 FEED RECY % CAL  %</t>
  </si>
  <si>
    <t>05FY025.PV</t>
  </si>
  <si>
    <t>05F026</t>
  </si>
  <si>
    <t>CLAR 3 FEED RECY % CAL  %</t>
  </si>
  <si>
    <t>05FY026.PV</t>
  </si>
  <si>
    <t>05F032</t>
  </si>
  <si>
    <t>EQUALIZATION FEED FR P3 m3/D</t>
  </si>
  <si>
    <t>05FI032.PV</t>
  </si>
  <si>
    <t>05F036</t>
  </si>
  <si>
    <t>AIR TO AERATION BASIN 1 SCFH</t>
  </si>
  <si>
    <t>05FC036.PV</t>
  </si>
  <si>
    <t>05F037</t>
  </si>
  <si>
    <t>AIR TO AERATION BASIN 2 SCFH</t>
  </si>
  <si>
    <t>05FC037.PV</t>
  </si>
  <si>
    <t>05F039</t>
  </si>
  <si>
    <t>WEMCO 1 OUT TO AER BN 2 m3/D</t>
  </si>
  <si>
    <t>05FC039.PV</t>
  </si>
  <si>
    <t>05F045</t>
  </si>
  <si>
    <t>CLARIFIER 3 FEED        m3/D</t>
  </si>
  <si>
    <t>05FI045.PV</t>
  </si>
  <si>
    <t>05F046</t>
  </si>
  <si>
    <t>CLARIFIER 2 FEED        m3/D</t>
  </si>
  <si>
    <t>05FI046.PV</t>
  </si>
  <si>
    <t>05F047</t>
  </si>
  <si>
    <t>CLARIFIER 2 RECYCLE SLDGm3/D</t>
  </si>
  <si>
    <t>05FC047.PV</t>
  </si>
  <si>
    <t>05F048</t>
  </si>
  <si>
    <t>CLARIFIER 3 RECYCLE SLDGm3/D</t>
  </si>
  <si>
    <t>05FC048.PV</t>
  </si>
  <si>
    <t>05F049</t>
  </si>
  <si>
    <t>CONT INLET SU OVFL WEIR m3/D</t>
  </si>
  <si>
    <t>05FI049.PV</t>
  </si>
  <si>
    <t>05F050</t>
  </si>
  <si>
    <t>COMBINED CLARIFIER EFF  m3/D</t>
  </si>
  <si>
    <t>05FI050.PV</t>
  </si>
  <si>
    <t>05F051</t>
  </si>
  <si>
    <t>SOUTH IMPOUNDING REWORK m3/D</t>
  </si>
  <si>
    <t>05FC051.PV</t>
  </si>
  <si>
    <t>05F053</t>
  </si>
  <si>
    <t>IMPOUNDING OUT FLUME    m3/D</t>
  </si>
  <si>
    <t>05FI053.PV</t>
  </si>
  <si>
    <t>05F1027</t>
  </si>
  <si>
    <t>CONTAMINATED H20 TO 39TKm3/D</t>
  </si>
  <si>
    <t>05FC1027.PV</t>
  </si>
  <si>
    <t>05F1029</t>
  </si>
  <si>
    <t>BAL H2O FR 39TK TO PROC.m3/D</t>
  </si>
  <si>
    <t>05FC1029.PV</t>
  </si>
  <si>
    <t>05F1053</t>
  </si>
  <si>
    <t>WEMCO 1 FEED            m3/D</t>
  </si>
  <si>
    <t>05FI1053.PV</t>
  </si>
  <si>
    <t>05F1060</t>
  </si>
  <si>
    <t>NORTH IMPOUNDING REWORK m3/D</t>
  </si>
  <si>
    <t>05FC1060.PV</t>
  </si>
  <si>
    <t>05F803</t>
  </si>
  <si>
    <t>REFINERY INFLUENT       M3Dx1000</t>
  </si>
  <si>
    <t>05FI803.PV</t>
  </si>
  <si>
    <t>05FC001</t>
  </si>
  <si>
    <t>TOTAL STEAM TO FLARE       X1000</t>
  </si>
  <si>
    <t>05CF001.CV</t>
  </si>
  <si>
    <t>05FC002</t>
  </si>
  <si>
    <t>TOTAL PLANT 3 FLARED GAS</t>
  </si>
  <si>
    <t>05CF002.CV</t>
  </si>
  <si>
    <t>05FC003</t>
  </si>
  <si>
    <t>CT/FLARE STM ENERGY CONSUMPTION</t>
  </si>
  <si>
    <t>CF05003.CV</t>
  </si>
  <si>
    <t>05FC008</t>
  </si>
  <si>
    <t>05CF008.CV</t>
  </si>
  <si>
    <t>05FC009</t>
  </si>
  <si>
    <t>05CF009.CV</t>
  </si>
  <si>
    <t>05FC010</t>
  </si>
  <si>
    <t>05CF010.CV</t>
  </si>
  <si>
    <t>05FC011</t>
  </si>
  <si>
    <t>05CF011.CV</t>
  </si>
  <si>
    <t>05FC012</t>
  </si>
  <si>
    <t>05CF012.CV</t>
  </si>
  <si>
    <t>05FC013</t>
  </si>
  <si>
    <t>05FC013.CV</t>
  </si>
  <si>
    <t>05FC014</t>
  </si>
  <si>
    <t>05CF014.CV</t>
  </si>
  <si>
    <t>05FC022</t>
  </si>
  <si>
    <t>05CF022.CV</t>
  </si>
  <si>
    <t>05FM001</t>
  </si>
  <si>
    <t>PLANT 3 FLARE TOTALIZER</t>
  </si>
  <si>
    <t>MF05001.PV</t>
  </si>
  <si>
    <t>05FM034</t>
  </si>
  <si>
    <t>05MF034.MV</t>
  </si>
  <si>
    <t>05FM036</t>
  </si>
  <si>
    <t>05MF036.MV</t>
  </si>
  <si>
    <t>05FM039</t>
  </si>
  <si>
    <t>05MF039.MV</t>
  </si>
  <si>
    <t>05FM050</t>
  </si>
  <si>
    <t>05MF050.MV</t>
  </si>
  <si>
    <t>05FM053</t>
  </si>
  <si>
    <t>05MF053.MV</t>
  </si>
  <si>
    <t>05FM0803</t>
  </si>
  <si>
    <t>05MF0803.PV</t>
  </si>
  <si>
    <t>05FPEF</t>
  </si>
  <si>
    <t>05WATCMFNPC.WTTOSS</t>
  </si>
  <si>
    <t>05H014</t>
  </si>
  <si>
    <t>MP STEAM TO FLARE TIP  RI</t>
  </si>
  <si>
    <t>HC05014.PV</t>
  </si>
  <si>
    <t>05IBEF</t>
  </si>
  <si>
    <t>05WATIM.WTTOSS</t>
  </si>
  <si>
    <t>05L010</t>
  </si>
  <si>
    <t>KO DRUM PLANT 1 PLANT 2 SEAL OIL</t>
  </si>
  <si>
    <t>05LI010.PV</t>
  </si>
  <si>
    <t>05L011</t>
  </si>
  <si>
    <t>KO DRUM PLANT 1 PLANT 2 COND</t>
  </si>
  <si>
    <t>05LI011.PV</t>
  </si>
  <si>
    <t>05L015</t>
  </si>
  <si>
    <t>KO DRUM PLANT 3 SEAL OIL</t>
  </si>
  <si>
    <t>05LI015.PV</t>
  </si>
  <si>
    <t>05L016</t>
  </si>
  <si>
    <t>KO DRUM PLANT 3 COND</t>
  </si>
  <si>
    <t>05LI016.PV</t>
  </si>
  <si>
    <t>05L048</t>
  </si>
  <si>
    <t>SLUDGE HOLDING TANK     %</t>
  </si>
  <si>
    <t>05LI048.PV</t>
  </si>
  <si>
    <t>05L061</t>
  </si>
  <si>
    <t>SOUTH IMPOUNDING BASIN  %</t>
  </si>
  <si>
    <t>05LI061.PV</t>
  </si>
  <si>
    <t>05L062</t>
  </si>
  <si>
    <t>NORTH IMPOUNDING BASIN  %</t>
  </si>
  <si>
    <t>05LI062.PV</t>
  </si>
  <si>
    <t>05L079</t>
  </si>
  <si>
    <t>REFORMER CAUSTIC 05TK011 LEVEL</t>
  </si>
  <si>
    <t>05LI079.PV</t>
  </si>
  <si>
    <t>05MLSSTOT</t>
  </si>
  <si>
    <t>05MLSSTOT.CV</t>
  </si>
  <si>
    <t>05P018</t>
  </si>
  <si>
    <t>HP STEAM TO FLARE  SR</t>
  </si>
  <si>
    <t>05PC018.PV</t>
  </si>
  <si>
    <t>05PV018</t>
  </si>
  <si>
    <t>HP STEAM TO FLARE</t>
  </si>
  <si>
    <t>05PC018.OP</t>
  </si>
  <si>
    <t>05T031</t>
  </si>
  <si>
    <t>BAL H2O FR 39TK TO PROC.DEG C</t>
  </si>
  <si>
    <t>05TI031.PV</t>
  </si>
  <si>
    <t>05T032</t>
  </si>
  <si>
    <t>WEMCO 2 OUTLET          DEG C</t>
  </si>
  <si>
    <t>05TI032.PV</t>
  </si>
  <si>
    <t>05T033</t>
  </si>
  <si>
    <t>AERATION BASIN 1 OUT    DEG C</t>
  </si>
  <si>
    <t>05TI033.PV</t>
  </si>
  <si>
    <t>05T034</t>
  </si>
  <si>
    <t>AERATION BASIN 2 OUT    DEG C</t>
  </si>
  <si>
    <t>05TI034.PV</t>
  </si>
  <si>
    <t>05T035</t>
  </si>
  <si>
    <t>AERATION BASIN 2 INLET  DEG C</t>
  </si>
  <si>
    <t>05TI035.PV</t>
  </si>
  <si>
    <t>05WEM2O</t>
  </si>
  <si>
    <t>05MWEM2O.MV</t>
  </si>
  <si>
    <t>10$C001</t>
  </si>
  <si>
    <t>3-1-R02 ENERGY BENEFIT</t>
  </si>
  <si>
    <t>31C$0001.CV</t>
  </si>
  <si>
    <t>10$C002</t>
  </si>
  <si>
    <t>3-1-R02 PRO RECOVERY BENEFIT</t>
  </si>
  <si>
    <t>31C$0002.CV</t>
  </si>
  <si>
    <t>10$C003</t>
  </si>
  <si>
    <t>3-1-R02 CONTROL ONLY BENEFIT</t>
  </si>
  <si>
    <t>31C$0003.CV</t>
  </si>
  <si>
    <t>10$C004</t>
  </si>
  <si>
    <t>LHCR BEN PRCURSR BENFIT</t>
  </si>
  <si>
    <t>10$C006</t>
  </si>
  <si>
    <t>C3/C4 SPLITTER ENERGY BENEFIT</t>
  </si>
  <si>
    <t>31C$0006.CV</t>
  </si>
  <si>
    <t>10$C007</t>
  </si>
  <si>
    <t>HHCR CONTROL BENEFIT</t>
  </si>
  <si>
    <t>31C$0007.CV</t>
  </si>
  <si>
    <t>11A003A</t>
  </si>
  <si>
    <t>H-101 % O2</t>
  </si>
  <si>
    <t>11AI003A.PV</t>
  </si>
  <si>
    <t>11A003B</t>
  </si>
  <si>
    <t>H-101 % COMBUSTIBLES</t>
  </si>
  <si>
    <t>11AI003B.PV</t>
  </si>
  <si>
    <t>11A004A</t>
  </si>
  <si>
    <t>H-113 % O2</t>
  </si>
  <si>
    <t>11AI004A.PV</t>
  </si>
  <si>
    <t>11A004B</t>
  </si>
  <si>
    <t>H-113 % COMBUSTIBLES</t>
  </si>
  <si>
    <t>11AI004B.PV</t>
  </si>
  <si>
    <t>11CTIN</t>
  </si>
  <si>
    <t>11CRUIN.DEN15</t>
  </si>
  <si>
    <t>11CTOH</t>
  </si>
  <si>
    <t>11NAPLT.DEN15</t>
  </si>
  <si>
    <t>11DM01</t>
  </si>
  <si>
    <t>11MD001.MV</t>
  </si>
  <si>
    <t>11DMNAPH</t>
  </si>
  <si>
    <t>11MDNAPH.MV</t>
  </si>
  <si>
    <t>11F012</t>
  </si>
  <si>
    <t>HCGO TO TK 71 VAC</t>
  </si>
  <si>
    <t>11FC012.PV</t>
  </si>
  <si>
    <t>11F012A</t>
  </si>
  <si>
    <t>HCGO TO 14-E-01</t>
  </si>
  <si>
    <t>11FI012A.PV</t>
  </si>
  <si>
    <t>11F015</t>
  </si>
  <si>
    <t>#1 LVGO TO F.O.</t>
  </si>
  <si>
    <t>21FX015A.PV</t>
  </si>
  <si>
    <t>11F102</t>
  </si>
  <si>
    <t>11F102, H-101 COIL A</t>
  </si>
  <si>
    <t>11FC102.PV</t>
  </si>
  <si>
    <t>11F103</t>
  </si>
  <si>
    <t>11F103, H-101 COIL B</t>
  </si>
  <si>
    <t>11FC103.PV</t>
  </si>
  <si>
    <t>11F104</t>
  </si>
  <si>
    <t>11F104, FUEL GAS TO H-101</t>
  </si>
  <si>
    <t>11FC104.PV</t>
  </si>
  <si>
    <t>11F104B</t>
  </si>
  <si>
    <t>Heavy Fuel Oil to H-101</t>
  </si>
  <si>
    <t>11FI104B.PV</t>
  </si>
  <si>
    <t>11F106</t>
  </si>
  <si>
    <t>11F106, LVGO</t>
  </si>
  <si>
    <t>11FI106.PV</t>
  </si>
  <si>
    <t>11F108</t>
  </si>
  <si>
    <t>11F108, HDS PRODUCT</t>
  </si>
  <si>
    <t>11FI108.PV</t>
  </si>
  <si>
    <t>11F112</t>
  </si>
  <si>
    <t>11F112, HEAVY NAPTHA PRODUCT</t>
  </si>
  <si>
    <t>11FC112.PV</t>
  </si>
  <si>
    <t>11F113</t>
  </si>
  <si>
    <t>11F113, KERO TO BLENDER FRM PLT.</t>
  </si>
  <si>
    <t>11FC113.PV</t>
  </si>
  <si>
    <t>11F114</t>
  </si>
  <si>
    <t>11F114, V101 CRUDE TWR GAS X100</t>
  </si>
  <si>
    <t>11FI114.PV</t>
  </si>
  <si>
    <t>11F116</t>
  </si>
  <si>
    <t>11F116, LIGHT NAPHTHA PLT 1 TO P</t>
  </si>
  <si>
    <t>11FI116.PV</t>
  </si>
  <si>
    <t>11F117</t>
  </si>
  <si>
    <t>11F117, KERO REFLUX TO CRUDE TOW</t>
  </si>
  <si>
    <t>11FC117.PV</t>
  </si>
  <si>
    <t>11F12002</t>
  </si>
  <si>
    <t>11F12002, HEAVY NAPHTHA TO GASO.</t>
  </si>
  <si>
    <t>11FI12002.PV</t>
  </si>
  <si>
    <t>11F123</t>
  </si>
  <si>
    <t>11F123, 30 TANK RERUN (LEADED SL</t>
  </si>
  <si>
    <t>11FI123.PV</t>
  </si>
  <si>
    <t>11F124</t>
  </si>
  <si>
    <t>11F124, PLANT 1 CRUDE CHARGE SL</t>
  </si>
  <si>
    <t>11FC124.PV</t>
  </si>
  <si>
    <t>11F129</t>
  </si>
  <si>
    <t>11F129, CRUDE TOWER TOP REFLUX</t>
  </si>
  <si>
    <t>11FI129.PV</t>
  </si>
  <si>
    <t>11F130</t>
  </si>
  <si>
    <t>11F130, LIGHT NAPHTHA TO SRDP</t>
  </si>
  <si>
    <t>11FC130.PV</t>
  </si>
  <si>
    <t>11F147</t>
  </si>
  <si>
    <t>11F147, HVGO REFLUX</t>
  </si>
  <si>
    <t>11FC147.PV</t>
  </si>
  <si>
    <t>11F160</t>
  </si>
  <si>
    <t>11F160, FUEL GAS TO H-113</t>
  </si>
  <si>
    <t>11FI160.PV</t>
  </si>
  <si>
    <t>11F160B</t>
  </si>
  <si>
    <t>Heavy Fuel Oil to H-113</t>
  </si>
  <si>
    <t>11FC160B.PV</t>
  </si>
  <si>
    <t>11F161</t>
  </si>
  <si>
    <t>11F161, REDUCED CRUDE TO H-113</t>
  </si>
  <si>
    <t>11FC161.PV</t>
  </si>
  <si>
    <t>11F162</t>
  </si>
  <si>
    <t>11F162, CRUDE TO H-113</t>
  </si>
  <si>
    <t>11FC162.PV</t>
  </si>
  <si>
    <t>11F163</t>
  </si>
  <si>
    <t>11F163, PLT #1 HVY VIRGIN GAS OI</t>
  </si>
  <si>
    <t>11FI163.PV</t>
  </si>
  <si>
    <t>11F176</t>
  </si>
  <si>
    <t>11F176, PLANT 1 CRUDE CHARGE</t>
  </si>
  <si>
    <t>11FI176.PV</t>
  </si>
  <si>
    <t>11F177</t>
  </si>
  <si>
    <t>11F177, HEAVY NAPHTHA TO PLANT 2</t>
  </si>
  <si>
    <t>11FC177.PV</t>
  </si>
  <si>
    <t>11F178</t>
  </si>
  <si>
    <t>PLT #1  LVGO TO TK 71</t>
  </si>
  <si>
    <t>11FC178.PV</t>
  </si>
  <si>
    <t>11F183</t>
  </si>
  <si>
    <t>H.V.G.O. sparge to T-101</t>
  </si>
  <si>
    <t>11FC183.PV</t>
  </si>
  <si>
    <t>11F184</t>
  </si>
  <si>
    <t>#1 LVGO OPER TO DIESEL HEADER</t>
  </si>
  <si>
    <t>11FC184A.PV</t>
  </si>
  <si>
    <t>11F185</t>
  </si>
  <si>
    <t>11F185, VELOCITY STEAM TO H-116</t>
  </si>
  <si>
    <t>11FI185.PV</t>
  </si>
  <si>
    <t>11F187</t>
  </si>
  <si>
    <t>LCGO to  TK  71</t>
  </si>
  <si>
    <t>11FC187.PV</t>
  </si>
  <si>
    <t>11F188</t>
  </si>
  <si>
    <t>#1 LVGO OPER. SET RUNDOWN</t>
  </si>
  <si>
    <t>21FY188.PV</t>
  </si>
  <si>
    <t>11F312</t>
  </si>
  <si>
    <t>11F312, PLANT 2 REDUCED CRUDE TO</t>
  </si>
  <si>
    <t>11FC312.PV</t>
  </si>
  <si>
    <t>11F351</t>
  </si>
  <si>
    <t>11F351, PLANT 1 KERO TO HDS</t>
  </si>
  <si>
    <t>11FI351.PV</t>
  </si>
  <si>
    <t>11F353</t>
  </si>
  <si>
    <t>JET/DSL BTTMS</t>
  </si>
  <si>
    <t>11FC353.PV</t>
  </si>
  <si>
    <t>11F354</t>
  </si>
  <si>
    <t>HOT #2  KERO TO HDS</t>
  </si>
  <si>
    <t>11FC354.PV</t>
  </si>
  <si>
    <t>11F617</t>
  </si>
  <si>
    <t>11F617, 3100 KPA STM TO AIR BLWR</t>
  </si>
  <si>
    <t>11FI617.PV</t>
  </si>
  <si>
    <t>11FC01</t>
  </si>
  <si>
    <t>11CF001.CV</t>
  </si>
  <si>
    <t>11FC02</t>
  </si>
  <si>
    <t>11CF002.CV</t>
  </si>
  <si>
    <t>11FC03</t>
  </si>
  <si>
    <t>11CF003.CV</t>
  </si>
  <si>
    <t>11FC04</t>
  </si>
  <si>
    <t>11CF004.CV</t>
  </si>
  <si>
    <t>11FC05</t>
  </si>
  <si>
    <t>11CF005.CV</t>
  </si>
  <si>
    <t>11FC06</t>
  </si>
  <si>
    <t>11CF006.CV</t>
  </si>
  <si>
    <t>11FC07</t>
  </si>
  <si>
    <t>11CF007.CV</t>
  </si>
  <si>
    <t>11FC09</t>
  </si>
  <si>
    <t>11CF009.CV</t>
  </si>
  <si>
    <t>11FC10</t>
  </si>
  <si>
    <t>11CF010.CV</t>
  </si>
  <si>
    <t>11FC11</t>
  </si>
  <si>
    <t>11CF011.CV</t>
  </si>
  <si>
    <t>11FC117</t>
  </si>
  <si>
    <t>11CF117.CV</t>
  </si>
  <si>
    <t>11FC12</t>
  </si>
  <si>
    <t>11CF012.CV</t>
  </si>
  <si>
    <t>11FC129</t>
  </si>
  <si>
    <t>11CF129.CV</t>
  </si>
  <si>
    <t>11FC13</t>
  </si>
  <si>
    <t>11CF013.CV</t>
  </si>
  <si>
    <t>11FC14</t>
  </si>
  <si>
    <t>11CF014.CV</t>
  </si>
  <si>
    <t>11FC147</t>
  </si>
  <si>
    <t>11CF147.CV</t>
  </si>
  <si>
    <t>11FC15</t>
  </si>
  <si>
    <t>11CF015.CV</t>
  </si>
  <si>
    <t>11FC16</t>
  </si>
  <si>
    <t>11CF016.CV</t>
  </si>
  <si>
    <t>11FC17</t>
  </si>
  <si>
    <t>11CF017.CV</t>
  </si>
  <si>
    <t>11FC18</t>
  </si>
  <si>
    <t>11CF018.CV</t>
  </si>
  <si>
    <t>11FC19</t>
  </si>
  <si>
    <t>11CF019.CV</t>
  </si>
  <si>
    <t>11FC20</t>
  </si>
  <si>
    <t>11CF020.CV</t>
  </si>
  <si>
    <t>11FC21</t>
  </si>
  <si>
    <t>11CF021.CV</t>
  </si>
  <si>
    <t>11FGAS</t>
  </si>
  <si>
    <t>11FUGH101.C1</t>
  </si>
  <si>
    <t>11FUGH101.C2</t>
  </si>
  <si>
    <t>11FUGH101.C3</t>
  </si>
  <si>
    <t>11FUGH101.C3A</t>
  </si>
  <si>
    <t>11FUGH101.C4A</t>
  </si>
  <si>
    <t>11FUGH101.C5A</t>
  </si>
  <si>
    <t>11FUGH101.C6B</t>
  </si>
  <si>
    <t>11FUGH101.CO</t>
  </si>
  <si>
    <t>11FUGH101.CO2</t>
  </si>
  <si>
    <t>11FUGH101.H2</t>
  </si>
  <si>
    <t>11FUGH101.IC4</t>
  </si>
  <si>
    <t>11FUGH101.IC5</t>
  </si>
  <si>
    <t>11FUGH101.N2</t>
  </si>
  <si>
    <t>11FUGH101.NC4</t>
  </si>
  <si>
    <t>11FUGH101.NC5</t>
  </si>
  <si>
    <t>11FUGH101.O2</t>
  </si>
  <si>
    <t>11FM001</t>
  </si>
  <si>
    <t>11MF001.MV</t>
  </si>
  <si>
    <t>11FM003</t>
  </si>
  <si>
    <t>11MF003.MV</t>
  </si>
  <si>
    <t>11FM005</t>
  </si>
  <si>
    <t>11MF005.MV</t>
  </si>
  <si>
    <t>11FM108</t>
  </si>
  <si>
    <t>11MF108.MV</t>
  </si>
  <si>
    <t>11FM113</t>
  </si>
  <si>
    <t>11MF113.MV</t>
  </si>
  <si>
    <t>11FM163</t>
  </si>
  <si>
    <t>11MF163.MV</t>
  </si>
  <si>
    <t>11FM178</t>
  </si>
  <si>
    <t>11MF178.MV</t>
  </si>
  <si>
    <t>11HC001</t>
  </si>
  <si>
    <t>11CH001.CV</t>
  </si>
  <si>
    <t>11HCGO</t>
  </si>
  <si>
    <t>11MDHCGO.MV</t>
  </si>
  <si>
    <t>11ME111</t>
  </si>
  <si>
    <t>11ME111.MV</t>
  </si>
  <si>
    <t>11P102</t>
  </si>
  <si>
    <t>11P102, T-101 BOTTOM</t>
  </si>
  <si>
    <t>11PI102.PV</t>
  </si>
  <si>
    <t>11P103</t>
  </si>
  <si>
    <t>11P103, T-101 TOP</t>
  </si>
  <si>
    <t>11PC103.PV</t>
  </si>
  <si>
    <t>11P104</t>
  </si>
  <si>
    <t>11P104, FUEL OIL TO H-101</t>
  </si>
  <si>
    <t>11PI104.PV</t>
  </si>
  <si>
    <t>11P106</t>
  </si>
  <si>
    <t>11P106, FUEL OIL TO H-113</t>
  </si>
  <si>
    <t>11PC106.PV</t>
  </si>
  <si>
    <t>11P121</t>
  </si>
  <si>
    <t>11T101 CRUDE OVHD PRESSURE</t>
  </si>
  <si>
    <t>11PI121.PV</t>
  </si>
  <si>
    <t>11PD117</t>
  </si>
  <si>
    <t>11PD117, TOP TO BOTOM T-101</t>
  </si>
  <si>
    <t>11PDI117.PV</t>
  </si>
  <si>
    <t>11PD118</t>
  </si>
  <si>
    <t>11PD118, TOP TO 11 TRAY T-101</t>
  </si>
  <si>
    <t>11PDI118.PV</t>
  </si>
  <si>
    <t>11QC110A</t>
  </si>
  <si>
    <t>11E110A.Q</t>
  </si>
  <si>
    <t>11QC110B</t>
  </si>
  <si>
    <t>11E11OB.Q</t>
  </si>
  <si>
    <t>11QC111A</t>
  </si>
  <si>
    <t>11E111A.Q</t>
  </si>
  <si>
    <t>11QC111B</t>
  </si>
  <si>
    <t>11E111B.Q</t>
  </si>
  <si>
    <t>11QC112BD</t>
  </si>
  <si>
    <t>11E112BD.Q</t>
  </si>
  <si>
    <t>11QC113AC</t>
  </si>
  <si>
    <t>11E113AC.Q</t>
  </si>
  <si>
    <t>11QC113BD</t>
  </si>
  <si>
    <t>11E113BD.Q</t>
  </si>
  <si>
    <t>11QC133</t>
  </si>
  <si>
    <t>11E133.Q</t>
  </si>
  <si>
    <t>11QC184</t>
  </si>
  <si>
    <t>11E184.Q</t>
  </si>
  <si>
    <t>11QC185</t>
  </si>
  <si>
    <t>11E185.Q</t>
  </si>
  <si>
    <t>11QC186AB</t>
  </si>
  <si>
    <t>11E186AB.Q</t>
  </si>
  <si>
    <t>11QC186BA</t>
  </si>
  <si>
    <t>11E186BA.Q</t>
  </si>
  <si>
    <t>11QC186CD</t>
  </si>
  <si>
    <t>11E186CD.Q</t>
  </si>
  <si>
    <t>11QC186DC</t>
  </si>
  <si>
    <t>11E186DC.Q</t>
  </si>
  <si>
    <t>11QC196</t>
  </si>
  <si>
    <t>11E196.Q</t>
  </si>
  <si>
    <t>11QC205</t>
  </si>
  <si>
    <t>11E205.Q</t>
  </si>
  <si>
    <t>11RC01</t>
  </si>
  <si>
    <t>11CR001.CV</t>
  </si>
  <si>
    <t>11RC02</t>
  </si>
  <si>
    <t>11CR002.CV</t>
  </si>
  <si>
    <t>11RC03</t>
  </si>
  <si>
    <t>11CR003.CV</t>
  </si>
  <si>
    <t>11RC04</t>
  </si>
  <si>
    <t>11CR004.CV</t>
  </si>
  <si>
    <t>11RC05</t>
  </si>
  <si>
    <t>11CR005.CV</t>
  </si>
  <si>
    <t>11SC001</t>
  </si>
  <si>
    <t>11CS001.CV</t>
  </si>
  <si>
    <t>11STHV</t>
  </si>
  <si>
    <t>11HGO.DEN15</t>
  </si>
  <si>
    <t>11STK1</t>
  </si>
  <si>
    <t>11KER.DEN15</t>
  </si>
  <si>
    <t>11STLV</t>
  </si>
  <si>
    <t>11LGO.DEN15</t>
  </si>
  <si>
    <t>11SWING</t>
  </si>
  <si>
    <t>11SWING.MV</t>
  </si>
  <si>
    <t>11T129</t>
  </si>
  <si>
    <t>T11T129 TEMPERATURE</t>
  </si>
  <si>
    <t>11TI129.PV</t>
  </si>
  <si>
    <t>11T454</t>
  </si>
  <si>
    <t>E-186 D TUBE OUT - CRUDE</t>
  </si>
  <si>
    <t>11TI454.PV</t>
  </si>
  <si>
    <t>11T470</t>
  </si>
  <si>
    <t>V-120 CRUDE OUTLET</t>
  </si>
  <si>
    <t>11TI470.PV</t>
  </si>
  <si>
    <t>11T472</t>
  </si>
  <si>
    <t>CRUDE TO PLANT 1</t>
  </si>
  <si>
    <t>11TI472.PV</t>
  </si>
  <si>
    <t>11T477</t>
  </si>
  <si>
    <t>T-107 FLASHED VAPOR TO T-101</t>
  </si>
  <si>
    <t>11TI477.PV</t>
  </si>
  <si>
    <t>11T478</t>
  </si>
  <si>
    <t>T-107 FLASHED CRUDE TO P-197</t>
  </si>
  <si>
    <t>11TI478.PV</t>
  </si>
  <si>
    <t>11T484</t>
  </si>
  <si>
    <t>E-186 A&amp;C TUBE IN - CRUDE</t>
  </si>
  <si>
    <t>11TI484.PV</t>
  </si>
  <si>
    <t>11T485</t>
  </si>
  <si>
    <t>E-186 B TUBE OUT - CRUDE</t>
  </si>
  <si>
    <t>11TI485.PV</t>
  </si>
  <si>
    <t>11T486</t>
  </si>
  <si>
    <t>E-186 A SHELL IN - SYN. QUENCH</t>
  </si>
  <si>
    <t>11TI486.PV</t>
  </si>
  <si>
    <t>11T487</t>
  </si>
  <si>
    <t>E-186 C SHELL IN - SYN. QUENCH</t>
  </si>
  <si>
    <t>11TI487.PV</t>
  </si>
  <si>
    <t>11T488</t>
  </si>
  <si>
    <t>E-186 B&amp;D SHELL IN - SYN. QUENCH</t>
  </si>
  <si>
    <t>11TI488.PV</t>
  </si>
  <si>
    <t>11T489</t>
  </si>
  <si>
    <t>11TI489.PV</t>
  </si>
  <si>
    <t>11T490</t>
  </si>
  <si>
    <t>11TI490.PV</t>
  </si>
  <si>
    <t>11T491</t>
  </si>
  <si>
    <t>11TI491.PV</t>
  </si>
  <si>
    <t>11T493</t>
  </si>
  <si>
    <t>11TI493.PV</t>
  </si>
  <si>
    <t>11T494</t>
  </si>
  <si>
    <t>E-112 E SHELL OUT - LT. VIRGIN G</t>
  </si>
  <si>
    <t>11TI494.PV</t>
  </si>
  <si>
    <t>11T509</t>
  </si>
  <si>
    <t>E-110 A SHELL OUT - H.D.S. GAS O</t>
  </si>
  <si>
    <t>11TI509.PV</t>
  </si>
  <si>
    <t>11T518</t>
  </si>
  <si>
    <t>E-128 A SHELL OUT - KEROSENE</t>
  </si>
  <si>
    <t>11TI518.PV</t>
  </si>
  <si>
    <t>11T538</t>
  </si>
  <si>
    <t>H-113 OIL OUTLET TO T-101</t>
  </si>
  <si>
    <t>11TI538.PV</t>
  </si>
  <si>
    <t>11T539</t>
  </si>
  <si>
    <t>11TI539.PV</t>
  </si>
  <si>
    <t>11T545</t>
  </si>
  <si>
    <t>H-101 RADIANT A. OUTLET</t>
  </si>
  <si>
    <t>11TI545.PV</t>
  </si>
  <si>
    <t>11T546</t>
  </si>
  <si>
    <t>H-101 RADIANT B. OUTLET</t>
  </si>
  <si>
    <t>11TI546.PV</t>
  </si>
  <si>
    <t>11T547</t>
  </si>
  <si>
    <t>H-101 OIL OUTLET TO T-101</t>
  </si>
  <si>
    <t>11TI547.PV</t>
  </si>
  <si>
    <t>11T549</t>
  </si>
  <si>
    <t>H-101 &amp; 113 TOTAL CHARGE</t>
  </si>
  <si>
    <t>11TI549.PV</t>
  </si>
  <si>
    <t>11T550</t>
  </si>
  <si>
    <t>H-101 CONVECTION A OUT</t>
  </si>
  <si>
    <t>11TI550.PV</t>
  </si>
  <si>
    <t>11T551</t>
  </si>
  <si>
    <t>H-101 CONVECTION B OUT</t>
  </si>
  <si>
    <t>11TI551.PV</t>
  </si>
  <si>
    <t>11T552</t>
  </si>
  <si>
    <t>H-101 SUPER HEATER STEAM OUT</t>
  </si>
  <si>
    <t>11TI552.PV</t>
  </si>
  <si>
    <t>11T556</t>
  </si>
  <si>
    <t>H-116 FEED INLET</t>
  </si>
  <si>
    <t>11TI556.PV</t>
  </si>
  <si>
    <t>11T557</t>
  </si>
  <si>
    <t>H-116 CONVECTION OUTLET</t>
  </si>
  <si>
    <t>11TI557.PV</t>
  </si>
  <si>
    <t>11T597</t>
  </si>
  <si>
    <t>H-111 FLASHED CRUDE TO CONVECTIO</t>
  </si>
  <si>
    <t>11TI597.PV</t>
  </si>
  <si>
    <t>11T601</t>
  </si>
  <si>
    <t>T-101 29 TRAY</t>
  </si>
  <si>
    <t>11TI601.PV</t>
  </si>
  <si>
    <t>11T603</t>
  </si>
  <si>
    <t>T-101 27 TRAY</t>
  </si>
  <si>
    <t>11TI603.PV</t>
  </si>
  <si>
    <t>11T604</t>
  </si>
  <si>
    <t>T-101 25 TRAY</t>
  </si>
  <si>
    <t>11TI604.PV</t>
  </si>
  <si>
    <t>11T608</t>
  </si>
  <si>
    <t>T-101 HEAVY NAPTHA DRAW</t>
  </si>
  <si>
    <t>11TI608.PV</t>
  </si>
  <si>
    <t>11T609</t>
  </si>
  <si>
    <t>T-101 LIGHT VIRGIN DRAW</t>
  </si>
  <si>
    <t>11TI609.PV</t>
  </si>
  <si>
    <t>11T610</t>
  </si>
  <si>
    <t>T-101 KERO DRAW</t>
  </si>
  <si>
    <t>11TI610.PV</t>
  </si>
  <si>
    <t>11T611</t>
  </si>
  <si>
    <t>T-101 9 TRAY</t>
  </si>
  <si>
    <t>11TI611.PV</t>
  </si>
  <si>
    <t>11T612</t>
  </si>
  <si>
    <t>T-101 HEAVY VIRGIN REFLUX</t>
  </si>
  <si>
    <t>11TI612.PV</t>
  </si>
  <si>
    <t>11T613</t>
  </si>
  <si>
    <t>T-101 5 TRAY</t>
  </si>
  <si>
    <t>11TI613.PV</t>
  </si>
  <si>
    <t>11T614</t>
  </si>
  <si>
    <t>HVGO TO V-117</t>
  </si>
  <si>
    <t>11TI614.PV</t>
  </si>
  <si>
    <t>11T616</t>
  </si>
  <si>
    <t>T-101 FLASH ZONE</t>
  </si>
  <si>
    <t>11TI616.PV</t>
  </si>
  <si>
    <t>11T617</t>
  </si>
  <si>
    <t>T-101 REDUCED CRUDE BOTTOMS</t>
  </si>
  <si>
    <t>11TI617.PV</t>
  </si>
  <si>
    <t>11T619</t>
  </si>
  <si>
    <t>V-101 GAS TO C-113 OR C-101</t>
  </si>
  <si>
    <t>11TI619.PV</t>
  </si>
  <si>
    <t>11T624</t>
  </si>
  <si>
    <t>V-101 OFF GAS AT FT. 104</t>
  </si>
  <si>
    <t>11TI624.PV</t>
  </si>
  <si>
    <t>11T625</t>
  </si>
  <si>
    <t>T-101 19 TRAY</t>
  </si>
  <si>
    <t>11TI625.PV</t>
  </si>
  <si>
    <t>11T626</t>
  </si>
  <si>
    <t>T-101 17 TRAY</t>
  </si>
  <si>
    <t>11TI626.PV</t>
  </si>
  <si>
    <t>11T633</t>
  </si>
  <si>
    <t>E-103C TUBE OUT - H20</t>
  </si>
  <si>
    <t>11TI633.PV</t>
  </si>
  <si>
    <t>11T634</t>
  </si>
  <si>
    <t>E-103D TUBE OUT - H20</t>
  </si>
  <si>
    <t>11TI634.PV</t>
  </si>
  <si>
    <t>11TC001</t>
  </si>
  <si>
    <t>11CT001.CV</t>
  </si>
  <si>
    <t>11TM167</t>
  </si>
  <si>
    <t>11TM452</t>
  </si>
  <si>
    <t>11TI452.PV</t>
  </si>
  <si>
    <t>11TM453</t>
  </si>
  <si>
    <t>11TI453.PV</t>
  </si>
  <si>
    <t>11TM454</t>
  </si>
  <si>
    <t>11TM455</t>
  </si>
  <si>
    <t>11TI455.PV</t>
  </si>
  <si>
    <t>11TM456</t>
  </si>
  <si>
    <t>11TI456.PV</t>
  </si>
  <si>
    <t>11TM460</t>
  </si>
  <si>
    <t>11TI460.PV</t>
  </si>
  <si>
    <t>11TM464</t>
  </si>
  <si>
    <t>11TI464.PV</t>
  </si>
  <si>
    <t>11TM465</t>
  </si>
  <si>
    <t>11TI465.PV</t>
  </si>
  <si>
    <t>11TM466</t>
  </si>
  <si>
    <t>11TI466.PV</t>
  </si>
  <si>
    <t>11TM474</t>
  </si>
  <si>
    <t>11TI474.PV</t>
  </si>
  <si>
    <t>11TM476</t>
  </si>
  <si>
    <t>11TI476.PV</t>
  </si>
  <si>
    <t>11TM479</t>
  </si>
  <si>
    <t>11TI479.PV</t>
  </si>
  <si>
    <t>11TM481</t>
  </si>
  <si>
    <t>11TI481.PV</t>
  </si>
  <si>
    <t>11TM482</t>
  </si>
  <si>
    <t>11TI482.PV</t>
  </si>
  <si>
    <t>11TM483</t>
  </si>
  <si>
    <t>11TI483.PV</t>
  </si>
  <si>
    <t>11TM484</t>
  </si>
  <si>
    <t>11TM485</t>
  </si>
  <si>
    <t>11TM486</t>
  </si>
  <si>
    <t>11TM487</t>
  </si>
  <si>
    <t>11TM488</t>
  </si>
  <si>
    <t>11TM492</t>
  </si>
  <si>
    <t>11TI492.PV</t>
  </si>
  <si>
    <t>11TM495</t>
  </si>
  <si>
    <t>11TI495.PV</t>
  </si>
  <si>
    <t>11TM501</t>
  </si>
  <si>
    <t>11TI501.PV</t>
  </si>
  <si>
    <t>11TM507</t>
  </si>
  <si>
    <t>11TI507.PV</t>
  </si>
  <si>
    <t>11TM508</t>
  </si>
  <si>
    <t>11TI508.PV</t>
  </si>
  <si>
    <t>11TM510</t>
  </si>
  <si>
    <t>11TI510.PV</t>
  </si>
  <si>
    <t>11TM512</t>
  </si>
  <si>
    <t>11MT512.MV</t>
  </si>
  <si>
    <t>11TM513</t>
  </si>
  <si>
    <t>11TI513.PV</t>
  </si>
  <si>
    <t>11TM514</t>
  </si>
  <si>
    <t>11TI514.PV</t>
  </si>
  <si>
    <t>11TM515</t>
  </si>
  <si>
    <t>11TI515.PV</t>
  </si>
  <si>
    <t>11TM516</t>
  </si>
  <si>
    <t>11TI516.PV</t>
  </si>
  <si>
    <t>11TM517</t>
  </si>
  <si>
    <t>11TI517.PV</t>
  </si>
  <si>
    <t>11TM519</t>
  </si>
  <si>
    <t>11TI519.PV</t>
  </si>
  <si>
    <t>11TM524</t>
  </si>
  <si>
    <t>11TI524.PV</t>
  </si>
  <si>
    <t>11TM525</t>
  </si>
  <si>
    <t>11TI525.PV</t>
  </si>
  <si>
    <t>11TM526</t>
  </si>
  <si>
    <t>11TI526.PV</t>
  </si>
  <si>
    <t>11TM534</t>
  </si>
  <si>
    <t>11TI534.PV</t>
  </si>
  <si>
    <t>11TM535</t>
  </si>
  <si>
    <t>11TI535.PV</t>
  </si>
  <si>
    <t>11TM536</t>
  </si>
  <si>
    <t>11TI536.PV</t>
  </si>
  <si>
    <t>11TM537</t>
  </si>
  <si>
    <t>11TI537.PV</t>
  </si>
  <si>
    <t>11TT103</t>
  </si>
  <si>
    <t>11TT103, T-101 OVERHEAD</t>
  </si>
  <si>
    <t>11TT103.PV</t>
  </si>
  <si>
    <t>11UA110A</t>
  </si>
  <si>
    <t>11E110A.UA</t>
  </si>
  <si>
    <t>11UA110B</t>
  </si>
  <si>
    <t>11E110B.UA</t>
  </si>
  <si>
    <t>11UA111A</t>
  </si>
  <si>
    <t>11E111A.UA</t>
  </si>
  <si>
    <t>11UA111B</t>
  </si>
  <si>
    <t>11E111B.UA</t>
  </si>
  <si>
    <t>11UA112BD</t>
  </si>
  <si>
    <t>11E112BD.UA</t>
  </si>
  <si>
    <t>11UA113AC</t>
  </si>
  <si>
    <t>11E113AC.UA</t>
  </si>
  <si>
    <t>11UA113BD</t>
  </si>
  <si>
    <t>11E113BD.UA</t>
  </si>
  <si>
    <t>11UA121</t>
  </si>
  <si>
    <t>11E121.UA</t>
  </si>
  <si>
    <t>11UA125</t>
  </si>
  <si>
    <t>11E125.UA</t>
  </si>
  <si>
    <t>11UA128</t>
  </si>
  <si>
    <t>11E128.UA</t>
  </si>
  <si>
    <t>11UA133</t>
  </si>
  <si>
    <t>11E133.UA</t>
  </si>
  <si>
    <t>11UA184</t>
  </si>
  <si>
    <t>11E184.UA</t>
  </si>
  <si>
    <t>11UA185</t>
  </si>
  <si>
    <t>11E185.UA</t>
  </si>
  <si>
    <t>11UA186AB</t>
  </si>
  <si>
    <t>11E186AB.UA</t>
  </si>
  <si>
    <t>11UA186BA</t>
  </si>
  <si>
    <t>11E186BA.UA</t>
  </si>
  <si>
    <t>11UA186CD</t>
  </si>
  <si>
    <t>11E186CD.UA</t>
  </si>
  <si>
    <t>11UA186DC</t>
  </si>
  <si>
    <t>11E186DC.UA</t>
  </si>
  <si>
    <t>11UA196</t>
  </si>
  <si>
    <t>11E196.UA</t>
  </si>
  <si>
    <t>11UA205</t>
  </si>
  <si>
    <t>11E205.UA</t>
  </si>
  <si>
    <t>11UC105</t>
  </si>
  <si>
    <t>11E105.U</t>
  </si>
  <si>
    <t>11UC110A</t>
  </si>
  <si>
    <t>11E110A.U</t>
  </si>
  <si>
    <t>11UC110B</t>
  </si>
  <si>
    <t>11E110B.U</t>
  </si>
  <si>
    <t>11UC111A</t>
  </si>
  <si>
    <t>11E111A.U</t>
  </si>
  <si>
    <t>11UC111B</t>
  </si>
  <si>
    <t>11E111B.U</t>
  </si>
  <si>
    <t>11UC112BD</t>
  </si>
  <si>
    <t>11E112BD.U</t>
  </si>
  <si>
    <t>11UC113AC</t>
  </si>
  <si>
    <t>11E113AC.U</t>
  </si>
  <si>
    <t>11UC113BD</t>
  </si>
  <si>
    <t>11E113BD.U</t>
  </si>
  <si>
    <t>11UC121</t>
  </si>
  <si>
    <t>11E121.U</t>
  </si>
  <si>
    <t>11UC125</t>
  </si>
  <si>
    <t>11E125.U</t>
  </si>
  <si>
    <t>11UC128</t>
  </si>
  <si>
    <t>11E128.U</t>
  </si>
  <si>
    <t>11UC133</t>
  </si>
  <si>
    <t>11E133.U</t>
  </si>
  <si>
    <t>11UC184</t>
  </si>
  <si>
    <t>11E184.U</t>
  </si>
  <si>
    <t>11UC185</t>
  </si>
  <si>
    <t>11E185.U</t>
  </si>
  <si>
    <t>11UC186AB</t>
  </si>
  <si>
    <t>11E186AB.U</t>
  </si>
  <si>
    <t>11UC186BA</t>
  </si>
  <si>
    <t>11E186BA.U</t>
  </si>
  <si>
    <t>11UC186CD</t>
  </si>
  <si>
    <t>11E186CD.U</t>
  </si>
  <si>
    <t>11UC186DC</t>
  </si>
  <si>
    <t>11E186DC.U</t>
  </si>
  <si>
    <t>11UC196</t>
  </si>
  <si>
    <t>11E196.U</t>
  </si>
  <si>
    <t>11UC205</t>
  </si>
  <si>
    <t>11E205.U</t>
  </si>
  <si>
    <t>12A003A</t>
  </si>
  <si>
    <t>H-102 %O2</t>
  </si>
  <si>
    <t>12AI003A.PV</t>
  </si>
  <si>
    <t>12A003B</t>
  </si>
  <si>
    <t>H-102 % COMBUSTIBLES</t>
  </si>
  <si>
    <t>12AI003B.PV</t>
  </si>
  <si>
    <t>12A004A</t>
  </si>
  <si>
    <t>H-104 % O2</t>
  </si>
  <si>
    <t>12AI004A.PV</t>
  </si>
  <si>
    <t>12A004B</t>
  </si>
  <si>
    <t>H-104 % COMBUSTIBLES</t>
  </si>
  <si>
    <t>12AI004B.PV</t>
  </si>
  <si>
    <t>12A005A</t>
  </si>
  <si>
    <t>H-116 % O2</t>
  </si>
  <si>
    <t>12AI005A.PV</t>
  </si>
  <si>
    <t>12A005B</t>
  </si>
  <si>
    <t>H-116 % COMBUSTIBLES</t>
  </si>
  <si>
    <t>12AI005B.PV</t>
  </si>
  <si>
    <t>12AN006-1</t>
  </si>
  <si>
    <t>o2 hcc btm flue gas</t>
  </si>
  <si>
    <t>12AI061.PV</t>
  </si>
  <si>
    <t>12AN006-2</t>
  </si>
  <si>
    <t>comb  hcc</t>
  </si>
  <si>
    <t>12AI0062.PV</t>
  </si>
  <si>
    <t>12DPC01</t>
  </si>
  <si>
    <t>12CPD001.CV</t>
  </si>
  <si>
    <t>12DPC02</t>
  </si>
  <si>
    <t>12CPD002.CV</t>
  </si>
  <si>
    <t>12DPC03</t>
  </si>
  <si>
    <t>12CPD003.CV</t>
  </si>
  <si>
    <t>12F010</t>
  </si>
  <si>
    <t>12-E-01  SYN  QUENCH</t>
  </si>
  <si>
    <t>12FC010.PV</t>
  </si>
  <si>
    <t>12F011</t>
  </si>
  <si>
    <t>LCGO PUMP AROUND</t>
  </si>
  <si>
    <t>12FC011.PV</t>
  </si>
  <si>
    <t>12F012</t>
  </si>
  <si>
    <t>SLIP QUENCH</t>
  </si>
  <si>
    <t>12FC012.PV</t>
  </si>
  <si>
    <t>12F013</t>
  </si>
  <si>
    <t>GAS OIL TO BARTYTES TANK</t>
  </si>
  <si>
    <t>12FI013.PV</t>
  </si>
  <si>
    <t>12F105</t>
  </si>
  <si>
    <t>H 102   CHARGE</t>
  </si>
  <si>
    <t>12FI105.PV</t>
  </si>
  <si>
    <t>12F105A</t>
  </si>
  <si>
    <t>12F105A, TOTAL REDUCED CRUDE CHA</t>
  </si>
  <si>
    <t>12FI105A.PV</t>
  </si>
  <si>
    <t>12F111</t>
  </si>
  <si>
    <t>12F111, H-104 CHARGE</t>
  </si>
  <si>
    <t>12FC111.PV</t>
  </si>
  <si>
    <t>12F171</t>
  </si>
  <si>
    <t>steam to 12-t-116</t>
  </si>
  <si>
    <t>12FI171.PV</t>
  </si>
  <si>
    <t>12F172</t>
  </si>
  <si>
    <t>T116 CHARGE</t>
  </si>
  <si>
    <t>12FC172.PV</t>
  </si>
  <si>
    <t>12F201</t>
  </si>
  <si>
    <t>12F201, FUEL GAS TO H-104</t>
  </si>
  <si>
    <t>12FI201.PV</t>
  </si>
  <si>
    <t>12F201B</t>
  </si>
  <si>
    <t>HEAVYFUELTO H_104</t>
  </si>
  <si>
    <t>12FI201B.PV</t>
  </si>
  <si>
    <t>12F202B</t>
  </si>
  <si>
    <t>Heavy Fuel Oil to H-102</t>
  </si>
  <si>
    <t>12FI202B.PV</t>
  </si>
  <si>
    <t>12F204</t>
  </si>
  <si>
    <t>12F204, 240# STEAM TO H-102 94 T</t>
  </si>
  <si>
    <t>12FI204.PV</t>
  </si>
  <si>
    <t>12F208</t>
  </si>
  <si>
    <t>12F208, VELOCITY STEAM TO H-104</t>
  </si>
  <si>
    <t>12FI208.PV</t>
  </si>
  <si>
    <t>12F224</t>
  </si>
  <si>
    <t>heavy fuel oil to h_116</t>
  </si>
  <si>
    <t>12FI224.PV</t>
  </si>
  <si>
    <t>12F225</t>
  </si>
  <si>
    <t>STEAM FROM 1-2-E-01     X1000</t>
  </si>
  <si>
    <t>12FI225.PV</t>
  </si>
  <si>
    <t>12F228</t>
  </si>
  <si>
    <t>12F228, H-116 CHARGE</t>
  </si>
  <si>
    <t>12FC228.PV</t>
  </si>
  <si>
    <t>12F301</t>
  </si>
  <si>
    <t>12F301, SYN BTMS EMERGCY DUMP</t>
  </si>
  <si>
    <t>12FI301.PV</t>
  </si>
  <si>
    <t>12F302</t>
  </si>
  <si>
    <t>12F302, SYN. BOTTOMS TO STORAGE</t>
  </si>
  <si>
    <t>12FC302.PV</t>
  </si>
  <si>
    <t>12F303</t>
  </si>
  <si>
    <t>QUENCH  E_186</t>
  </si>
  <si>
    <t>12FC303.PV</t>
  </si>
  <si>
    <t>12F307</t>
  </si>
  <si>
    <t>SYN GASO REFLUX M3/ DAY</t>
  </si>
  <si>
    <t>12FC307.PV</t>
  </si>
  <si>
    <t>12F308</t>
  </si>
  <si>
    <t>12F308, SYN. GASOLINE</t>
  </si>
  <si>
    <t>12FI308.PV</t>
  </si>
  <si>
    <t>12F311</t>
  </si>
  <si>
    <t>HCGO  REFLUX  M3/ DAY</t>
  </si>
  <si>
    <t>12FC311.PV</t>
  </si>
  <si>
    <t>12F313</t>
  </si>
  <si>
    <t>12F313, SYN TOWER GAS X1000</t>
  </si>
  <si>
    <t>12FI313.PV</t>
  </si>
  <si>
    <t>12F319</t>
  </si>
  <si>
    <t>VGO TO HCC  M3 / DAY</t>
  </si>
  <si>
    <t>12FC319.PV</t>
  </si>
  <si>
    <t>12F321</t>
  </si>
  <si>
    <t>12F321, LCGO TO PRODUCT OR TO TK</t>
  </si>
  <si>
    <t>12FC321.PV</t>
  </si>
  <si>
    <t>12F332</t>
  </si>
  <si>
    <t>UPPER CIRC ERFLUX</t>
  </si>
  <si>
    <t>12FC332.PV</t>
  </si>
  <si>
    <t>12F333</t>
  </si>
  <si>
    <t>E-116 SYN  QUENCH</t>
  </si>
  <si>
    <t>12FC333.PV</t>
  </si>
  <si>
    <t>12F350</t>
  </si>
  <si>
    <t>12F350, L.C.G.O. TO TK71</t>
  </si>
  <si>
    <t>12FI350.PV</t>
  </si>
  <si>
    <t>12F401</t>
  </si>
  <si>
    <t>12F401, WET GAS COMPRESS DISCH X</t>
  </si>
  <si>
    <t>12FI401.PV</t>
  </si>
  <si>
    <t>12F411</t>
  </si>
  <si>
    <t>12F411, WET GAS COMPRESS RECYCLE</t>
  </si>
  <si>
    <t>12FI411.PV</t>
  </si>
  <si>
    <t>12F451</t>
  </si>
  <si>
    <t>12F451, C-113 SYN SYN-CRUDE DISC</t>
  </si>
  <si>
    <t>12FI451.PV</t>
  </si>
  <si>
    <t>12F509</t>
  </si>
  <si>
    <t>12F509, HCC NOZZLE STEAM</t>
  </si>
  <si>
    <t>12FI509.PV</t>
  </si>
  <si>
    <t>12F510</t>
  </si>
  <si>
    <t>12F510, HCC SEAL STEAM</t>
  </si>
  <si>
    <t>12FI510.PV</t>
  </si>
  <si>
    <t>12F511</t>
  </si>
  <si>
    <t>12F511, HCC CASING STREAM</t>
  </si>
  <si>
    <t>12FI511.PV</t>
  </si>
  <si>
    <t>12F512</t>
  </si>
  <si>
    <t>12F512, HCC PROCESS STEAM</t>
  </si>
  <si>
    <t>12FI512.PV</t>
  </si>
  <si>
    <t>12F513</t>
  </si>
  <si>
    <t>12F513, HCC PURGE STEAM X1000</t>
  </si>
  <si>
    <t>12FI513.PV</t>
  </si>
  <si>
    <t>12F516</t>
  </si>
  <si>
    <t>12F516, TOTAL 40LB STM TO HCC X1</t>
  </si>
  <si>
    <t>12FI516.PV</t>
  </si>
  <si>
    <t>12F518</t>
  </si>
  <si>
    <t>12F518, HCC LIFT STEAM X1000</t>
  </si>
  <si>
    <t>12FI518.PV</t>
  </si>
  <si>
    <t>12F527</t>
  </si>
  <si>
    <t>12F527, AIR TO TOP+BTM KILNS X10</t>
  </si>
  <si>
    <t>12FI527.PV</t>
  </si>
  <si>
    <t>12F528</t>
  </si>
  <si>
    <t>12F528, AIR TO TOP ZONE X1000</t>
  </si>
  <si>
    <t>12FI528.PV</t>
  </si>
  <si>
    <t>12F530</t>
  </si>
  <si>
    <t>40# stm to lift kg/d</t>
  </si>
  <si>
    <t>12FI530.PV</t>
  </si>
  <si>
    <t>12FC01</t>
  </si>
  <si>
    <t>12CF001.CV</t>
  </si>
  <si>
    <t>12FC010</t>
  </si>
  <si>
    <t>12CF010.CV</t>
  </si>
  <si>
    <t>12FC011</t>
  </si>
  <si>
    <t>12CF011.CV</t>
  </si>
  <si>
    <t>12FC012</t>
  </si>
  <si>
    <t>12CF012.CV</t>
  </si>
  <si>
    <t>12FC02</t>
  </si>
  <si>
    <t>12CF002.CV</t>
  </si>
  <si>
    <t>12FC03</t>
  </si>
  <si>
    <t>12CF003.CV</t>
  </si>
  <si>
    <t>12FC04</t>
  </si>
  <si>
    <t>12CF004.CV</t>
  </si>
  <si>
    <t>12FC05</t>
  </si>
  <si>
    <t>12CF005.CV</t>
  </si>
  <si>
    <t>12FC06</t>
  </si>
  <si>
    <t>12CF006.CV</t>
  </si>
  <si>
    <t>12FC07</t>
  </si>
  <si>
    <t>12CF007.CV</t>
  </si>
  <si>
    <t>12FC08</t>
  </si>
  <si>
    <t>12CF008.CV</t>
  </si>
  <si>
    <t>12FC09</t>
  </si>
  <si>
    <t>12CF009.CV</t>
  </si>
  <si>
    <t>12FC10</t>
  </si>
  <si>
    <t>12CF100.CV</t>
  </si>
  <si>
    <t>12FC11</t>
  </si>
  <si>
    <t>12CF110.CV</t>
  </si>
  <si>
    <t>12FC11350H</t>
  </si>
  <si>
    <t>12CF035.CV</t>
  </si>
  <si>
    <t>12FC12</t>
  </si>
  <si>
    <t>12CF120.CV</t>
  </si>
  <si>
    <t>12FC13</t>
  </si>
  <si>
    <t>12CF013.CV</t>
  </si>
  <si>
    <t>12FC14</t>
  </si>
  <si>
    <t>12CF014.CV</t>
  </si>
  <si>
    <t>12FC15</t>
  </si>
  <si>
    <t>12CF015.CV</t>
  </si>
  <si>
    <t>12FC16</t>
  </si>
  <si>
    <t>12CF016.CV</t>
  </si>
  <si>
    <t>12FC17</t>
  </si>
  <si>
    <t>12CF017.CV</t>
  </si>
  <si>
    <t>12FC18</t>
  </si>
  <si>
    <t>12CF018.CV</t>
  </si>
  <si>
    <t>12FC19</t>
  </si>
  <si>
    <t>12CF019.CV</t>
  </si>
  <si>
    <t>12FC20</t>
  </si>
  <si>
    <t>12CF020.CV</t>
  </si>
  <si>
    <t>12FC21</t>
  </si>
  <si>
    <t>12CF021.CV</t>
  </si>
  <si>
    <t>12FC22</t>
  </si>
  <si>
    <t>12CF022.CV</t>
  </si>
  <si>
    <t>12FC23</t>
  </si>
  <si>
    <t>12CF023.CV</t>
  </si>
  <si>
    <t>12FC303</t>
  </si>
  <si>
    <t>12CF303.CV</t>
  </si>
  <si>
    <t>12FC311</t>
  </si>
  <si>
    <t>12CF311.CV</t>
  </si>
  <si>
    <t>12FE185</t>
  </si>
  <si>
    <t>12MF185.MV</t>
  </si>
  <si>
    <t>12FE204</t>
  </si>
  <si>
    <t>12MF204.MV</t>
  </si>
  <si>
    <t>12FE208</t>
  </si>
  <si>
    <t>12MF208.MV</t>
  </si>
  <si>
    <t>12FM003</t>
  </si>
  <si>
    <t>12MF003.MV</t>
  </si>
  <si>
    <t>12FM004</t>
  </si>
  <si>
    <t>12MF004.MV</t>
  </si>
  <si>
    <t>12FM005</t>
  </si>
  <si>
    <t>12MF005.MV</t>
  </si>
  <si>
    <t>12FM303</t>
  </si>
  <si>
    <t>12MF303.MV</t>
  </si>
  <si>
    <t>12HC01</t>
  </si>
  <si>
    <t>12CH001.CV</t>
  </si>
  <si>
    <t>12HC02</t>
  </si>
  <si>
    <t>12CH002.CV</t>
  </si>
  <si>
    <t>12HC03</t>
  </si>
  <si>
    <t>12CH003.CV</t>
  </si>
  <si>
    <t>12HC04</t>
  </si>
  <si>
    <t>12CH004.CV</t>
  </si>
  <si>
    <t>12HDGO</t>
  </si>
  <si>
    <t>14KERHD.DEN15</t>
  </si>
  <si>
    <t>12L003</t>
  </si>
  <si>
    <t>12-E-01  LEVEL  %</t>
  </si>
  <si>
    <t>12LC003.PV</t>
  </si>
  <si>
    <t>12L013</t>
  </si>
  <si>
    <t>TK002 LEVEL</t>
  </si>
  <si>
    <t>12LI013.PV</t>
  </si>
  <si>
    <t>12L015</t>
  </si>
  <si>
    <t>TK003 OIL INTERFACE</t>
  </si>
  <si>
    <t>12LI015.PV</t>
  </si>
  <si>
    <t>12L016</t>
  </si>
  <si>
    <t>TK003 LEVEL</t>
  </si>
  <si>
    <t>12LI016.PV</t>
  </si>
  <si>
    <t>12L303</t>
  </si>
  <si>
    <t>12L303, SYN TOWER BOTOMS</t>
  </si>
  <si>
    <t>12LC303.PV</t>
  </si>
  <si>
    <t>12L306</t>
  </si>
  <si>
    <t>12L306, V-105 LEVEL GASOLINE</t>
  </si>
  <si>
    <t>12LI306.PV</t>
  </si>
  <si>
    <t>12LC01</t>
  </si>
  <si>
    <t>12CL001.CV</t>
  </si>
  <si>
    <t>12LCGO</t>
  </si>
  <si>
    <t>12CGOLT.DEN15</t>
  </si>
  <si>
    <t>12LM01</t>
  </si>
  <si>
    <t>12ML001.MV</t>
  </si>
  <si>
    <t>12LM03</t>
  </si>
  <si>
    <t>12ML003.MV</t>
  </si>
  <si>
    <t>12ME530</t>
  </si>
  <si>
    <t>12MF530.MV</t>
  </si>
  <si>
    <t>12MEBZO</t>
  </si>
  <si>
    <t>12MEBZO.MV</t>
  </si>
  <si>
    <t>12P111</t>
  </si>
  <si>
    <t>T-116 OVHD GAS TO H-113</t>
  </si>
  <si>
    <t>12PC111.PV</t>
  </si>
  <si>
    <t>12P201A</t>
  </si>
  <si>
    <t>12P201A, FUEL OIL TO H-104</t>
  </si>
  <si>
    <t>12PC201A.PV</t>
  </si>
  <si>
    <t>12P202</t>
  </si>
  <si>
    <t>12P202, FUEL OIL TO H-102</t>
  </si>
  <si>
    <t>12PC202.PV</t>
  </si>
  <si>
    <t>12P211</t>
  </si>
  <si>
    <t>12P211, FUEL OIL TO H-116</t>
  </si>
  <si>
    <t>12PC211.PV</t>
  </si>
  <si>
    <t>12P301</t>
  </si>
  <si>
    <t>12P301, SYN TOWER BOTTOM</t>
  </si>
  <si>
    <t>12PI301.PV</t>
  </si>
  <si>
    <t>12P302</t>
  </si>
  <si>
    <t>12P302, SYN TOWER TOP</t>
  </si>
  <si>
    <t>12PC302.PV</t>
  </si>
  <si>
    <t>12P304</t>
  </si>
  <si>
    <t>12P304, SYN TOWER 5-TRAY</t>
  </si>
  <si>
    <t>12PI304.PV</t>
  </si>
  <si>
    <t>12P501</t>
  </si>
  <si>
    <t>12P501, HCC REACTOR FEED</t>
  </si>
  <si>
    <t>12PI501.PV</t>
  </si>
  <si>
    <t>12P502</t>
  </si>
  <si>
    <t>12P502, HCC REACTOR TOP</t>
  </si>
  <si>
    <t>12PI502.PV</t>
  </si>
  <si>
    <t>12P503</t>
  </si>
  <si>
    <t>12P503, HCC REACTOR VAPOUR OUT</t>
  </si>
  <si>
    <t>12PI503.PV</t>
  </si>
  <si>
    <t>12P505</t>
  </si>
  <si>
    <t>12P505, AIR TO TOP AND BOTTOM ZO</t>
  </si>
  <si>
    <t>12PI505.PV</t>
  </si>
  <si>
    <t>12P508</t>
  </si>
  <si>
    <t>12P508, HCC BOTTOM KILN</t>
  </si>
  <si>
    <t>12PC508.PV</t>
  </si>
  <si>
    <t>12P511</t>
  </si>
  <si>
    <t>12P511, HCC JET MOTIVE STREAM</t>
  </si>
  <si>
    <t>12PC511.PV</t>
  </si>
  <si>
    <t>12P512</t>
  </si>
  <si>
    <t>12P512, AUXIL LIFT STEAM</t>
  </si>
  <si>
    <t>12PI512.PV</t>
  </si>
  <si>
    <t>12P513</t>
  </si>
  <si>
    <t>12P513, NO 1 LIFT</t>
  </si>
  <si>
    <t>12PC513.PV</t>
  </si>
  <si>
    <t>12P514</t>
  </si>
  <si>
    <t>12P514, NO 2 LIFT</t>
  </si>
  <si>
    <t>12PC514.PV</t>
  </si>
  <si>
    <t>12P515</t>
  </si>
  <si>
    <t>12P515, NO 3 LIFT</t>
  </si>
  <si>
    <t>12PC515.PV</t>
  </si>
  <si>
    <t>12P516</t>
  </si>
  <si>
    <t>12P516, NO 4 LIFT</t>
  </si>
  <si>
    <t>12PC516.PV</t>
  </si>
  <si>
    <t>12P517</t>
  </si>
  <si>
    <t>12P517, NO 5 LIFT</t>
  </si>
  <si>
    <t>12PC517.PV</t>
  </si>
  <si>
    <t>12P518</t>
  </si>
  <si>
    <t>12P518, NO 6 LIFT</t>
  </si>
  <si>
    <t>12PC518.PV</t>
  </si>
  <si>
    <t>12P520</t>
  </si>
  <si>
    <t>12P520, HCC LIQUID CHANGE</t>
  </si>
  <si>
    <t>12PI520.PV</t>
  </si>
  <si>
    <t>12P529</t>
  </si>
  <si>
    <t>12P529, HCC TOP KILN</t>
  </si>
  <si>
    <t>12PC529.PV</t>
  </si>
  <si>
    <t>12PC003</t>
  </si>
  <si>
    <t>12CP003.CV</t>
  </si>
  <si>
    <t>12PC004</t>
  </si>
  <si>
    <t>12CP004.CV</t>
  </si>
  <si>
    <t>12PC01</t>
  </si>
  <si>
    <t>12CP001.CV</t>
  </si>
  <si>
    <t>12PC02</t>
  </si>
  <si>
    <t>12CP002.CV</t>
  </si>
  <si>
    <t>12PD303</t>
  </si>
  <si>
    <t>12PD303, SYN TWR 5 TRAY TO BOTTO</t>
  </si>
  <si>
    <t>12PDI303.PV</t>
  </si>
  <si>
    <t>12PD504</t>
  </si>
  <si>
    <t>12PD504, HCC INNER HEAD</t>
  </si>
  <si>
    <t>12PDI504.PV</t>
  </si>
  <si>
    <t>12PD509</t>
  </si>
  <si>
    <t>12PD509, HCC COIL ZONE</t>
  </si>
  <si>
    <t>12PDI509.PV</t>
  </si>
  <si>
    <t>12PD510</t>
  </si>
  <si>
    <t>12PD510, HCC UPPER PURGE ZONE</t>
  </si>
  <si>
    <t>12PDI510.PV</t>
  </si>
  <si>
    <t>12PD530</t>
  </si>
  <si>
    <t>12PD530, HCC LOWER PURGE ZONE</t>
  </si>
  <si>
    <t>12PDI530.PV</t>
  </si>
  <si>
    <t>12PD559</t>
  </si>
  <si>
    <t>12PD559, HCC SEAL LEG</t>
  </si>
  <si>
    <t>12PDI559.PV</t>
  </si>
  <si>
    <t>12RC01</t>
  </si>
  <si>
    <t>12CR001.CV</t>
  </si>
  <si>
    <t>12RC02</t>
  </si>
  <si>
    <t>12CR002.CV</t>
  </si>
  <si>
    <t>12RC03</t>
  </si>
  <si>
    <t>12CR003.CV</t>
  </si>
  <si>
    <t>12RC04</t>
  </si>
  <si>
    <t>12CR004.CV</t>
  </si>
  <si>
    <t>12RC05</t>
  </si>
  <si>
    <t>12CR005.CV</t>
  </si>
  <si>
    <t>12RC06</t>
  </si>
  <si>
    <t>12CR006.CV</t>
  </si>
  <si>
    <t>12RC07</t>
  </si>
  <si>
    <t>12CR007.CV</t>
  </si>
  <si>
    <t>12RC08</t>
  </si>
  <si>
    <t>12CR008.CV</t>
  </si>
  <si>
    <t>12RC09</t>
  </si>
  <si>
    <t>12CR009.CV</t>
  </si>
  <si>
    <t>12RC10</t>
  </si>
  <si>
    <t>12CR010.CV</t>
  </si>
  <si>
    <t>12RC11</t>
  </si>
  <si>
    <t>12CR011.CV</t>
  </si>
  <si>
    <t>12T003</t>
  </si>
  <si>
    <t>guard tray t _105</t>
  </si>
  <si>
    <t>12TI003.PV</t>
  </si>
  <si>
    <t>12T004</t>
  </si>
  <si>
    <t>t-105  guard tray temp</t>
  </si>
  <si>
    <t>12TI004.PV</t>
  </si>
  <si>
    <t>12T140</t>
  </si>
  <si>
    <t>H-104 STACK</t>
  </si>
  <si>
    <t>12TI140.PV</t>
  </si>
  <si>
    <t>12T164</t>
  </si>
  <si>
    <t>OIL FEED TO REACTOR</t>
  </si>
  <si>
    <t>12TI164.PV</t>
  </si>
  <si>
    <t>12T168</t>
  </si>
  <si>
    <t>CATALYST TO REACTOR</t>
  </si>
  <si>
    <t>12TI168.PV</t>
  </si>
  <si>
    <t>12T170</t>
  </si>
  <si>
    <t>CAT ROM REACTOR LOCATION 2</t>
  </si>
  <si>
    <t>12TI170.PV</t>
  </si>
  <si>
    <t>12T179</t>
  </si>
  <si>
    <t>CAT FROM REACTOR LOCATION2</t>
  </si>
  <si>
    <t>12TI179.PV</t>
  </si>
  <si>
    <t>12T187</t>
  </si>
  <si>
    <t>CATALYST DISTRIBUTOR POT</t>
  </si>
  <si>
    <t>12TI187.PV</t>
  </si>
  <si>
    <t>12T189</t>
  </si>
  <si>
    <t>FLUE GAS TO JETS</t>
  </si>
  <si>
    <t>12TI189.PV</t>
  </si>
  <si>
    <t>12T190</t>
  </si>
  <si>
    <t>FLUE GAS FROM BOTTOM ZONE</t>
  </si>
  <si>
    <t>12TI190.PV</t>
  </si>
  <si>
    <t>12T191</t>
  </si>
  <si>
    <t>FLUE GAS FROM TOP ZONE</t>
  </si>
  <si>
    <t>12TI191.PV</t>
  </si>
  <si>
    <t>12T192</t>
  </si>
  <si>
    <t>FLUE GAS STACK</t>
  </si>
  <si>
    <t>12TI192.PV</t>
  </si>
  <si>
    <t>12T213</t>
  </si>
  <si>
    <t>ABOVE AIR INLETS, LOCATION 4</t>
  </si>
  <si>
    <t>12TI213.PV</t>
  </si>
  <si>
    <t>12T219</t>
  </si>
  <si>
    <t>ABOVE TOP AIR INLETS LOCATION 5</t>
  </si>
  <si>
    <t>12TI219.PV</t>
  </si>
  <si>
    <t>12T220</t>
  </si>
  <si>
    <t>HCC EAST BOTTOM, FLUE GAS OUTLET</t>
  </si>
  <si>
    <t>12TI220.PV</t>
  </si>
  <si>
    <t>12T221</t>
  </si>
  <si>
    <t>HCC WEST BOTTOM, FLUE GAS OUTLET</t>
  </si>
  <si>
    <t>12TI221.PV</t>
  </si>
  <si>
    <t>12T223</t>
  </si>
  <si>
    <t>ABOVE COOLING COILS LOCATION 2</t>
  </si>
  <si>
    <t>12TI223.PV</t>
  </si>
  <si>
    <t>12T229</t>
  </si>
  <si>
    <t>ABOVE COOLING COILS LOCATION 8</t>
  </si>
  <si>
    <t>12TI229.PV</t>
  </si>
  <si>
    <t>12T237</t>
  </si>
  <si>
    <t>12TI237.PV</t>
  </si>
  <si>
    <t>12T249</t>
  </si>
  <si>
    <t>CAT TO BOTTOM ZONE, LOCATION 9</t>
  </si>
  <si>
    <t>12TI249.PV</t>
  </si>
  <si>
    <t>12T257</t>
  </si>
  <si>
    <t>CAT TO BOTTOM ZONE, LOCATION 7</t>
  </si>
  <si>
    <t>12TI257.PV</t>
  </si>
  <si>
    <t>12T261</t>
  </si>
  <si>
    <t>ABOVE BOTTOM AIR INLETS, LOCATIO</t>
  </si>
  <si>
    <t>12TI261.PV</t>
  </si>
  <si>
    <t>12T272</t>
  </si>
  <si>
    <t>12TI272.PV</t>
  </si>
  <si>
    <t>12T400</t>
  </si>
  <si>
    <t>H2S UNIT TO FLARE</t>
  </si>
  <si>
    <t>12TI400.PV</t>
  </si>
  <si>
    <t>12T401</t>
  </si>
  <si>
    <t>NEW H2S UNIT &amp; C101 TO FLARE</t>
  </si>
  <si>
    <t>12TI401.PV</t>
  </si>
  <si>
    <t>12T467</t>
  </si>
  <si>
    <t>E-105 SHELL OUT, LT. CAT. GAS OI</t>
  </si>
  <si>
    <t>12TI467.PV</t>
  </si>
  <si>
    <t>12T497</t>
  </si>
  <si>
    <t>E-187 A&amp;B INLET - UPPER CIRC. RE</t>
  </si>
  <si>
    <t>12TI497.PV</t>
  </si>
  <si>
    <t>12T500</t>
  </si>
  <si>
    <t>T-105 UPPER CIRCULATION REFLUX</t>
  </si>
  <si>
    <t>12TI500.PV</t>
  </si>
  <si>
    <t>12T504</t>
  </si>
  <si>
    <t>12T504, HCC OUTLET TEMP.</t>
  </si>
  <si>
    <t>12TI504.PV</t>
  </si>
  <si>
    <t>12T52-10</t>
  </si>
  <si>
    <t>hcc purge section 1.5M NW</t>
  </si>
  <si>
    <t>12TI5210.PV</t>
  </si>
  <si>
    <t>12T52-11</t>
  </si>
  <si>
    <t>hcc purge section 1.5M NE</t>
  </si>
  <si>
    <t>12TI5211.PV</t>
  </si>
  <si>
    <t>12T52-12</t>
  </si>
  <si>
    <t>hcc purge section 2.0M SE</t>
  </si>
  <si>
    <t>12TI5212.PV</t>
  </si>
  <si>
    <t>12T52-8</t>
  </si>
  <si>
    <t>12TI5208.PV</t>
  </si>
  <si>
    <t>12T52-9</t>
  </si>
  <si>
    <t>12TI5209.PV</t>
  </si>
  <si>
    <t>12T565</t>
  </si>
  <si>
    <t>H-104 OIL OUT</t>
  </si>
  <si>
    <t>12TI565.PV</t>
  </si>
  <si>
    <t>12T567</t>
  </si>
  <si>
    <t>H-104 FEED INLET</t>
  </si>
  <si>
    <t>12TI567.PV</t>
  </si>
  <si>
    <t>12T568</t>
  </si>
  <si>
    <t>12TI568.PV</t>
  </si>
  <si>
    <t>12T569</t>
  </si>
  <si>
    <t>H-104 CONVECTION OUTLET</t>
  </si>
  <si>
    <t>12TI569.PV</t>
  </si>
  <si>
    <t>12T575</t>
  </si>
  <si>
    <t>H-102 OIL OUTLET</t>
  </si>
  <si>
    <t>12TI575.PV</t>
  </si>
  <si>
    <t>12T637</t>
  </si>
  <si>
    <t>E-109C TUBE OUT - H20</t>
  </si>
  <si>
    <t>12TI637.PV</t>
  </si>
  <si>
    <t>12T639</t>
  </si>
  <si>
    <t>E-109D TUBE OUT - H20</t>
  </si>
  <si>
    <t>12TI639.PV</t>
  </si>
  <si>
    <t>12T640</t>
  </si>
  <si>
    <t>V-105 GAS TO V-110 &amp; V-111</t>
  </si>
  <si>
    <t>12TI640.PV</t>
  </si>
  <si>
    <t>12T641</t>
  </si>
  <si>
    <t>V-105 TO GAS PLANT</t>
  </si>
  <si>
    <t>12TI641.PV</t>
  </si>
  <si>
    <t>12T645</t>
  </si>
  <si>
    <t>WET GAS COMPRESSOR, MOTOR PHASE</t>
  </si>
  <si>
    <t>12TI645.PV</t>
  </si>
  <si>
    <t>12T646</t>
  </si>
  <si>
    <t>12TI646.PV</t>
  </si>
  <si>
    <t>12T647</t>
  </si>
  <si>
    <t>12TI647.PV</t>
  </si>
  <si>
    <t>12T648</t>
  </si>
  <si>
    <t>12TI648.PV</t>
  </si>
  <si>
    <t>12T649</t>
  </si>
  <si>
    <t>12TI649.PV</t>
  </si>
  <si>
    <t>12T650</t>
  </si>
  <si>
    <t>WET GAS COMPRESSOR, MOTOR BEARIN</t>
  </si>
  <si>
    <t>12TI650.PV</t>
  </si>
  <si>
    <t>12T651</t>
  </si>
  <si>
    <t>12TI651.PV</t>
  </si>
  <si>
    <t>12T656</t>
  </si>
  <si>
    <t>T-105 TOP</t>
  </si>
  <si>
    <t>12TI656.PV</t>
  </si>
  <si>
    <t>12T657</t>
  </si>
  <si>
    <t>T-105 TOP GRID</t>
  </si>
  <si>
    <t>12TI657.PV</t>
  </si>
  <si>
    <t>12T658</t>
  </si>
  <si>
    <t>T-105 23 TRAY</t>
  </si>
  <si>
    <t>12TI658.PV</t>
  </si>
  <si>
    <t>12T661</t>
  </si>
  <si>
    <t>T-105 LCGO DRAW</t>
  </si>
  <si>
    <t>12TI661.PV</t>
  </si>
  <si>
    <t>12T662</t>
  </si>
  <si>
    <t>T-105 17 TRAY</t>
  </si>
  <si>
    <t>12TI662.PV</t>
  </si>
  <si>
    <t>12T665</t>
  </si>
  <si>
    <t>TRAY 15 LCPA RETURN</t>
  </si>
  <si>
    <t>12TI665.PV</t>
  </si>
  <si>
    <t>12T666</t>
  </si>
  <si>
    <t>T-105 9 &amp; 11 TRAY</t>
  </si>
  <si>
    <t>12TI666.PV</t>
  </si>
  <si>
    <t>12T667</t>
  </si>
  <si>
    <t>T-105 13 TRAY</t>
  </si>
  <si>
    <t>12TI667.PV</t>
  </si>
  <si>
    <t>12T668</t>
  </si>
  <si>
    <t>T-105 11 TRAY</t>
  </si>
  <si>
    <t>12TI668.PV</t>
  </si>
  <si>
    <t>12T669</t>
  </si>
  <si>
    <t>T-105 9 TRAY</t>
  </si>
  <si>
    <t>12TI669.PV</t>
  </si>
  <si>
    <t>12T670</t>
  </si>
  <si>
    <t>T-105 7 TRAY</t>
  </si>
  <si>
    <t>12TI670.PV</t>
  </si>
  <si>
    <t>12T671</t>
  </si>
  <si>
    <t>T-105 1 TRAY</t>
  </si>
  <si>
    <t>12TI671.PV</t>
  </si>
  <si>
    <t>12T675</t>
  </si>
  <si>
    <t>E-115 TUBE OUT</t>
  </si>
  <si>
    <t>12TI675.PV</t>
  </si>
  <si>
    <t>12T678</t>
  </si>
  <si>
    <t>T-105 6 TRAY</t>
  </si>
  <si>
    <t>12TI678.PV</t>
  </si>
  <si>
    <t>12T679</t>
  </si>
  <si>
    <t>T-105 QUENCH RETURN</t>
  </si>
  <si>
    <t>12TI679.PV</t>
  </si>
  <si>
    <t>12TC002</t>
  </si>
  <si>
    <t>12CT002.CV</t>
  </si>
  <si>
    <t>12TM468</t>
  </si>
  <si>
    <t>12TI468.PV</t>
  </si>
  <si>
    <t>12TT201</t>
  </si>
  <si>
    <t>12TT201, H-104 OUTLET</t>
  </si>
  <si>
    <t>12TT201.PV</t>
  </si>
  <si>
    <t>12TT203B</t>
  </si>
  <si>
    <t>12TT203B, H-102 OUTLET TW-215B</t>
  </si>
  <si>
    <t>12TT203B.PV</t>
  </si>
  <si>
    <t>12TT204A</t>
  </si>
  <si>
    <t>12TT204A, H-116 OUTLET</t>
  </si>
  <si>
    <t>12TT204A.PV</t>
  </si>
  <si>
    <t>12TT304</t>
  </si>
  <si>
    <t>12TT304, SYN BOTTOMS</t>
  </si>
  <si>
    <t>04TT304.PV</t>
  </si>
  <si>
    <t>13A001A</t>
  </si>
  <si>
    <t>H-111 % O2</t>
  </si>
  <si>
    <t>13AI001A.PV</t>
  </si>
  <si>
    <t>13A001B</t>
  </si>
  <si>
    <t>H-111 % COMBUSTIBLES</t>
  </si>
  <si>
    <t>13AI001B.PV</t>
  </si>
  <si>
    <t>13F202</t>
  </si>
  <si>
    <t>13F202, FUEL GAS TO H-102</t>
  </si>
  <si>
    <t>13FI202.PV</t>
  </si>
  <si>
    <t>13F203</t>
  </si>
  <si>
    <t>13F203, STEAM TO H-102 68 TUBE</t>
  </si>
  <si>
    <t>13FI203.PV</t>
  </si>
  <si>
    <t>13F206</t>
  </si>
  <si>
    <t>13F206, AFT QUENCH</t>
  </si>
  <si>
    <t>13FC206.PV</t>
  </si>
  <si>
    <t>13F207</t>
  </si>
  <si>
    <t>AFT OR VIBS BTTMS TO PLT2</t>
  </si>
  <si>
    <t>13FI207.PV</t>
  </si>
  <si>
    <t>13F212</t>
  </si>
  <si>
    <t>13F212, AFT BTMS OR VISB CHARGE</t>
  </si>
  <si>
    <t>13FI212.PV</t>
  </si>
  <si>
    <t>13F213</t>
  </si>
  <si>
    <t>13F213, QUENCH TO VISB. TOWER</t>
  </si>
  <si>
    <t>13FC213.PV</t>
  </si>
  <si>
    <t>13F223</t>
  </si>
  <si>
    <t>13F223, FUEL GAS TO H-116</t>
  </si>
  <si>
    <t>13FI223.PV</t>
  </si>
  <si>
    <t>13F225</t>
  </si>
  <si>
    <t>13F225, STEAM TO H-102 56 TUBE</t>
  </si>
  <si>
    <t>13FI225.PV</t>
  </si>
  <si>
    <t>13F306</t>
  </si>
  <si>
    <t>13F306, VISB. BOTTOMS TO STORAGE</t>
  </si>
  <si>
    <t>13FI306.PV</t>
  </si>
  <si>
    <t>13F333</t>
  </si>
  <si>
    <t>13F333, QUENCH TO E-116</t>
  </si>
  <si>
    <t>13FI333.PV</t>
  </si>
  <si>
    <t>13FC001</t>
  </si>
  <si>
    <t>13CF001.CV</t>
  </si>
  <si>
    <t>13FC002</t>
  </si>
  <si>
    <t>13CF002.CV</t>
  </si>
  <si>
    <t>13FC003</t>
  </si>
  <si>
    <t>13CF003.CV</t>
  </si>
  <si>
    <t>13FC004</t>
  </si>
  <si>
    <t>13CF004.CV</t>
  </si>
  <si>
    <t>13FC005</t>
  </si>
  <si>
    <t>13CF005.CV</t>
  </si>
  <si>
    <t>13FC223</t>
  </si>
  <si>
    <t>13CF223.CV</t>
  </si>
  <si>
    <t>13FM002</t>
  </si>
  <si>
    <t>13MF002.MV</t>
  </si>
  <si>
    <t>13L201</t>
  </si>
  <si>
    <t>13L201, LRC 201 VIS. OR AFT BTTM</t>
  </si>
  <si>
    <t>13LC201.PV</t>
  </si>
  <si>
    <t>13L203</t>
  </si>
  <si>
    <t>13L203, VISB. TOWER BOTTOMS D/P</t>
  </si>
  <si>
    <t>13LI203.PV</t>
  </si>
  <si>
    <t>13L206</t>
  </si>
  <si>
    <t>13L206, AFT BOTTOMS D/P CELL</t>
  </si>
  <si>
    <t>13LI206.PV</t>
  </si>
  <si>
    <t>13MT001</t>
  </si>
  <si>
    <t>13MT001.MV</t>
  </si>
  <si>
    <t>13P203</t>
  </si>
  <si>
    <t>13P203, AFT TOP</t>
  </si>
  <si>
    <t>13PI203.PV</t>
  </si>
  <si>
    <t>13P204</t>
  </si>
  <si>
    <t>13P204, H-11 OUTLET</t>
  </si>
  <si>
    <t>13PI204.PV</t>
  </si>
  <si>
    <t>13P205</t>
  </si>
  <si>
    <t>13P205, H-111 INLET</t>
  </si>
  <si>
    <t>13PI205.PV</t>
  </si>
  <si>
    <t>13P206</t>
  </si>
  <si>
    <t>13P206, VIS-BREAKER TOP</t>
  </si>
  <si>
    <t>13PI206.PV</t>
  </si>
  <si>
    <t>13P207</t>
  </si>
  <si>
    <t>13P207, FUEL GAS/OIL TO H-111</t>
  </si>
  <si>
    <t>13PC207.PV</t>
  </si>
  <si>
    <t>13P215</t>
  </si>
  <si>
    <t>13P215, FUEL GAS TO H-116</t>
  </si>
  <si>
    <t>13PI215.PV</t>
  </si>
  <si>
    <t>13P521</t>
  </si>
  <si>
    <t>13P521, AFT/VIS VAPOUR CHARGE TO</t>
  </si>
  <si>
    <t>13PI521.PV</t>
  </si>
  <si>
    <t>13PC01</t>
  </si>
  <si>
    <t>13CP001.CV</t>
  </si>
  <si>
    <t>13STBM</t>
  </si>
  <si>
    <t>13BTMSNTW.DEN15</t>
  </si>
  <si>
    <t>13T145</t>
  </si>
  <si>
    <t>H-102 STACK</t>
  </si>
  <si>
    <t>13TI145.PV</t>
  </si>
  <si>
    <t>13T154</t>
  </si>
  <si>
    <t>H-111 STACK</t>
  </si>
  <si>
    <t>13TI154.PV</t>
  </si>
  <si>
    <t>13T160</t>
  </si>
  <si>
    <t>H-116 RADIANT TEMPERATURE</t>
  </si>
  <si>
    <t>13TI160.PV</t>
  </si>
  <si>
    <t>13T25-07</t>
  </si>
  <si>
    <t>h 111 4tube skin temp</t>
  </si>
  <si>
    <t>13TI2507.PV</t>
  </si>
  <si>
    <t>13T25-08</t>
  </si>
  <si>
    <t>h 111 25 tube skin temp</t>
  </si>
  <si>
    <t>13TI2508.PV</t>
  </si>
  <si>
    <t>13T25-09</t>
  </si>
  <si>
    <t>h 111 32 tube skin temp</t>
  </si>
  <si>
    <t>13TI2509.PV</t>
  </si>
  <si>
    <t>13T25-11</t>
  </si>
  <si>
    <t>h 111 56 tube skin temp</t>
  </si>
  <si>
    <t>13TI2511.PV</t>
  </si>
  <si>
    <t>13T26-09</t>
  </si>
  <si>
    <t>T 104 visb. overhead</t>
  </si>
  <si>
    <t>13TI2609.PV</t>
  </si>
  <si>
    <t>13T26-11</t>
  </si>
  <si>
    <t>T 104 visb. bottoms</t>
  </si>
  <si>
    <t>13TI2611.PV</t>
  </si>
  <si>
    <t>13T365</t>
  </si>
  <si>
    <t>H-111 FLASHED CRUDE FROM E. CONV</t>
  </si>
  <si>
    <t>13TI365.PV</t>
  </si>
  <si>
    <t>13T366</t>
  </si>
  <si>
    <t>H-111 FLASHED CRUDE FROM W. CONV</t>
  </si>
  <si>
    <t>13TI366.PV</t>
  </si>
  <si>
    <t>13T369</t>
  </si>
  <si>
    <t>H-111 OUTLET</t>
  </si>
  <si>
    <t>13TI369.PV</t>
  </si>
  <si>
    <t>13T483</t>
  </si>
  <si>
    <t>E-185 SHELL OUT - VIS. BOTTOMS</t>
  </si>
  <si>
    <t>13TI483.PV</t>
  </si>
  <si>
    <t>13T570</t>
  </si>
  <si>
    <t>H-102 FEED INLET</t>
  </si>
  <si>
    <t>13TI570.PV</t>
  </si>
  <si>
    <t>13T571</t>
  </si>
  <si>
    <t>H-102 CONVECTION OULET</t>
  </si>
  <si>
    <t>13TI571.PV</t>
  </si>
  <si>
    <t>13T577</t>
  </si>
  <si>
    <t>H-111 CHARGE</t>
  </si>
  <si>
    <t>13TI577.PV</t>
  </si>
  <si>
    <t>13T581</t>
  </si>
  <si>
    <t>13TI581.PV</t>
  </si>
  <si>
    <t>13T690</t>
  </si>
  <si>
    <t>T-103 OVERHEAD VAPOR</t>
  </si>
  <si>
    <t>13TI690.PV</t>
  </si>
  <si>
    <t>13TC001</t>
  </si>
  <si>
    <t>13CT001.CV</t>
  </si>
  <si>
    <t>13TC002</t>
  </si>
  <si>
    <t>13CT002.CV</t>
  </si>
  <si>
    <t>13TC003</t>
  </si>
  <si>
    <t>13CT003.CV</t>
  </si>
  <si>
    <t>13TT211</t>
  </si>
  <si>
    <t>13TT211, T-103 BOTTOMS</t>
  </si>
  <si>
    <t>13TT211.PV</t>
  </si>
  <si>
    <t>13TT306</t>
  </si>
  <si>
    <t>13TT306, VISB. BOTTOMS RUNDOWN</t>
  </si>
  <si>
    <t>13TT306.PV</t>
  </si>
  <si>
    <t>13VBBM</t>
  </si>
  <si>
    <t>13BTMVSTW.DEN15</t>
  </si>
  <si>
    <t>14F010</t>
  </si>
  <si>
    <t>HVGO  TO V-117</t>
  </si>
  <si>
    <t>14FC010.PV</t>
  </si>
  <si>
    <t>14F011</t>
  </si>
  <si>
    <t>STEAM FROM1-4-E01 KG/DAY</t>
  </si>
  <si>
    <t>14FI011.PV</t>
  </si>
  <si>
    <t>14F012</t>
  </si>
  <si>
    <t>HVGO  TO TK  71  M3/DAY</t>
  </si>
  <si>
    <t>14FI012.PV</t>
  </si>
  <si>
    <t>14F018</t>
  </si>
  <si>
    <t>HFO FROM VISBR BOTTOM TK  27</t>
  </si>
  <si>
    <t>14FC018.PV</t>
  </si>
  <si>
    <t>14F036</t>
  </si>
  <si>
    <t>#1 LCGO TO F.O.</t>
  </si>
  <si>
    <t>21FX036A.PV</t>
  </si>
  <si>
    <t>14F314</t>
  </si>
  <si>
    <t>14F314, KERO FROM H.D.S.</t>
  </si>
  <si>
    <t>14FI314.PV</t>
  </si>
  <si>
    <t>14F324</t>
  </si>
  <si>
    <t>14F324, H-112 CHARGE</t>
  </si>
  <si>
    <t>14FC324.PV</t>
  </si>
  <si>
    <t>14F325</t>
  </si>
  <si>
    <t>14F325, T-117 REFLUX</t>
  </si>
  <si>
    <t>14FI325.PV</t>
  </si>
  <si>
    <t>14F326</t>
  </si>
  <si>
    <t>14F326, HDS GASOLINE</t>
  </si>
  <si>
    <t>14FI326.PV</t>
  </si>
  <si>
    <t>14F327</t>
  </si>
  <si>
    <t>14F327, H2 TO R-105</t>
  </si>
  <si>
    <t>14FI327.PV</t>
  </si>
  <si>
    <t>14FC02</t>
  </si>
  <si>
    <t>14CF002.CV</t>
  </si>
  <si>
    <t>14FM012</t>
  </si>
  <si>
    <t>14MF012.MV</t>
  </si>
  <si>
    <t>14FM314</t>
  </si>
  <si>
    <t>14MF314.MV</t>
  </si>
  <si>
    <t>14L310</t>
  </si>
  <si>
    <t>14L310, V-185 LEVEL</t>
  </si>
  <si>
    <t>14LC310.PV</t>
  </si>
  <si>
    <t>14L311</t>
  </si>
  <si>
    <t>14L311, R-105 LEVEL</t>
  </si>
  <si>
    <t>14LC311.PV</t>
  </si>
  <si>
    <t>14P308</t>
  </si>
  <si>
    <t>14P308, FUEL GAS TO H-112</t>
  </si>
  <si>
    <t>14PI308.PV</t>
  </si>
  <si>
    <t>14P309</t>
  </si>
  <si>
    <t>14P309, R-105 PRESSURE</t>
  </si>
  <si>
    <t>14PC309.PV</t>
  </si>
  <si>
    <t>14P310</t>
  </si>
  <si>
    <t>14P310, T-117 PRESSURE</t>
  </si>
  <si>
    <t>14PC310.PV</t>
  </si>
  <si>
    <t>14T101</t>
  </si>
  <si>
    <t>HFO DRUM TO FLARE</t>
  </si>
  <si>
    <t>14TI101.PV</t>
  </si>
  <si>
    <t>14T396</t>
  </si>
  <si>
    <t>1-4-E01 TO FLARE</t>
  </si>
  <si>
    <t>14TI396.PV</t>
  </si>
  <si>
    <t>14T397</t>
  </si>
  <si>
    <t>R105 LINER TO FLARE</t>
  </si>
  <si>
    <t>14TI397.PV</t>
  </si>
  <si>
    <t>14T398</t>
  </si>
  <si>
    <t>HDS UNIT TO FLARE</t>
  </si>
  <si>
    <t>14TI398.PV</t>
  </si>
  <si>
    <t>14T412</t>
  </si>
  <si>
    <t>FEED TO H-112</t>
  </si>
  <si>
    <t>14TI412.PV</t>
  </si>
  <si>
    <t>14T415</t>
  </si>
  <si>
    <t>FEED INLET TO T-117</t>
  </si>
  <si>
    <t>14TI415.PV</t>
  </si>
  <si>
    <t>14T416</t>
  </si>
  <si>
    <t>E-168 VAPOR RETURN TO T-117</t>
  </si>
  <si>
    <t>14TI416.PV</t>
  </si>
  <si>
    <t>15F1102</t>
  </si>
  <si>
    <t>15F1102, T-120 CAUSTIC</t>
  </si>
  <si>
    <t>15FC1102.PV</t>
  </si>
  <si>
    <t>15F11250</t>
  </si>
  <si>
    <t>15F11250, HEAVY NAPHTHA TO 20TK.</t>
  </si>
  <si>
    <t>15FI11250.PV</t>
  </si>
  <si>
    <t>15L1103</t>
  </si>
  <si>
    <t>15L1103, V-144 GASOLINE TREATER</t>
  </si>
  <si>
    <t>15LC1103.PV</t>
  </si>
  <si>
    <t>15L1104</t>
  </si>
  <si>
    <t>15L1104, V-170 GASOLINE TREATER</t>
  </si>
  <si>
    <t>15LI1104.PV</t>
  </si>
  <si>
    <t>15T001</t>
  </si>
  <si>
    <t>GASOLINE TREATER TO FLARE</t>
  </si>
  <si>
    <t>15TI001.PV</t>
  </si>
  <si>
    <t>16F001</t>
  </si>
  <si>
    <t>DIESEL TO 16V001A DRYER</t>
  </si>
  <si>
    <t>16FC001.PV</t>
  </si>
  <si>
    <t>16F011</t>
  </si>
  <si>
    <t>DIESEL TO 16V171A DRYER</t>
  </si>
  <si>
    <t>16FC011.PV</t>
  </si>
  <si>
    <t>16F012</t>
  </si>
  <si>
    <t>DIESEL TO 16V171B DRYER</t>
  </si>
  <si>
    <t>16FC012.PV</t>
  </si>
  <si>
    <t>16F014</t>
  </si>
  <si>
    <t>KERO/DIESEL TO B121 DRYER</t>
  </si>
  <si>
    <t>16FC014.PV</t>
  </si>
  <si>
    <t>16F015</t>
  </si>
  <si>
    <t>DIESEL DRYER BYPASS</t>
  </si>
  <si>
    <t>16FC015.PV</t>
  </si>
  <si>
    <t>16F016</t>
  </si>
  <si>
    <t>#1 KERO TO DIESEL HEADER</t>
  </si>
  <si>
    <t>16FI016.PV</t>
  </si>
  <si>
    <t>16F017</t>
  </si>
  <si>
    <t>DIESEL  DRYERS  FLOWTOTAL</t>
  </si>
  <si>
    <t>16FY017.OP</t>
  </si>
  <si>
    <t>16FC001</t>
  </si>
  <si>
    <t>16CF001.CV</t>
  </si>
  <si>
    <t>16FC01</t>
  </si>
  <si>
    <t>16CF010.CV</t>
  </si>
  <si>
    <t>16FC03</t>
  </si>
  <si>
    <t>16CF003.CV</t>
  </si>
  <si>
    <t>16FQ01</t>
  </si>
  <si>
    <t>16FQI001.OP</t>
  </si>
  <si>
    <t>16FQ11</t>
  </si>
  <si>
    <t>16FQI011.OP</t>
  </si>
  <si>
    <t>16FQ12</t>
  </si>
  <si>
    <t>16FQI012.OP</t>
  </si>
  <si>
    <t>16FQ14</t>
  </si>
  <si>
    <t>DIESEL TO 16V121 DRYER</t>
  </si>
  <si>
    <t>16FQI014.OP</t>
  </si>
  <si>
    <t>16P1151</t>
  </si>
  <si>
    <t>16P1151, BLENDER REACTOR PRESSUR</t>
  </si>
  <si>
    <t>16PC1151.PV</t>
  </si>
  <si>
    <t>16TT1152</t>
  </si>
  <si>
    <t>16TT1152, BLENDER REACTOR TEMP</t>
  </si>
  <si>
    <t>16TT1152.PV</t>
  </si>
  <si>
    <t>17$C01</t>
  </si>
  <si>
    <t>17CCD001.CV</t>
  </si>
  <si>
    <t>17C1RG</t>
  </si>
  <si>
    <t>17GASRYRF1.C1</t>
  </si>
  <si>
    <t>17GASRYRF1.C2</t>
  </si>
  <si>
    <t>17GASRYRF1.C3</t>
  </si>
  <si>
    <t>17GASRYRF1.C3A</t>
  </si>
  <si>
    <t>17GASRYRF1.C4A</t>
  </si>
  <si>
    <t>17GASRYRF1.C5A</t>
  </si>
  <si>
    <t>17GASRYRF1.C6B</t>
  </si>
  <si>
    <t>17GASRYRF1.CO</t>
  </si>
  <si>
    <t>17GASRYRF1.CO2</t>
  </si>
  <si>
    <t>17GASRYRF1.GRVGAS</t>
  </si>
  <si>
    <t>17GASRYRF1.H2</t>
  </si>
  <si>
    <t>17GASRYRF1.IC4</t>
  </si>
  <si>
    <t>17GASRYRF1.IC5</t>
  </si>
  <si>
    <t>17GASRYRF1.N2</t>
  </si>
  <si>
    <t>17GASRYRF1.NC4</t>
  </si>
  <si>
    <t>17GASRYRF1.NC5</t>
  </si>
  <si>
    <t>17GASRYRF1.O2</t>
  </si>
  <si>
    <t>17DM01</t>
  </si>
  <si>
    <t>17MD001.MV</t>
  </si>
  <si>
    <t>17DPBM</t>
  </si>
  <si>
    <t>17REFBMDP.DEN15</t>
  </si>
  <si>
    <t>17F1201</t>
  </si>
  <si>
    <t>17F1201, REFORMER 1 CHARGE</t>
  </si>
  <si>
    <t>17FC1201.PV</t>
  </si>
  <si>
    <t>17F1202</t>
  </si>
  <si>
    <t>17F1202, RECYCLE GAS X1000</t>
  </si>
  <si>
    <t>17FI1202.PV</t>
  </si>
  <si>
    <t>17F1203</t>
  </si>
  <si>
    <t>17F1203, BFW TO H-107 X1000</t>
  </si>
  <si>
    <t>17FC1203.PV</t>
  </si>
  <si>
    <t>17F1205</t>
  </si>
  <si>
    <t>17F1205, H2 TO FLARE</t>
  </si>
  <si>
    <t>17FI1205.PV</t>
  </si>
  <si>
    <t>17F1206</t>
  </si>
  <si>
    <t>17F1206, MAKE GAS X1000</t>
  </si>
  <si>
    <t>17FC1206.PV</t>
  </si>
  <si>
    <t>17F1207</t>
  </si>
  <si>
    <t>17F1207, LPFD GAS</t>
  </si>
  <si>
    <t>17FI1207.PV</t>
  </si>
  <si>
    <t>17F1208</t>
  </si>
  <si>
    <t>17F1208, NATURAL GAS TO H-107</t>
  </si>
  <si>
    <t>17FI1208.PV</t>
  </si>
  <si>
    <t>17F1210</t>
  </si>
  <si>
    <t>17F1210, REF DEPROP CHARGE</t>
  </si>
  <si>
    <t>17FC1210.PV</t>
  </si>
  <si>
    <t>17F1212</t>
  </si>
  <si>
    <t>17F1212, REFORMER DEPROP GAS X10</t>
  </si>
  <si>
    <t>17FI1212.PV</t>
  </si>
  <si>
    <t>17F1213</t>
  </si>
  <si>
    <t>17F1213, REFORMER DEPROP. BOTTOM</t>
  </si>
  <si>
    <t>17FC1213.PV</t>
  </si>
  <si>
    <t>17F1229</t>
  </si>
  <si>
    <t>17F1229, FUEL GAS TO HEATER H-10</t>
  </si>
  <si>
    <t>17FI1229.PV</t>
  </si>
  <si>
    <t>17F1230</t>
  </si>
  <si>
    <t>17F1230, H2 TO PRETRETR #1</t>
  </si>
  <si>
    <t>17FI1230.PV</t>
  </si>
  <si>
    <t>17F1243</t>
  </si>
  <si>
    <t>17F1243, FUEL GAS TO H-114</t>
  </si>
  <si>
    <t>17FI1243.PV</t>
  </si>
  <si>
    <t>17FC01</t>
  </si>
  <si>
    <t>17CF001.CV</t>
  </si>
  <si>
    <t>17FC02</t>
  </si>
  <si>
    <t>17CF002.CV</t>
  </si>
  <si>
    <t>17FC03</t>
  </si>
  <si>
    <t>17CF003.CV</t>
  </si>
  <si>
    <t>17FC04</t>
  </si>
  <si>
    <t>17CF004.CV</t>
  </si>
  <si>
    <t>17FC1205</t>
  </si>
  <si>
    <t>17CF1205.CV</t>
  </si>
  <si>
    <t>17FC1208</t>
  </si>
  <si>
    <t>17CF1208.CV</t>
  </si>
  <si>
    <t>17FC1209</t>
  </si>
  <si>
    <t>17CF1209.CV</t>
  </si>
  <si>
    <t>17FC1243</t>
  </si>
  <si>
    <t>17CF1243.CV</t>
  </si>
  <si>
    <t>17FMC01</t>
  </si>
  <si>
    <t>17MF001.MV</t>
  </si>
  <si>
    <t>17HC001</t>
  </si>
  <si>
    <t>17CH001.CV</t>
  </si>
  <si>
    <t>17HC002</t>
  </si>
  <si>
    <t>17CH002.CV</t>
  </si>
  <si>
    <t>17LPFD</t>
  </si>
  <si>
    <t>17GASLPDM.C1</t>
  </si>
  <si>
    <t>17GASLPDM.C2</t>
  </si>
  <si>
    <t>17GASLPDM.C3</t>
  </si>
  <si>
    <t>17GASLPDM.C3A</t>
  </si>
  <si>
    <t>17GASLPDM.C4A</t>
  </si>
  <si>
    <t>17GASLPDM.C5A</t>
  </si>
  <si>
    <t>17GASLPDM.C6B</t>
  </si>
  <si>
    <t>17GASLPDM.CO</t>
  </si>
  <si>
    <t>17GASLPDM.CO2</t>
  </si>
  <si>
    <t>17GASLPDM.H2</t>
  </si>
  <si>
    <t>17GASLPDM.IC4</t>
  </si>
  <si>
    <t>17GASLPDM.IC5</t>
  </si>
  <si>
    <t>17GASLPDM.N2</t>
  </si>
  <si>
    <t>17GASLPDM.NC4</t>
  </si>
  <si>
    <t>17GASLPDM.NC5</t>
  </si>
  <si>
    <t>17GASLPDM.O2</t>
  </si>
  <si>
    <t>17P101</t>
  </si>
  <si>
    <t>17T115 OVHD PRESSURE</t>
  </si>
  <si>
    <t>17PI101.PV</t>
  </si>
  <si>
    <t>17P1203</t>
  </si>
  <si>
    <t>17P1203, REFORMER COMPRES SUCTIO</t>
  </si>
  <si>
    <t>17PI1203.PV</t>
  </si>
  <si>
    <t>17P1207</t>
  </si>
  <si>
    <t>17P1207, REFORMER COMPRES DISCHG</t>
  </si>
  <si>
    <t>17PC1207.PV</t>
  </si>
  <si>
    <t>17P1209</t>
  </si>
  <si>
    <t>17P1209, DEPROPANIZER TOP PRESS</t>
  </si>
  <si>
    <t>17PC1209.PV</t>
  </si>
  <si>
    <t>17P1221</t>
  </si>
  <si>
    <t>17P1221, FUEL GAS TO H-107</t>
  </si>
  <si>
    <t>17PI1221.PV</t>
  </si>
  <si>
    <t>17P1222</t>
  </si>
  <si>
    <t>17P1222, FUEL GAS TO H-107</t>
  </si>
  <si>
    <t>17PC1222.PV</t>
  </si>
  <si>
    <t>17PC01</t>
  </si>
  <si>
    <t>17CP001.CV</t>
  </si>
  <si>
    <t>17PC1203</t>
  </si>
  <si>
    <t>17CP1203.CV</t>
  </si>
  <si>
    <t>17PD1202</t>
  </si>
  <si>
    <t>17PD1202, R-101 DIF. PRESSURE</t>
  </si>
  <si>
    <t>17PDI1202.PV</t>
  </si>
  <si>
    <t>17PD1204</t>
  </si>
  <si>
    <t>17PD1204, R-102 DIF. PRESSURE</t>
  </si>
  <si>
    <t>17PDI1204.PV</t>
  </si>
  <si>
    <t>17PD1225</t>
  </si>
  <si>
    <t>17PD1225, R-103 DIF. PRESSURE</t>
  </si>
  <si>
    <t>17PDI1225.PV</t>
  </si>
  <si>
    <t>17RC01</t>
  </si>
  <si>
    <t>17CR001.CV</t>
  </si>
  <si>
    <t>17SC001</t>
  </si>
  <si>
    <t>17CS001.CV</t>
  </si>
  <si>
    <t>17SM01</t>
  </si>
  <si>
    <t>17MS001.MV</t>
  </si>
  <si>
    <t>17T1204B</t>
  </si>
  <si>
    <t>17T1204B, H-107 A COIL R-102 TW-</t>
  </si>
  <si>
    <t>17TI1204B.PV</t>
  </si>
  <si>
    <t>17T1205B</t>
  </si>
  <si>
    <t>17T1205B, H-107 B COIL TO R-103</t>
  </si>
  <si>
    <t>17TC1205B.PV</t>
  </si>
  <si>
    <t>17T1208</t>
  </si>
  <si>
    <t>17T1208, REFORMER DEPROP TOP</t>
  </si>
  <si>
    <t>17TC1208.PV</t>
  </si>
  <si>
    <t>17T1209</t>
  </si>
  <si>
    <t>DEPROP  TOWER   REFLUX</t>
  </si>
  <si>
    <t>17TI1209.PV</t>
  </si>
  <si>
    <t>17T1219B</t>
  </si>
  <si>
    <t>17T1219B, H-114 OUTLET TW-10</t>
  </si>
  <si>
    <t>17TC1219B.PV</t>
  </si>
  <si>
    <t>17T1220B</t>
  </si>
  <si>
    <t>17T1220B, H-109 OUTLET TW-1328</t>
  </si>
  <si>
    <t>17TI1220B.PV</t>
  </si>
  <si>
    <t>17T280</t>
  </si>
  <si>
    <t>H-114 TUBE #11 NW</t>
  </si>
  <si>
    <t>17TI280.PV</t>
  </si>
  <si>
    <t>17T281</t>
  </si>
  <si>
    <t>H-114 TUBE #10 NE</t>
  </si>
  <si>
    <t>17TI281.PV</t>
  </si>
  <si>
    <t>17T282</t>
  </si>
  <si>
    <t>H-114 TUBE #30 SW</t>
  </si>
  <si>
    <t>17TI282.PV</t>
  </si>
  <si>
    <t>17T283</t>
  </si>
  <si>
    <t>H-114 TUBE #31 SE</t>
  </si>
  <si>
    <t>17TI283.PV</t>
  </si>
  <si>
    <t>17T297</t>
  </si>
  <si>
    <t>H-114 STACK</t>
  </si>
  <si>
    <t>17TI297.PV</t>
  </si>
  <si>
    <t>17T304</t>
  </si>
  <si>
    <t>3 REACT 178" B TOP OF CAT</t>
  </si>
  <si>
    <t>17TI304.PV</t>
  </si>
  <si>
    <t>17T314</t>
  </si>
  <si>
    <t>R103 INLET</t>
  </si>
  <si>
    <t>17TI314.PV</t>
  </si>
  <si>
    <t>17T320</t>
  </si>
  <si>
    <t>3 REACTOR OUTLET</t>
  </si>
  <si>
    <t>17TI320.PV</t>
  </si>
  <si>
    <t>17T321</t>
  </si>
  <si>
    <t>H-107 STACK</t>
  </si>
  <si>
    <t>17TI321.PV</t>
  </si>
  <si>
    <t>17T324</t>
  </si>
  <si>
    <t>REFORMER STACK</t>
  </si>
  <si>
    <t>17TI324.PV</t>
  </si>
  <si>
    <t>17T345</t>
  </si>
  <si>
    <t>1 REACTOR VAPOR OUT</t>
  </si>
  <si>
    <t>17TI345.PV</t>
  </si>
  <si>
    <t>17T349</t>
  </si>
  <si>
    <t>2 REACTOR VAPOR OUT</t>
  </si>
  <si>
    <t>17TI349.PV</t>
  </si>
  <si>
    <t>17T352</t>
  </si>
  <si>
    <t>B COIL OUTLET EAST</t>
  </si>
  <si>
    <t>17TI352.PV</t>
  </si>
  <si>
    <t>17T364</t>
  </si>
  <si>
    <t>R102 INLET</t>
  </si>
  <si>
    <t>17TI364.PV</t>
  </si>
  <si>
    <t>17T428</t>
  </si>
  <si>
    <t>LPFD GAS OUT</t>
  </si>
  <si>
    <t>17TI428.PV</t>
  </si>
  <si>
    <t>17T431</t>
  </si>
  <si>
    <t>E-153-B TUBE H2O OUT</t>
  </si>
  <si>
    <t>17TI431.PV</t>
  </si>
  <si>
    <t>17T432</t>
  </si>
  <si>
    <t>DEPROP. BOTTOM, E-153 OUT</t>
  </si>
  <si>
    <t>17TI432.PV</t>
  </si>
  <si>
    <t>17T433</t>
  </si>
  <si>
    <t>E-152 SHELL OUT TO E-153</t>
  </si>
  <si>
    <t>17TI433.PV</t>
  </si>
  <si>
    <t>17T446</t>
  </si>
  <si>
    <t>E-154 H20 OUT</t>
  </si>
  <si>
    <t>17TI446.PV</t>
  </si>
  <si>
    <t>17T704</t>
  </si>
  <si>
    <t>E-190 A FEED OUT</t>
  </si>
  <si>
    <t>17TI704.PV</t>
  </si>
  <si>
    <t>17T707</t>
  </si>
  <si>
    <t>E-190 A EFFLUENT OUT</t>
  </si>
  <si>
    <t>17TI707.PV</t>
  </si>
  <si>
    <t>17T708</t>
  </si>
  <si>
    <t>E-191 B EFFLUENT OUT</t>
  </si>
  <si>
    <t>17TI708.PV</t>
  </si>
  <si>
    <t>17T720</t>
  </si>
  <si>
    <t>NAPTHA FEED AFTER PUMP</t>
  </si>
  <si>
    <t>17TI720.PV</t>
  </si>
  <si>
    <t>17T762</t>
  </si>
  <si>
    <t>E-151 H2O OUT</t>
  </si>
  <si>
    <t>17TI762.PV</t>
  </si>
  <si>
    <t>17T763</t>
  </si>
  <si>
    <t>H.P. FLASH DRUM FEED</t>
  </si>
  <si>
    <t>17TI763.PV</t>
  </si>
  <si>
    <t>17TC01</t>
  </si>
  <si>
    <t>17CT001.CV</t>
  </si>
  <si>
    <t>17TC03</t>
  </si>
  <si>
    <t>17CT003.CV</t>
  </si>
  <si>
    <t>17TD01</t>
  </si>
  <si>
    <t>17CTD001.CV</t>
  </si>
  <si>
    <t>17TD02</t>
  </si>
  <si>
    <t>17CTD002.CV</t>
  </si>
  <si>
    <t>17TD03</t>
  </si>
  <si>
    <t>17CTD003.CV</t>
  </si>
  <si>
    <t>17TD04</t>
  </si>
  <si>
    <t>17CTD004.CV</t>
  </si>
  <si>
    <t>17TM431</t>
  </si>
  <si>
    <t>17TM433</t>
  </si>
  <si>
    <t>17TMC01</t>
  </si>
  <si>
    <t>17MT001.MV</t>
  </si>
  <si>
    <t>17UA153</t>
  </si>
  <si>
    <t>17E153.UA</t>
  </si>
  <si>
    <t>17UC153</t>
  </si>
  <si>
    <t>17E153.U</t>
  </si>
  <si>
    <t>17V166</t>
  </si>
  <si>
    <t>17NAPV166.DEN15</t>
  </si>
  <si>
    <t>17WC01</t>
  </si>
  <si>
    <t>17CW001.CV</t>
  </si>
  <si>
    <t>17WC02</t>
  </si>
  <si>
    <t>17CW002.CV</t>
  </si>
  <si>
    <t>18$C01</t>
  </si>
  <si>
    <t>18CCD001.CV</t>
  </si>
  <si>
    <t>18$C02</t>
  </si>
  <si>
    <t>18CCD002.CV</t>
  </si>
  <si>
    <t>18$C03</t>
  </si>
  <si>
    <t>18CCD003.CV</t>
  </si>
  <si>
    <t>18$C04</t>
  </si>
  <si>
    <t>18CCD004.CV</t>
  </si>
  <si>
    <t>18A005A</t>
  </si>
  <si>
    <t>JET A TWR REBOILER O2   PERCENT</t>
  </si>
  <si>
    <t>18AI005A.PV</t>
  </si>
  <si>
    <t>18A005B</t>
  </si>
  <si>
    <t>JET A TWR REBOILER CO   PERCENT</t>
  </si>
  <si>
    <t>18AI005B.PV</t>
  </si>
  <si>
    <t>18A101-1</t>
  </si>
  <si>
    <t>ABSORBER O/H C3/C3=     PERCENT</t>
  </si>
  <si>
    <t>18AI101A.PV</t>
  </si>
  <si>
    <t>18A101-2</t>
  </si>
  <si>
    <t>ABSORBER O/H IC5+       PERCENT</t>
  </si>
  <si>
    <t>18AI101B.PV</t>
  </si>
  <si>
    <t>18A102A-1</t>
  </si>
  <si>
    <t>DEBUTANIZER O/H H2S     PPM</t>
  </si>
  <si>
    <t>18AI102A.PV</t>
  </si>
  <si>
    <t>18A102B-1</t>
  </si>
  <si>
    <t>DEBUTANIZER O/H C3=     PERCENT</t>
  </si>
  <si>
    <t>18AI102B1.PV</t>
  </si>
  <si>
    <t>18A102B-2</t>
  </si>
  <si>
    <t>DEBUTANIZER O/H C4=     PERCENT</t>
  </si>
  <si>
    <t>18AI102B2.PV</t>
  </si>
  <si>
    <t>18A102B-3</t>
  </si>
  <si>
    <t>DEBUTANIZER O/H IC5+    PERCENT</t>
  </si>
  <si>
    <t>18AI102B3.PV</t>
  </si>
  <si>
    <t>18A103A-1</t>
  </si>
  <si>
    <t>SPLITTER O/H C2         PERCENT</t>
  </si>
  <si>
    <t>18AI103A1.PV</t>
  </si>
  <si>
    <t>18A103A-2</t>
  </si>
  <si>
    <t>SPLITTER O/H C4         PERCENT</t>
  </si>
  <si>
    <t>18AI103A2.PV</t>
  </si>
  <si>
    <t>18A103B-1</t>
  </si>
  <si>
    <t>SPLITTER BOTTOMS C3     PERCENT</t>
  </si>
  <si>
    <t>18AI103B.PV</t>
  </si>
  <si>
    <t>18A105A</t>
  </si>
  <si>
    <t>H-004 REBLR STACK OXYGEN% O2</t>
  </si>
  <si>
    <t>18AI105A.PV</t>
  </si>
  <si>
    <t>18A105B</t>
  </si>
  <si>
    <t>H-004 REBLR STACK COMB  % COMB</t>
  </si>
  <si>
    <t>18AI105B.PV</t>
  </si>
  <si>
    <t>18ABIA</t>
  </si>
  <si>
    <t>18MDABIA.MV</t>
  </si>
  <si>
    <t>18ABIB</t>
  </si>
  <si>
    <t>18MDABIB.MV</t>
  </si>
  <si>
    <t>18DBBM</t>
  </si>
  <si>
    <t>18GACBMDB.DEN15</t>
  </si>
  <si>
    <t>18DM01</t>
  </si>
  <si>
    <t>18MD001.MV</t>
  </si>
  <si>
    <t>18F012</t>
  </si>
  <si>
    <t>PROPANE RECOVERY TO V103KG/D</t>
  </si>
  <si>
    <t>18FC012.PV</t>
  </si>
  <si>
    <t>18F020</t>
  </si>
  <si>
    <t>SPONGE TWR FEED         M3/D</t>
  </si>
  <si>
    <t>18FC020.PV</t>
  </si>
  <si>
    <t>18F021</t>
  </si>
  <si>
    <t>SPONGE OIL TO ABSORBER  M3/D</t>
  </si>
  <si>
    <t>18FC021.PV</t>
  </si>
  <si>
    <t>18F032</t>
  </si>
  <si>
    <t>3" STEAM TO STRIPPER E11KGDX1000</t>
  </si>
  <si>
    <t>18FC032.PV</t>
  </si>
  <si>
    <t>18F038</t>
  </si>
  <si>
    <t>18F038, REFORMER DEPROP PRODUCT</t>
  </si>
  <si>
    <t>18FC038.PV</t>
  </si>
  <si>
    <t>18F039</t>
  </si>
  <si>
    <t>C3C4 SPLITTER BTM TO CB4M3/D</t>
  </si>
  <si>
    <t>18FC039.PV</t>
  </si>
  <si>
    <t>18F040</t>
  </si>
  <si>
    <t>JET TWR FEED FROM HYDCR M3/D</t>
  </si>
  <si>
    <t>18FC040.PV</t>
  </si>
  <si>
    <t>18F041</t>
  </si>
  <si>
    <t>JET TWR BTMS TO LSD TWR M3/D</t>
  </si>
  <si>
    <t>18FC041.PV</t>
  </si>
  <si>
    <t>18F043A</t>
  </si>
  <si>
    <t>18H03 INLET JET HEATER  M3/D</t>
  </si>
  <si>
    <t>18FC043.PV</t>
  </si>
  <si>
    <t>18F101</t>
  </si>
  <si>
    <t>C101 GAS TO E124'S      KGDX1000</t>
  </si>
  <si>
    <t>18FI101.PV</t>
  </si>
  <si>
    <t>18F102</t>
  </si>
  <si>
    <t>ABSORBER OV'H TO AMINE  KGDX1000</t>
  </si>
  <si>
    <t>18FI102.PV</t>
  </si>
  <si>
    <t>18F103</t>
  </si>
  <si>
    <t>VAPOUR FEED TO ABSORBER KGDX1000</t>
  </si>
  <si>
    <t>18FI103.PV</t>
  </si>
  <si>
    <t>18F104</t>
  </si>
  <si>
    <t>LEAN OIL TO ABSORBER    M3/D</t>
  </si>
  <si>
    <t>18FC104.PV</t>
  </si>
  <si>
    <t>18F105</t>
  </si>
  <si>
    <t>SYN GASOLINE TO ABSORBERM3/D</t>
  </si>
  <si>
    <t>18FI105.PV</t>
  </si>
  <si>
    <t>18F106</t>
  </si>
  <si>
    <t>ABSORBER BTMS TO V-103  m3/D</t>
  </si>
  <si>
    <t>18FI106.PV</t>
  </si>
  <si>
    <t>18F110</t>
  </si>
  <si>
    <t>STRIPPER FEED           M3/D</t>
  </si>
  <si>
    <t>18FC110.PV</t>
  </si>
  <si>
    <t>18F111</t>
  </si>
  <si>
    <t>STRIPPER OV'H TO E124   KGDX1000</t>
  </si>
  <si>
    <t>18FI111.PV</t>
  </si>
  <si>
    <t>18F112</t>
  </si>
  <si>
    <t>8" STEAM TO STRIPPER E11KGDX1000</t>
  </si>
  <si>
    <t>18FC112.PV</t>
  </si>
  <si>
    <t>18F113</t>
  </si>
  <si>
    <t>DEBUTANIZER FEED        M3/D</t>
  </si>
  <si>
    <t>18FC113.PV</t>
  </si>
  <si>
    <t>18F114</t>
  </si>
  <si>
    <t>18T106 DEBUTANIZER REFLUM3/D</t>
  </si>
  <si>
    <t>18FC114.PV</t>
  </si>
  <si>
    <t>18F115</t>
  </si>
  <si>
    <t>DEBUT REBOILER STEAM    KGDX1000</t>
  </si>
  <si>
    <t>18FC115.PV</t>
  </si>
  <si>
    <t>18F117</t>
  </si>
  <si>
    <t>C3C4 SPLITTER CHARGE    M3/D</t>
  </si>
  <si>
    <t>18FC117.PV</t>
  </si>
  <si>
    <t>18F120</t>
  </si>
  <si>
    <t>STEAM TO SPLITTER REB   KGDX1000</t>
  </si>
  <si>
    <t>18FC120.PV</t>
  </si>
  <si>
    <t>18F121</t>
  </si>
  <si>
    <t>18FI121.PV</t>
  </si>
  <si>
    <t>18F123</t>
  </si>
  <si>
    <t>JET TWR REFLUX          M3/D</t>
  </si>
  <si>
    <t>18FC123.PV</t>
  </si>
  <si>
    <t>18F125</t>
  </si>
  <si>
    <t>JET TWR PROD TO STORAGE M3/D</t>
  </si>
  <si>
    <t>18FC125.PV</t>
  </si>
  <si>
    <t>18F127</t>
  </si>
  <si>
    <t>C3C4 SPLITTER BOTTOMS   M3/D</t>
  </si>
  <si>
    <t>18FC127.PV</t>
  </si>
  <si>
    <t>18F131</t>
  </si>
  <si>
    <t>DEBUT BOTTOMS TO STORAGEM3/D</t>
  </si>
  <si>
    <t>18FC131.PV</t>
  </si>
  <si>
    <t>18F133</t>
  </si>
  <si>
    <t>C3 C4 SPLITTER O/H TO FGKG/D</t>
  </si>
  <si>
    <t>18FI133.PV</t>
  </si>
  <si>
    <t>18F136</t>
  </si>
  <si>
    <t>T4 O/H TO MOLE SIEVE    m3/D</t>
  </si>
  <si>
    <t>18FI136.PV</t>
  </si>
  <si>
    <t>18F140</t>
  </si>
  <si>
    <t>18V28 MOLE SIEVE TO F.G.KGDX1000</t>
  </si>
  <si>
    <t>18FI140.PV</t>
  </si>
  <si>
    <t>18F143</t>
  </si>
  <si>
    <t>E-036 DIESEL RUNDN PROD M3/D</t>
  </si>
  <si>
    <t>18FC143.PV</t>
  </si>
  <si>
    <t>18F145</t>
  </si>
  <si>
    <t>T-009 REFLUX CONTROL    M3/D</t>
  </si>
  <si>
    <t>18FC145.PV</t>
  </si>
  <si>
    <t>18F150</t>
  </si>
  <si>
    <t>H-004 REBLR CIRC CONTROLM3/D</t>
  </si>
  <si>
    <t>18FC150.PV</t>
  </si>
  <si>
    <t>18F150B</t>
  </si>
  <si>
    <t>H-004 REBLR CIRCULATION M3/D</t>
  </si>
  <si>
    <t>18FI150B.PV</t>
  </si>
  <si>
    <t>18F151</t>
  </si>
  <si>
    <t>T-009 BOTTOMS CONTROL   M3/D</t>
  </si>
  <si>
    <t>18FC151.PV</t>
  </si>
  <si>
    <t>18F156</t>
  </si>
  <si>
    <t>H-004 FUEL GAS          KG/D</t>
  </si>
  <si>
    <t>18FI156.PV</t>
  </si>
  <si>
    <t>18F180</t>
  </si>
  <si>
    <t>7 WELL TO ALKY UNIT     M3/D</t>
  </si>
  <si>
    <t>18FC180.PV</t>
  </si>
  <si>
    <t>18F181</t>
  </si>
  <si>
    <t>13 WELL RERUN TO ALKY   M3/D</t>
  </si>
  <si>
    <t>18FC181.PV</t>
  </si>
  <si>
    <t>18F190</t>
  </si>
  <si>
    <t>FUEL GAS TO JET TWR A   KG/D</t>
  </si>
  <si>
    <t>18FI190.PV</t>
  </si>
  <si>
    <t>18F301</t>
  </si>
  <si>
    <t>lean mea to 1-8-t5</t>
  </si>
  <si>
    <t>18FC301.PV</t>
  </si>
  <si>
    <t>18F306A</t>
  </si>
  <si>
    <t>PLT.2   PRET.GAS TO FUEL   X1000</t>
  </si>
  <si>
    <t>18FI306A.PV</t>
  </si>
  <si>
    <t>18F307</t>
  </si>
  <si>
    <t>LEAN MEA TO 1_8_T7</t>
  </si>
  <si>
    <t>18FC307.PV</t>
  </si>
  <si>
    <t>18F701</t>
  </si>
  <si>
    <t>TREATER CHARGE FROM V106M3/D</t>
  </si>
  <si>
    <t>18FC701.PV</t>
  </si>
  <si>
    <t>18F702</t>
  </si>
  <si>
    <t>REGEN NAOH TO EXTRACTOR M3/D</t>
  </si>
  <si>
    <t>18FC702.PV</t>
  </si>
  <si>
    <t>18FC002</t>
  </si>
  <si>
    <t>18CF002.CV</t>
  </si>
  <si>
    <t>18FC01</t>
  </si>
  <si>
    <t>18CF001.CV</t>
  </si>
  <si>
    <t>18FC02</t>
  </si>
  <si>
    <t>18CF020.CV</t>
  </si>
  <si>
    <t>18FC021</t>
  </si>
  <si>
    <t>18CF021.CV</t>
  </si>
  <si>
    <t>18FC022</t>
  </si>
  <si>
    <t>18CF022.CV</t>
  </si>
  <si>
    <t>18FC023</t>
  </si>
  <si>
    <t>18CF023.CV</t>
  </si>
  <si>
    <t>18FC03</t>
  </si>
  <si>
    <t>18CF003.CV</t>
  </si>
  <si>
    <t>18FC04</t>
  </si>
  <si>
    <t>18CF004.CV</t>
  </si>
  <si>
    <t>18FC05</t>
  </si>
  <si>
    <t>18CF005.CV</t>
  </si>
  <si>
    <t>18FC06</t>
  </si>
  <si>
    <t>18CF006.CV</t>
  </si>
  <si>
    <t>18FC07</t>
  </si>
  <si>
    <t>18CF007.CV</t>
  </si>
  <si>
    <t>18FC08</t>
  </si>
  <si>
    <t>18CF008.CV</t>
  </si>
  <si>
    <t>18FC09</t>
  </si>
  <si>
    <t>18CF009.CV</t>
  </si>
  <si>
    <t>18FC10</t>
  </si>
  <si>
    <t>18CF010.CV</t>
  </si>
  <si>
    <t>18FC101</t>
  </si>
  <si>
    <t>18CF101.CV</t>
  </si>
  <si>
    <t>18FC106</t>
  </si>
  <si>
    <t>18CF106.CV</t>
  </si>
  <si>
    <t>18FC11</t>
  </si>
  <si>
    <t>18CF011.CV</t>
  </si>
  <si>
    <t>18FC12</t>
  </si>
  <si>
    <t>18CF012.CV</t>
  </si>
  <si>
    <t>18FC13</t>
  </si>
  <si>
    <t>18CF013.CV</t>
  </si>
  <si>
    <t>18FC14</t>
  </si>
  <si>
    <t>18CF014.CV</t>
  </si>
  <si>
    <t>18FC143</t>
  </si>
  <si>
    <t>18CF143.CV</t>
  </si>
  <si>
    <t>18FC145</t>
  </si>
  <si>
    <t>18CF145.CV</t>
  </si>
  <si>
    <t>18FC15</t>
  </si>
  <si>
    <t>18CF015.CV</t>
  </si>
  <si>
    <t>18FC151</t>
  </si>
  <si>
    <t>18CF151.CV</t>
  </si>
  <si>
    <t>18FC16</t>
  </si>
  <si>
    <t>18CF016.CV</t>
  </si>
  <si>
    <t>18FC17</t>
  </si>
  <si>
    <t>18CF017.CV</t>
  </si>
  <si>
    <t>18FC19</t>
  </si>
  <si>
    <t>18CF019.CV</t>
  </si>
  <si>
    <t>18FC20</t>
  </si>
  <si>
    <t>18CF200.CV</t>
  </si>
  <si>
    <t>18FC21</t>
  </si>
  <si>
    <t>18FC8012</t>
  </si>
  <si>
    <t>18CF8012.CV</t>
  </si>
  <si>
    <t>18FM020</t>
  </si>
  <si>
    <t>18MF020.MV</t>
  </si>
  <si>
    <t>18FM101</t>
  </si>
  <si>
    <t>18MF101.MV</t>
  </si>
  <si>
    <t>18FM106</t>
  </si>
  <si>
    <t>18MF106.MV</t>
  </si>
  <si>
    <t>18FM107</t>
  </si>
  <si>
    <t>18FI107.PV</t>
  </si>
  <si>
    <t>18FM108</t>
  </si>
  <si>
    <t>18MF108.MV</t>
  </si>
  <si>
    <t>18FM8012</t>
  </si>
  <si>
    <t>18MF080.MV</t>
  </si>
  <si>
    <t>18H100</t>
  </si>
  <si>
    <t>18H003 STACK DAMPER CTRL%</t>
  </si>
  <si>
    <t>18HC100.OP</t>
  </si>
  <si>
    <t>18H105A</t>
  </si>
  <si>
    <t>H004 REBLR DMPR CONTROL %</t>
  </si>
  <si>
    <t>18HC105A.OP</t>
  </si>
  <si>
    <t>18HC001</t>
  </si>
  <si>
    <t>18CH001.CV</t>
  </si>
  <si>
    <t>18L103</t>
  </si>
  <si>
    <t>ABSORBER BTMS LEVEL IND.PERCENT</t>
  </si>
  <si>
    <t>18LI103.PV</t>
  </si>
  <si>
    <t>18L104</t>
  </si>
  <si>
    <t>V103 STRIPPER CHG DRUM  % LEVEL</t>
  </si>
  <si>
    <t>18LC104.PV</t>
  </si>
  <si>
    <t>18L106</t>
  </si>
  <si>
    <t>STRIPPER BOTTOMS LEVEL  % LEVEL</t>
  </si>
  <si>
    <t>18LC106.PV</t>
  </si>
  <si>
    <t>18L108</t>
  </si>
  <si>
    <t>V106 DEBUT OV'H ACCUM   % LEVEL</t>
  </si>
  <si>
    <t>18LC108.PV</t>
  </si>
  <si>
    <t>18L111</t>
  </si>
  <si>
    <t>18E118 DEBUT REBOILER   % LEVEL</t>
  </si>
  <si>
    <t>18LC111.PV</t>
  </si>
  <si>
    <t>18L112</t>
  </si>
  <si>
    <t>C3C4 SPLITTER BTM       % LEVEL</t>
  </si>
  <si>
    <t>18LC112.PV</t>
  </si>
  <si>
    <t>18L114</t>
  </si>
  <si>
    <t>C3C4 SPLITTER O/H ACCUM PERCENT</t>
  </si>
  <si>
    <t>18LI114.PV</t>
  </si>
  <si>
    <t>18L117</t>
  </si>
  <si>
    <t>JET OVH ACCUM LEVEL V189% LEVEL</t>
  </si>
  <si>
    <t>18LC117.PV</t>
  </si>
  <si>
    <t>18L128</t>
  </si>
  <si>
    <t>T-009 LSD DRAW          %</t>
  </si>
  <si>
    <t>18LC128.PV</t>
  </si>
  <si>
    <t>18L129</t>
  </si>
  <si>
    <t>T-009 BOTTOM            %</t>
  </si>
  <si>
    <t>18LC129.PV</t>
  </si>
  <si>
    <t>18L701</t>
  </si>
  <si>
    <t>SPLITTER CHARGE DRUM    % LEVEL</t>
  </si>
  <si>
    <t>18LC701.PV</t>
  </si>
  <si>
    <t>18L702</t>
  </si>
  <si>
    <t>18V9 EXTRACTOR BTM      PERCENT</t>
  </si>
  <si>
    <t>18LI702.PV</t>
  </si>
  <si>
    <t>18P103</t>
  </si>
  <si>
    <t>ABSORBER OV'H VAPOUR    KPA</t>
  </si>
  <si>
    <t>18PC103.PV</t>
  </si>
  <si>
    <t>18P104</t>
  </si>
  <si>
    <t>ABSORBER BTMS PRESSURE  KPA</t>
  </si>
  <si>
    <t>18PI104.PV</t>
  </si>
  <si>
    <t>18P106</t>
  </si>
  <si>
    <t>DEBUT OV'H PRESSURE     KPA</t>
  </si>
  <si>
    <t>18PC106.PV</t>
  </si>
  <si>
    <t>18P107</t>
  </si>
  <si>
    <t>C3C4 SPLITTER OV'H PRESSKPA</t>
  </si>
  <si>
    <t>18PC107.PV</t>
  </si>
  <si>
    <t>18P108</t>
  </si>
  <si>
    <t>JET OVH ACCUM PRESS V189KPA</t>
  </si>
  <si>
    <t>18PC108.PV</t>
  </si>
  <si>
    <t>18P109</t>
  </si>
  <si>
    <t>STRIPPER O/H PRESS      KPA</t>
  </si>
  <si>
    <t>18PI109.PV</t>
  </si>
  <si>
    <t>18P124</t>
  </si>
  <si>
    <t>JET TWR OV'H PRESS CONT KPA</t>
  </si>
  <si>
    <t>18PC124.PV</t>
  </si>
  <si>
    <t>18P125</t>
  </si>
  <si>
    <t>T-009 DIESEL TWR TOP CTLKPA ABS</t>
  </si>
  <si>
    <t>18PC125.PV</t>
  </si>
  <si>
    <t>18P127A</t>
  </si>
  <si>
    <t>H-004 REBLR DRAFT       KPA</t>
  </si>
  <si>
    <t>18PI127A.PV</t>
  </si>
  <si>
    <t>18P132</t>
  </si>
  <si>
    <t>H-004 REBLR FG CONTROL  KPA</t>
  </si>
  <si>
    <t>18PC132.PV</t>
  </si>
  <si>
    <t>18P135</t>
  </si>
  <si>
    <t>T-009 BOTTOM            KPA</t>
  </si>
  <si>
    <t>18PI135.PV</t>
  </si>
  <si>
    <t>18P144</t>
  </si>
  <si>
    <t>T-009 FEED CONTROL      KPA</t>
  </si>
  <si>
    <t>18PC144.PV</t>
  </si>
  <si>
    <t>18P193</t>
  </si>
  <si>
    <t>JET TOWER BOTTOMS PRESS KPA</t>
  </si>
  <si>
    <t>18PI193.PV</t>
  </si>
  <si>
    <t>18P306</t>
  </si>
  <si>
    <t>PLT-2 PRT F/GAS SYS VALVE POSIT</t>
  </si>
  <si>
    <t>18PI306.PV</t>
  </si>
  <si>
    <t>18P501</t>
  </si>
  <si>
    <t>INSTRUMENT AIR HEADER   KPA</t>
  </si>
  <si>
    <t>18PI501.PV</t>
  </si>
  <si>
    <t>18P506</t>
  </si>
  <si>
    <t>JET TWR FEED PRESSURE   KPA</t>
  </si>
  <si>
    <t>18PC506.PV</t>
  </si>
  <si>
    <t>18P510</t>
  </si>
  <si>
    <t>18H03 FUEL GAS PRESS    KPA</t>
  </si>
  <si>
    <t>18PC510.PV</t>
  </si>
  <si>
    <t>18P522</t>
  </si>
  <si>
    <t>CONVECTION PRESSURE H003IN H20</t>
  </si>
  <si>
    <t>18PI522.PV</t>
  </si>
  <si>
    <t>18PC001</t>
  </si>
  <si>
    <t>18CP001.CV</t>
  </si>
  <si>
    <t>18PC002</t>
  </si>
  <si>
    <t>18CP002.CV</t>
  </si>
  <si>
    <t>18PC03</t>
  </si>
  <si>
    <t>18CP003.CV</t>
  </si>
  <si>
    <t>18PC107</t>
  </si>
  <si>
    <t>18CP107.CV</t>
  </si>
  <si>
    <t>18PC125</t>
  </si>
  <si>
    <t>18CP125.CV</t>
  </si>
  <si>
    <t>18PDI145</t>
  </si>
  <si>
    <t>T-009 DP ACROSS TOWER</t>
  </si>
  <si>
    <t>18PDI145.PV</t>
  </si>
  <si>
    <t>18RC06</t>
  </si>
  <si>
    <t>18CR006.CV</t>
  </si>
  <si>
    <t>18RC07</t>
  </si>
  <si>
    <t>18CR007.CV</t>
  </si>
  <si>
    <t>18RC08</t>
  </si>
  <si>
    <t>18CR008.CV</t>
  </si>
  <si>
    <t>18RC09</t>
  </si>
  <si>
    <t>18CR009.CV</t>
  </si>
  <si>
    <t>18RC10</t>
  </si>
  <si>
    <t>18CR010.CV</t>
  </si>
  <si>
    <t>18RC11</t>
  </si>
  <si>
    <t>18CR011.CV</t>
  </si>
  <si>
    <t>18RC12</t>
  </si>
  <si>
    <t>18CR012.CV</t>
  </si>
  <si>
    <t>18RC13</t>
  </si>
  <si>
    <t>18CR013.CV</t>
  </si>
  <si>
    <t>18RC16</t>
  </si>
  <si>
    <t>18CR016.CV</t>
  </si>
  <si>
    <t>18RC17</t>
  </si>
  <si>
    <t>18CR017.CV</t>
  </si>
  <si>
    <t>18RC18</t>
  </si>
  <si>
    <t>18CR018.CV</t>
  </si>
  <si>
    <t>18RC19</t>
  </si>
  <si>
    <t>18CR019.CV</t>
  </si>
  <si>
    <t>18SC001</t>
  </si>
  <si>
    <t>18CS001.CV</t>
  </si>
  <si>
    <t>18SC002</t>
  </si>
  <si>
    <t>18CS002.CV</t>
  </si>
  <si>
    <t>18SPBM</t>
  </si>
  <si>
    <t>18LPGBMSP.C3</t>
  </si>
  <si>
    <t>18STFD</t>
  </si>
  <si>
    <t>18MDSTFD.MV</t>
  </si>
  <si>
    <t>18T029</t>
  </si>
  <si>
    <t>18TI029.MV</t>
  </si>
  <si>
    <t>18T030</t>
  </si>
  <si>
    <t>18TI030.MV</t>
  </si>
  <si>
    <t>18T050</t>
  </si>
  <si>
    <t>E32 JET PROD EXCH H2O   DEG C</t>
  </si>
  <si>
    <t>18TI050.PV</t>
  </si>
  <si>
    <t>18T105</t>
  </si>
  <si>
    <t>E124A&amp;C PRODUCT OUT     DEG C</t>
  </si>
  <si>
    <t>18TI105.PV</t>
  </si>
  <si>
    <t>18T106</t>
  </si>
  <si>
    <t>E124B&amp;D PRODUCT OUT     DEG C</t>
  </si>
  <si>
    <t>18TI106.PV</t>
  </si>
  <si>
    <t>18T108</t>
  </si>
  <si>
    <t>VAPOUR FEED TO ABSORBER DEG C</t>
  </si>
  <si>
    <t>18TI108.PV</t>
  </si>
  <si>
    <t>18T120</t>
  </si>
  <si>
    <t>TOP INTERCOOLER PROD OUTDEG C</t>
  </si>
  <si>
    <t>18TI120.PV</t>
  </si>
  <si>
    <t>18T122</t>
  </si>
  <si>
    <t>BTM INTERCOOLER PROD OUTDEG C</t>
  </si>
  <si>
    <t>18TI122.PV</t>
  </si>
  <si>
    <t>18T124</t>
  </si>
  <si>
    <t>18E13 PRODUCT OUT       DEG C</t>
  </si>
  <si>
    <t>18TI124.PV</t>
  </si>
  <si>
    <t>18T126</t>
  </si>
  <si>
    <t>SYN GASOLINE TO ABSORBERDEG C</t>
  </si>
  <si>
    <t>18TI126.PV</t>
  </si>
  <si>
    <t>18T127</t>
  </si>
  <si>
    <t>ABSORBER BTMS OUTLET    DEG C</t>
  </si>
  <si>
    <t>18TI127.PV</t>
  </si>
  <si>
    <t>18T128</t>
  </si>
  <si>
    <t>ABSORBER O/H VAPOUR     DEG C</t>
  </si>
  <si>
    <t>18TI128.PV</t>
  </si>
  <si>
    <t>18T129</t>
  </si>
  <si>
    <t>18E9 STRIPPER FEED IN   DEG C</t>
  </si>
  <si>
    <t>18TI129.PV</t>
  </si>
  <si>
    <t>18T132</t>
  </si>
  <si>
    <t>E9 STRIPPER FEED OUT    DEG C</t>
  </si>
  <si>
    <t>18TC132.PV</t>
  </si>
  <si>
    <t>18T133</t>
  </si>
  <si>
    <t>STRIPPER OV'H VAPOUR    DEG C</t>
  </si>
  <si>
    <t>18TI133.PV</t>
  </si>
  <si>
    <t>18T138</t>
  </si>
  <si>
    <t>STRIPPER BTMS TO E30    DEG C</t>
  </si>
  <si>
    <t>18TC138.PV</t>
  </si>
  <si>
    <t>18T139</t>
  </si>
  <si>
    <t>18E121 DEB BTM PROD OUT DEG C</t>
  </si>
  <si>
    <t>18TI139.PV</t>
  </si>
  <si>
    <t>18T142</t>
  </si>
  <si>
    <t>E120 FEED OUT           DEG C</t>
  </si>
  <si>
    <t>18TI142.PV</t>
  </si>
  <si>
    <t>18T147</t>
  </si>
  <si>
    <t>DEBUTANIZER OV'H TO E117DEG C</t>
  </si>
  <si>
    <t>18TI147.PV</t>
  </si>
  <si>
    <t>18T149</t>
  </si>
  <si>
    <t>18E117B DEB O/H PROD OUTDEG C</t>
  </si>
  <si>
    <t>18TI149.PV</t>
  </si>
  <si>
    <t>18T152</t>
  </si>
  <si>
    <t>T106 DEBUT TRAY 31      DEG C</t>
  </si>
  <si>
    <t>18TC152.PV</t>
  </si>
  <si>
    <t>18T159</t>
  </si>
  <si>
    <t>T106 DEBUT TRAY 01      DEG C</t>
  </si>
  <si>
    <t>18TI159.PV</t>
  </si>
  <si>
    <t>18T164</t>
  </si>
  <si>
    <t>E14B T4 FEED/BTM FEED INDEG C</t>
  </si>
  <si>
    <t>18TI164.PV</t>
  </si>
  <si>
    <t>18T167</t>
  </si>
  <si>
    <t>E16 T4 BTM EXCH PROD OUTDEG C</t>
  </si>
  <si>
    <t>18TI167.PV</t>
  </si>
  <si>
    <t>18T169</t>
  </si>
  <si>
    <t>C3 - C4 SPLITTER BOTTOMS</t>
  </si>
  <si>
    <t>18TI169.PV</t>
  </si>
  <si>
    <t>18T171</t>
  </si>
  <si>
    <t>C3C4 SPLITTER TRAY 27   DEG C</t>
  </si>
  <si>
    <t>18TC171.PV</t>
  </si>
  <si>
    <t>18T180</t>
  </si>
  <si>
    <t>E10 T4 O/H PROD OUT     DEG C</t>
  </si>
  <si>
    <t>18TI180.PV</t>
  </si>
  <si>
    <t>18T182</t>
  </si>
  <si>
    <t>T4 SPLITTER O/H TO E10  DEG C</t>
  </si>
  <si>
    <t>18TI182.PV</t>
  </si>
  <si>
    <t>18T183</t>
  </si>
  <si>
    <t>E15 T4 C3 EXCH PROD OUT DEG C</t>
  </si>
  <si>
    <t>18TI183.PV</t>
  </si>
  <si>
    <t>18T188</t>
  </si>
  <si>
    <t>JET TWR TRAY 34         DEG C</t>
  </si>
  <si>
    <t>18TI188.PV</t>
  </si>
  <si>
    <t>18T189</t>
  </si>
  <si>
    <t>T118 JET TWR TRAY 21    DEG C</t>
  </si>
  <si>
    <t>18TI189.PV</t>
  </si>
  <si>
    <t>18T190</t>
  </si>
  <si>
    <t>T118 JET TWR TRAY 05    DEG C</t>
  </si>
  <si>
    <t>18TI190.PV</t>
  </si>
  <si>
    <t>18T191</t>
  </si>
  <si>
    <t>T118 JET TWR TRAY 32    DEG C</t>
  </si>
  <si>
    <t>18TI191.PV</t>
  </si>
  <si>
    <t>18T192</t>
  </si>
  <si>
    <t>T118 JET TWR TRAY 27    DEG C</t>
  </si>
  <si>
    <t>18TI192.PV</t>
  </si>
  <si>
    <t>18T193</t>
  </si>
  <si>
    <t>T118 JET TWR TRAY15     DEG C</t>
  </si>
  <si>
    <t>18TI193.PV</t>
  </si>
  <si>
    <t>18T197</t>
  </si>
  <si>
    <t>T118 JET TWR TRAY 02    DEG C</t>
  </si>
  <si>
    <t>18TI197.PV</t>
  </si>
  <si>
    <t>18T198</t>
  </si>
  <si>
    <t>JET TOWER BOTTOMS DEG C</t>
  </si>
  <si>
    <t>18TI198.PV</t>
  </si>
  <si>
    <t>18T204</t>
  </si>
  <si>
    <t>E182&amp;E32 COMB PROD OUT  DEG C</t>
  </si>
  <si>
    <t>18TI204.PV</t>
  </si>
  <si>
    <t>18T214</t>
  </si>
  <si>
    <t>T118 JET TWR REFLUX     DEG C</t>
  </si>
  <si>
    <t>18TI214.PV</t>
  </si>
  <si>
    <t>18T216</t>
  </si>
  <si>
    <t>18V11 OXIDIZER OUTLET   DEG C</t>
  </si>
  <si>
    <t>18TI216.PV</t>
  </si>
  <si>
    <t>18T226</t>
  </si>
  <si>
    <t>GAS PLT T5 &amp; T7 FLARE</t>
  </si>
  <si>
    <t>18TI226.PV</t>
  </si>
  <si>
    <t>18T227</t>
  </si>
  <si>
    <t>E-035 OUT DIESEL PROD   DEG C</t>
  </si>
  <si>
    <t>18TC227.PV</t>
  </si>
  <si>
    <t>18T228</t>
  </si>
  <si>
    <t>T-009 PUMP AROUND       DEG C</t>
  </si>
  <si>
    <t>18TC228.PV</t>
  </si>
  <si>
    <t>18T229</t>
  </si>
  <si>
    <t>T-009 BOTTOMS           DEG C</t>
  </si>
  <si>
    <t>18TI229.PV</t>
  </si>
  <si>
    <t>18T230</t>
  </si>
  <si>
    <t>E-036 OUT DIESEL PROD   DEG C</t>
  </si>
  <si>
    <t>18TI230.PV</t>
  </si>
  <si>
    <t>18T231</t>
  </si>
  <si>
    <t>E-036 OUT COOLING WTR   DEG C</t>
  </si>
  <si>
    <t>18TI231.PV</t>
  </si>
  <si>
    <t>18T232</t>
  </si>
  <si>
    <t>T-009 VAP TO P/A SECTIONDEG C</t>
  </si>
  <si>
    <t>18TI232.PV</t>
  </si>
  <si>
    <t>18T233</t>
  </si>
  <si>
    <t>T-009 VAP TO FEED TRAY  DEG C</t>
  </si>
  <si>
    <t>18TI233.PV</t>
  </si>
  <si>
    <t>18T234</t>
  </si>
  <si>
    <t>T-009 O/H TO VACUUM SYS DEG C</t>
  </si>
  <si>
    <t>18TI234.PV</t>
  </si>
  <si>
    <t>18T235</t>
  </si>
  <si>
    <t>E-039 VAC AFT COND VAP  DEG C</t>
  </si>
  <si>
    <t>18TI235.PV</t>
  </si>
  <si>
    <t>18T239</t>
  </si>
  <si>
    <t>E-037 VAC PRECOND LIQUIDDEG C</t>
  </si>
  <si>
    <t>18TI239.PV</t>
  </si>
  <si>
    <t>18T240</t>
  </si>
  <si>
    <t>E-038 VAC INTERCOND LIQ DEG C</t>
  </si>
  <si>
    <t>18TI240.PV</t>
  </si>
  <si>
    <t>18T241</t>
  </si>
  <si>
    <t>E-039 VAC  AFT COND LIQ DEG C</t>
  </si>
  <si>
    <t>18TI241.PV</t>
  </si>
  <si>
    <t>18T243</t>
  </si>
  <si>
    <t>E-039 OUT COOLING WTR   DEG C</t>
  </si>
  <si>
    <t>18TI243.PV</t>
  </si>
  <si>
    <t>18T246A</t>
  </si>
  <si>
    <t>H-004 REBLR INLET TUBE  DEG C</t>
  </si>
  <si>
    <t>18TI246A.PV</t>
  </si>
  <si>
    <t>18T246B</t>
  </si>
  <si>
    <t>H-004 REBLR MID TUBE    DEG C</t>
  </si>
  <si>
    <t>18TI246B.PV</t>
  </si>
  <si>
    <t>18T246C</t>
  </si>
  <si>
    <t>H-004 REBLR OUT TUBE    DEG C</t>
  </si>
  <si>
    <t>18TI246C.PV</t>
  </si>
  <si>
    <t>18T247</t>
  </si>
  <si>
    <t>H-004 REBLR CROSSOVER   DEG C</t>
  </si>
  <si>
    <t>18TI247.PV</t>
  </si>
  <si>
    <t>18T250</t>
  </si>
  <si>
    <t>H-004 REBLR OUT PROD    DEG C</t>
  </si>
  <si>
    <t>18TC250.PV</t>
  </si>
  <si>
    <t>18T251</t>
  </si>
  <si>
    <t>H-004 REBLR STACK       DEG C</t>
  </si>
  <si>
    <t>18TI251.PV</t>
  </si>
  <si>
    <t>18T252</t>
  </si>
  <si>
    <t>H-004 REBLR LWR RAD SEC DEG C</t>
  </si>
  <si>
    <t>18TI252.PV</t>
  </si>
  <si>
    <t>18T253</t>
  </si>
  <si>
    <t>H-004 REBLR UPR RAD SEC DEG C</t>
  </si>
  <si>
    <t>18TI253.PV</t>
  </si>
  <si>
    <t>18T256</t>
  </si>
  <si>
    <t>18TI256.PV</t>
  </si>
  <si>
    <t>18T257</t>
  </si>
  <si>
    <t>T-009 LIQUID TO FD TRAY DEG C</t>
  </si>
  <si>
    <t>18TI257.PV</t>
  </si>
  <si>
    <t>18T259</t>
  </si>
  <si>
    <t>P43 DISCHARGE TO SLOP   DEG C</t>
  </si>
  <si>
    <t>18TI259.PV</t>
  </si>
  <si>
    <t>18T262</t>
  </si>
  <si>
    <t>V-042 OIL COLLECT SUMP  DEG C</t>
  </si>
  <si>
    <t>18TI262.PV</t>
  </si>
  <si>
    <t>18T272</t>
  </si>
  <si>
    <t>H03 JET RAD SECT SKIN   DEG C</t>
  </si>
  <si>
    <t>18TI272.PV</t>
  </si>
  <si>
    <t>18T273</t>
  </si>
  <si>
    <t>18TI273.PV</t>
  </si>
  <si>
    <t>18T302</t>
  </si>
  <si>
    <t>ABSORBER STRIPPER TO FLARE</t>
  </si>
  <si>
    <t>18TI302.PV</t>
  </si>
  <si>
    <t>18T303</t>
  </si>
  <si>
    <t>C3/C4 SPLITTER TO FLARE</t>
  </si>
  <si>
    <t>18TI303.PV</t>
  </si>
  <si>
    <t>18T304</t>
  </si>
  <si>
    <t>1-8-V103 TO FLARE</t>
  </si>
  <si>
    <t>18TI304.PV</t>
  </si>
  <si>
    <t>18T305</t>
  </si>
  <si>
    <t>U.O.P.TREATER TO FLARE</t>
  </si>
  <si>
    <t>18TI305.PV</t>
  </si>
  <si>
    <t>18T306</t>
  </si>
  <si>
    <t>V139 BOTTOM TO FLARE</t>
  </si>
  <si>
    <t>18TI306.PV</t>
  </si>
  <si>
    <t>18T307</t>
  </si>
  <si>
    <t>V139 AND SPONGE TOWER TO FLARE</t>
  </si>
  <si>
    <t>18TI307.PV</t>
  </si>
  <si>
    <t>18T308</t>
  </si>
  <si>
    <t>MOLE SIEVE TO FLARE</t>
  </si>
  <si>
    <t>18TI308.PV</t>
  </si>
  <si>
    <t>18T309</t>
  </si>
  <si>
    <t>DEBUT F/D EXCHANGERS TO FLARE</t>
  </si>
  <si>
    <t>18TI309.PV</t>
  </si>
  <si>
    <t>18T310</t>
  </si>
  <si>
    <t>R104 AND V167 TO FLARE</t>
  </si>
  <si>
    <t>18TI310.PV</t>
  </si>
  <si>
    <t>18T311</t>
  </si>
  <si>
    <t>V166 TO FLARE</t>
  </si>
  <si>
    <t>18TI311.PV</t>
  </si>
  <si>
    <t>18T313</t>
  </si>
  <si>
    <t>H03 JET RAD SECT AIR    DEG C</t>
  </si>
  <si>
    <t>18TI313.PV</t>
  </si>
  <si>
    <t>18T314</t>
  </si>
  <si>
    <t>H03 JET CONVECT SECT OUTDEG C</t>
  </si>
  <si>
    <t>18TI314.PV</t>
  </si>
  <si>
    <t>18T316</t>
  </si>
  <si>
    <t>H03 JET STACK           DEG C</t>
  </si>
  <si>
    <t>18TI316.PV</t>
  </si>
  <si>
    <t>18T317</t>
  </si>
  <si>
    <t>JET TWR OVH COND OUT E34DEG C</t>
  </si>
  <si>
    <t>18TC317.PV</t>
  </si>
  <si>
    <t>18T318</t>
  </si>
  <si>
    <t>JET TWR OV'H TEMP CONT  DEG C</t>
  </si>
  <si>
    <t>18TC318.PV</t>
  </si>
  <si>
    <t>18T319</t>
  </si>
  <si>
    <t>H03 JET CONVECT SECT AIRDEG C</t>
  </si>
  <si>
    <t>18TI319.PV</t>
  </si>
  <si>
    <t>18T320</t>
  </si>
  <si>
    <t>18-H-003 RAD. SECT. SKIN COUPLES</t>
  </si>
  <si>
    <t>18TI320.PV</t>
  </si>
  <si>
    <t>18T321</t>
  </si>
  <si>
    <t>18H03 OUTLET TEMP CONT  DEG C</t>
  </si>
  <si>
    <t>18TC321.PV</t>
  </si>
  <si>
    <t>18T322</t>
  </si>
  <si>
    <t>E182 JET PROD EXCH OUT  DEG C</t>
  </si>
  <si>
    <t>18TI322.PV</t>
  </si>
  <si>
    <t>18T324</t>
  </si>
  <si>
    <t>E32 JET PROD EXCH OUT   DEG C</t>
  </si>
  <si>
    <t>18TI324.PV</t>
  </si>
  <si>
    <t>18T330</t>
  </si>
  <si>
    <t>JET TOWER FEED TEMP.    DEG C</t>
  </si>
  <si>
    <t>18TI330.PV</t>
  </si>
  <si>
    <t>18T5LP</t>
  </si>
  <si>
    <t>18FUGCMT005.C1</t>
  </si>
  <si>
    <t>18FUGCMT005.C2</t>
  </si>
  <si>
    <t>18FUGCMT005.C3</t>
  </si>
  <si>
    <t>18FUGCMT005.C3A</t>
  </si>
  <si>
    <t>18FUGCMT005.C4A</t>
  </si>
  <si>
    <t>18FUGCMT005.C5A</t>
  </si>
  <si>
    <t>18FUGCMT005.C6B</t>
  </si>
  <si>
    <t>18FUGCMT005.CO</t>
  </si>
  <si>
    <t>18FUGCMT005.CO2</t>
  </si>
  <si>
    <t>18FUGCMT005.H2</t>
  </si>
  <si>
    <t>18FUGCMT005.IC4</t>
  </si>
  <si>
    <t>18FUGCMT005.IC5</t>
  </si>
  <si>
    <t>18FUGCMT005.N2</t>
  </si>
  <si>
    <t>18FUGCMT005.NC4</t>
  </si>
  <si>
    <t>18FUGCMT005.NC5</t>
  </si>
  <si>
    <t>18FUGCMT005.O2</t>
  </si>
  <si>
    <t>18T7GA</t>
  </si>
  <si>
    <t>18FUGSRT007.C1</t>
  </si>
  <si>
    <t>18FUGSRT007.C2</t>
  </si>
  <si>
    <t>18FUGSRT007.C3</t>
  </si>
  <si>
    <t>18FUGSRT007.C3A</t>
  </si>
  <si>
    <t>18FUGSRT007.C4A</t>
  </si>
  <si>
    <t>18FUGSRT007.C5A</t>
  </si>
  <si>
    <t>18FUGSRT007.C6B</t>
  </si>
  <si>
    <t>18FUGSRT007.CO</t>
  </si>
  <si>
    <t>18FUGSRT007.CO2</t>
  </si>
  <si>
    <t>18FUGSRT007.H2</t>
  </si>
  <si>
    <t>18FUGSRT007.IC4</t>
  </si>
  <si>
    <t>18FUGSRT007.IC5</t>
  </si>
  <si>
    <t>18FUGSRT007.N2</t>
  </si>
  <si>
    <t>18FUGSRT007.NC4</t>
  </si>
  <si>
    <t>18FUGSRT007.NC5</t>
  </si>
  <si>
    <t>18FUGSRT007.O2</t>
  </si>
  <si>
    <t>18TC229</t>
  </si>
  <si>
    <t>18CT229.CV</t>
  </si>
  <si>
    <t>18TM017</t>
  </si>
  <si>
    <t>18MT017.MV</t>
  </si>
  <si>
    <t>18TM018</t>
  </si>
  <si>
    <t>18TI018.PV</t>
  </si>
  <si>
    <t>18TM019</t>
  </si>
  <si>
    <t>18MT019.MV</t>
  </si>
  <si>
    <t>18TM020</t>
  </si>
  <si>
    <t>18MT020.MV</t>
  </si>
  <si>
    <t>18TM021</t>
  </si>
  <si>
    <t>18MT021.MV</t>
  </si>
  <si>
    <t>18TM022</t>
  </si>
  <si>
    <t>18MT022.MV</t>
  </si>
  <si>
    <t>18TM025</t>
  </si>
  <si>
    <t>18MT025.MV</t>
  </si>
  <si>
    <t>18TM026</t>
  </si>
  <si>
    <t>18MT026.MV</t>
  </si>
  <si>
    <t>18TM027</t>
  </si>
  <si>
    <t>18MT027.MV</t>
  </si>
  <si>
    <t>18TM031</t>
  </si>
  <si>
    <t>18TI031.PV</t>
  </si>
  <si>
    <t>18TM032</t>
  </si>
  <si>
    <t>18MT032.MV</t>
  </si>
  <si>
    <t>18TM043</t>
  </si>
  <si>
    <t>18TI043.PV</t>
  </si>
  <si>
    <t>18TM062</t>
  </si>
  <si>
    <t>18TI062.PV</t>
  </si>
  <si>
    <t>18TM063</t>
  </si>
  <si>
    <t>18TI063.PV</t>
  </si>
  <si>
    <t>18UA07</t>
  </si>
  <si>
    <t>18E007.UA</t>
  </si>
  <si>
    <t>18UA08</t>
  </si>
  <si>
    <t>18E008.UA</t>
  </si>
  <si>
    <t>18UA09</t>
  </si>
  <si>
    <t>18E009.UA</t>
  </si>
  <si>
    <t>18UA13</t>
  </si>
  <si>
    <t>18E013.UA</t>
  </si>
  <si>
    <t>18UC07</t>
  </si>
  <si>
    <t>18E007.U</t>
  </si>
  <si>
    <t>18UC08</t>
  </si>
  <si>
    <t>18E008.U</t>
  </si>
  <si>
    <t>18UC09</t>
  </si>
  <si>
    <t>18E009.U</t>
  </si>
  <si>
    <t>18UC13</t>
  </si>
  <si>
    <t>18E013.U</t>
  </si>
  <si>
    <t>19A001A-1</t>
  </si>
  <si>
    <t>PROPYLENE IN FEED       PERCENT</t>
  </si>
  <si>
    <t>19AI001A1.PV</t>
  </si>
  <si>
    <t>19A001A-2</t>
  </si>
  <si>
    <t>ISOBUTANE IN FEED       PERCENT</t>
  </si>
  <si>
    <t>19AI001A2.PV</t>
  </si>
  <si>
    <t>19A001A-3</t>
  </si>
  <si>
    <t>BUTYLENE IN FEED        PERCENT</t>
  </si>
  <si>
    <t>19AI001A3.PV</t>
  </si>
  <si>
    <t>19A001B-1</t>
  </si>
  <si>
    <t>OUTSIDE ISO PURITY      PERCENT</t>
  </si>
  <si>
    <t>19AI001B.PV</t>
  </si>
  <si>
    <t>19A002-1</t>
  </si>
  <si>
    <t>C3 IN RECYCLE           PERCENT</t>
  </si>
  <si>
    <t>19AI002_1.PV</t>
  </si>
  <si>
    <t>19A002-2</t>
  </si>
  <si>
    <t>IC4 IN RECYCLE          PERCENT</t>
  </si>
  <si>
    <t>19AI002_2.PV</t>
  </si>
  <si>
    <t>19A002-3</t>
  </si>
  <si>
    <t>NC4 IN RECYCLE          PERCENT</t>
  </si>
  <si>
    <t>19AI002_3.PV</t>
  </si>
  <si>
    <t>19A004-1</t>
  </si>
  <si>
    <t>IC4 IN BUTANE STREAM    PERCENT</t>
  </si>
  <si>
    <t>19AI004_1.PV</t>
  </si>
  <si>
    <t>19A004-2</t>
  </si>
  <si>
    <t>NC4 IN BUTANE STREAM    PERCENT</t>
  </si>
  <si>
    <t>19AI004_2.PV</t>
  </si>
  <si>
    <t>19A007</t>
  </si>
  <si>
    <t>V2 CIRCULATING CAUSTIC  pH</t>
  </si>
  <si>
    <t>19AI007.PV</t>
  </si>
  <si>
    <t>19ALKY</t>
  </si>
  <si>
    <t>19ALKCM.DEN15</t>
  </si>
  <si>
    <t>19DP002</t>
  </si>
  <si>
    <t>19CP002.CV</t>
  </si>
  <si>
    <t>19DP021</t>
  </si>
  <si>
    <t>T4 DIFFERENTIAL PRESSUREkPa</t>
  </si>
  <si>
    <t>19PDI021.PV</t>
  </si>
  <si>
    <t>19DPFD</t>
  </si>
  <si>
    <t>19ALKINDPTW.DEN15</t>
  </si>
  <si>
    <t>19F001</t>
  </si>
  <si>
    <t>OUTSIDE ISO TO DRIERS   m3/D</t>
  </si>
  <si>
    <t>19FC001.PV</t>
  </si>
  <si>
    <t>19F002</t>
  </si>
  <si>
    <t>OLEFIN FEEDS TO DRIERS  m3/D</t>
  </si>
  <si>
    <t>19FC002.PV</t>
  </si>
  <si>
    <t>19F004</t>
  </si>
  <si>
    <t>SETTLER PRODUCT         m3/D</t>
  </si>
  <si>
    <t>19FC004.PV</t>
  </si>
  <si>
    <t>19F006</t>
  </si>
  <si>
    <t>STRIPPING ISO TO T2/T4  m3/D</t>
  </si>
  <si>
    <t>19FC006.PV</t>
  </si>
  <si>
    <t>19F008</t>
  </si>
  <si>
    <t>ACID TO RERUN           m3/D</t>
  </si>
  <si>
    <t>19FC008.PV</t>
  </si>
  <si>
    <t>19F009</t>
  </si>
  <si>
    <t>RECYCLE TO SETTLER      m3/D</t>
  </si>
  <si>
    <t>19FC009.PV</t>
  </si>
  <si>
    <t>19F010</t>
  </si>
  <si>
    <t>DEPROP REFLUX           m3/D</t>
  </si>
  <si>
    <t>19FC010.PV</t>
  </si>
  <si>
    <t>19F011</t>
  </si>
  <si>
    <t>PROPANE TO STRIPPER     m3/D</t>
  </si>
  <si>
    <t>19FC011.PV</t>
  </si>
  <si>
    <t>19F013</t>
  </si>
  <si>
    <t>STEAM TO STRIPPER E12   KGDX1000</t>
  </si>
  <si>
    <t>19FC013.PV</t>
  </si>
  <si>
    <t>19F014</t>
  </si>
  <si>
    <t>ALKYLATE TO STORAGE     m3/D</t>
  </si>
  <si>
    <t>19FI014.PV</t>
  </si>
  <si>
    <t>19F015A</t>
  </si>
  <si>
    <t>PROPANE FROM TRTR 'A'   m3/D</t>
  </si>
  <si>
    <t>19FI015A.PV</t>
  </si>
  <si>
    <t>19F015B</t>
  </si>
  <si>
    <t>PROPANE FROM TRTR 'B'   m3/D</t>
  </si>
  <si>
    <t>19FI015B.PV</t>
  </si>
  <si>
    <t>19F016</t>
  </si>
  <si>
    <t>BUTANE FROM TREATER     m3/D</t>
  </si>
  <si>
    <t>19FC016.PV</t>
  </si>
  <si>
    <t>19F018</t>
  </si>
  <si>
    <t>FUEL GAS TO H1          KG/D</t>
  </si>
  <si>
    <t>19FI018.PV</t>
  </si>
  <si>
    <t>19F019</t>
  </si>
  <si>
    <t>H1 SW HEATER 'A' PASS   m3/D</t>
  </si>
  <si>
    <t>19FC019.PV</t>
  </si>
  <si>
    <t>19F020</t>
  </si>
  <si>
    <t>H1 NW HEATER 'B' PASS   m3/D</t>
  </si>
  <si>
    <t>19FC020.PV</t>
  </si>
  <si>
    <t>19F021</t>
  </si>
  <si>
    <t>TOTAL FLOW TO H1        m3/D</t>
  </si>
  <si>
    <t>19FI021.PV</t>
  </si>
  <si>
    <t>19F023</t>
  </si>
  <si>
    <t>H1 NE HEATER 'C' PASS   m3/D</t>
  </si>
  <si>
    <t>19FC023.PV</t>
  </si>
  <si>
    <t>19F024</t>
  </si>
  <si>
    <t>H1 HEATER SE 'D' PASS   m3/D</t>
  </si>
  <si>
    <t>19FC024.PV</t>
  </si>
  <si>
    <t>19F030</t>
  </si>
  <si>
    <t>STRIPPING ISO TO T4     m3/D</t>
  </si>
  <si>
    <t>19FC030.PV</t>
  </si>
  <si>
    <t>19F031</t>
  </si>
  <si>
    <t>ISO TO T2 BTTMS         m3/D</t>
  </si>
  <si>
    <t>19FI031.PV</t>
  </si>
  <si>
    <t>19F035</t>
  </si>
  <si>
    <t>NC4 TO T4 BTTMS         m3/D</t>
  </si>
  <si>
    <t>19FI035.PV</t>
  </si>
  <si>
    <t>19FC01</t>
  </si>
  <si>
    <t>19CF001.CV</t>
  </si>
  <si>
    <t>19FC015AB</t>
  </si>
  <si>
    <t>19FC018</t>
  </si>
  <si>
    <t>19CF018.CV</t>
  </si>
  <si>
    <t>19FC02</t>
  </si>
  <si>
    <t>19CF002.CV</t>
  </si>
  <si>
    <t>19FC03</t>
  </si>
  <si>
    <t>19CF003.CV</t>
  </si>
  <si>
    <t>19FC04</t>
  </si>
  <si>
    <t>19CF004.CV</t>
  </si>
  <si>
    <t>19FC05</t>
  </si>
  <si>
    <t>19CF005.CV</t>
  </si>
  <si>
    <t>19FC06A</t>
  </si>
  <si>
    <t>19CF006A.CV</t>
  </si>
  <si>
    <t>19FC06B</t>
  </si>
  <si>
    <t>19CF006B.CV</t>
  </si>
  <si>
    <t>19L002</t>
  </si>
  <si>
    <t>ORGANIC FLOAT           % LEVEL</t>
  </si>
  <si>
    <t>19LI002A.PV</t>
  </si>
  <si>
    <t>19L003</t>
  </si>
  <si>
    <t>ACID FLOAT              % LEVEL</t>
  </si>
  <si>
    <t>19LI003A.PV</t>
  </si>
  <si>
    <t>19L004</t>
  </si>
  <si>
    <t>54 TRAY-FLOAT           % LEVEL</t>
  </si>
  <si>
    <t>19LC004A.PV</t>
  </si>
  <si>
    <t>19L005</t>
  </si>
  <si>
    <t>DEPROP BTTMS            % LEVEL</t>
  </si>
  <si>
    <t>19LC005.PV</t>
  </si>
  <si>
    <t>19L006</t>
  </si>
  <si>
    <t>V7 PROPANE FLOAT        % LEVEL</t>
  </si>
  <si>
    <t>19LC006.PV</t>
  </si>
  <si>
    <t>19L007C</t>
  </si>
  <si>
    <t>LV-19007 OUTPUT SIGNAL  KPA</t>
  </si>
  <si>
    <t>03AI028AZ.PRPPBF</t>
  </si>
  <si>
    <t>19L008</t>
  </si>
  <si>
    <t>STRIPPER BTTMS          % LEVEL</t>
  </si>
  <si>
    <t>19LI008.PV</t>
  </si>
  <si>
    <t>19L015</t>
  </si>
  <si>
    <t>ACID STORAGE DRUM       % LEVEL</t>
  </si>
  <si>
    <t>19LI015.PV</t>
  </si>
  <si>
    <t>19P001</t>
  </si>
  <si>
    <t>V1 CHARGE DRUM          kPa</t>
  </si>
  <si>
    <t>19PI001.PV</t>
  </si>
  <si>
    <t>19P002</t>
  </si>
  <si>
    <t>DRIERS BACK PRESSURE    kPa</t>
  </si>
  <si>
    <t>19PC002.PV</t>
  </si>
  <si>
    <t>19P003</t>
  </si>
  <si>
    <t>T2 RERUN COLUMN         kPa</t>
  </si>
  <si>
    <t>19PC003.PV</t>
  </si>
  <si>
    <t>19P005</t>
  </si>
  <si>
    <t>DEPROP TOP              kPa</t>
  </si>
  <si>
    <t>19PC005.PV</t>
  </si>
  <si>
    <t>19P006</t>
  </si>
  <si>
    <t>PROPANE STRIPPER        kPa</t>
  </si>
  <si>
    <t>19PC006.PV</t>
  </si>
  <si>
    <t>19P008</t>
  </si>
  <si>
    <t>FUEL GAS TO H1          kPa</t>
  </si>
  <si>
    <t>19PC008.PV</t>
  </si>
  <si>
    <t>19P009</t>
  </si>
  <si>
    <t>V5A SETTLER             kPa</t>
  </si>
  <si>
    <t>19PI009.PV</t>
  </si>
  <si>
    <t>19P011</t>
  </si>
  <si>
    <t>PROPANE FROM TREATER    kPa</t>
  </si>
  <si>
    <t>19PC011.PV</t>
  </si>
  <si>
    <t>19P015</t>
  </si>
  <si>
    <t>FEED TO E7              PSI</t>
  </si>
  <si>
    <t>19PI015.PV</t>
  </si>
  <si>
    <t>19P016</t>
  </si>
  <si>
    <t>DEPROP AT NC4 DRAW      kPa</t>
  </si>
  <si>
    <t>19PI016.PV</t>
  </si>
  <si>
    <t>19P020</t>
  </si>
  <si>
    <t>T4 TOP                  kPa</t>
  </si>
  <si>
    <t>19PC020.PV</t>
  </si>
  <si>
    <t>19P182</t>
  </si>
  <si>
    <t>ALKY COOLING H2O HEADER kPa</t>
  </si>
  <si>
    <t>19PI182.PV</t>
  </si>
  <si>
    <t>19PC01</t>
  </si>
  <si>
    <t>19CP001.CV</t>
  </si>
  <si>
    <t>19QC14</t>
  </si>
  <si>
    <t>19E014.Q</t>
  </si>
  <si>
    <t>19RC01</t>
  </si>
  <si>
    <t>19CR001.CV</t>
  </si>
  <si>
    <t>19RC02</t>
  </si>
  <si>
    <t>19CR002.CV</t>
  </si>
  <si>
    <t>19RC03</t>
  </si>
  <si>
    <t>19CR003.CV</t>
  </si>
  <si>
    <t>19RC04</t>
  </si>
  <si>
    <t>19CR004.CV</t>
  </si>
  <si>
    <t>19RIC4</t>
  </si>
  <si>
    <t>19MDRIC4.MV</t>
  </si>
  <si>
    <t>19T002</t>
  </si>
  <si>
    <t>DRIER REGEN             DEG C</t>
  </si>
  <si>
    <t>19TC002.PV</t>
  </si>
  <si>
    <t>19T004</t>
  </si>
  <si>
    <t>REGEN INTO E1           DEG C</t>
  </si>
  <si>
    <t>19TI004.PV</t>
  </si>
  <si>
    <t>19T005</t>
  </si>
  <si>
    <t>E3 WATER OUT            DEG C</t>
  </si>
  <si>
    <t>19TI005.PV</t>
  </si>
  <si>
    <t>19T006</t>
  </si>
  <si>
    <t>ACID TO E3              DEG C</t>
  </si>
  <si>
    <t>19TI006.PV</t>
  </si>
  <si>
    <t>19T007</t>
  </si>
  <si>
    <t>ACID IN E3              DEG C</t>
  </si>
  <si>
    <t>19TI007.PV</t>
  </si>
  <si>
    <t>19T008</t>
  </si>
  <si>
    <t>FD AND REC TO REACTION  DEG C</t>
  </si>
  <si>
    <t>19TI008.PV</t>
  </si>
  <si>
    <t>19T009</t>
  </si>
  <si>
    <t>SETTLER  PRODUCT        DEG C</t>
  </si>
  <si>
    <t>19TI009.PV</t>
  </si>
  <si>
    <t>19T010</t>
  </si>
  <si>
    <t>STRIPPING ISO TO T2/T4  DEG C</t>
  </si>
  <si>
    <t>19TC010.PV</t>
  </si>
  <si>
    <t>19T011</t>
  </si>
  <si>
    <t>RERUN OVERHEAD          DEG C</t>
  </si>
  <si>
    <t>19TI011.PV</t>
  </si>
  <si>
    <t>19T012</t>
  </si>
  <si>
    <t>OVERRIDE STEAM TO E5    DEG C</t>
  </si>
  <si>
    <t>19TC012.PV</t>
  </si>
  <si>
    <t>19T017</t>
  </si>
  <si>
    <t>RECYCLE OUT OF E6'S     DEG C</t>
  </si>
  <si>
    <t>19TI017.PV</t>
  </si>
  <si>
    <t>19T018</t>
  </si>
  <si>
    <t>H2O OUT OF E6'S         DEG C</t>
  </si>
  <si>
    <t>19TI018.PV</t>
  </si>
  <si>
    <t>19T019</t>
  </si>
  <si>
    <t>FEED TO T1 OUT OF E7    DEG C</t>
  </si>
  <si>
    <t>19TI019.PV</t>
  </si>
  <si>
    <t>19T021</t>
  </si>
  <si>
    <t>FEED TO E7              DEG C</t>
  </si>
  <si>
    <t>19TI021.PV</t>
  </si>
  <si>
    <t>19T022</t>
  </si>
  <si>
    <t>RECYCLE OUT OF E7       DEG C</t>
  </si>
  <si>
    <t>19TI022.PV</t>
  </si>
  <si>
    <t>19T024</t>
  </si>
  <si>
    <t>FEED TO 51 TRAY         DEG C</t>
  </si>
  <si>
    <t>19TC024.PV</t>
  </si>
  <si>
    <t>19T025</t>
  </si>
  <si>
    <t>TRAY 54 LIQUID TO E7    DEG C</t>
  </si>
  <si>
    <t>19TI025.PV</t>
  </si>
  <si>
    <t>19T026</t>
  </si>
  <si>
    <t>OV'HD VAPOUR FROM T1    DEG C</t>
  </si>
  <si>
    <t>19TI026.PV</t>
  </si>
  <si>
    <t>19T027</t>
  </si>
  <si>
    <t>T1 TRAY 67              DEG C</t>
  </si>
  <si>
    <t>19TI027.PV</t>
  </si>
  <si>
    <t>19T029</t>
  </si>
  <si>
    <t>T1 TRAY 54 VAPOUR       DEG C</t>
  </si>
  <si>
    <t>19TI029.PV</t>
  </si>
  <si>
    <t>19T030</t>
  </si>
  <si>
    <t>T1 TRAY 46              DEG C</t>
  </si>
  <si>
    <t>19TI030.PV</t>
  </si>
  <si>
    <t>19T031</t>
  </si>
  <si>
    <t>T1 TRAY 40              DEG C</t>
  </si>
  <si>
    <t>19TI031.PV</t>
  </si>
  <si>
    <t>19T032</t>
  </si>
  <si>
    <t>T1 TRAY 31              DEG C</t>
  </si>
  <si>
    <t>19TI032.PV</t>
  </si>
  <si>
    <t>19T033</t>
  </si>
  <si>
    <t>T1 TRAY 22              DEG C</t>
  </si>
  <si>
    <t>19TI033.PV</t>
  </si>
  <si>
    <t>19T034</t>
  </si>
  <si>
    <t>BUTANE TO E9            DEG C</t>
  </si>
  <si>
    <t>19TI034.PV</t>
  </si>
  <si>
    <t>19T035</t>
  </si>
  <si>
    <t>T1 TRAY 10              DEG C</t>
  </si>
  <si>
    <t>19TI035.PV</t>
  </si>
  <si>
    <t>19T036</t>
  </si>
  <si>
    <t>T1 TRAY 1               DEG C</t>
  </si>
  <si>
    <t>19TI036.PV</t>
  </si>
  <si>
    <t>19T037</t>
  </si>
  <si>
    <t>TRAY 66 TEMP CONTROL    DEG C</t>
  </si>
  <si>
    <t>19TC037.PV</t>
  </si>
  <si>
    <t>19T039</t>
  </si>
  <si>
    <t>TOWER BTTMS TO H1       DEG C</t>
  </si>
  <si>
    <t>19TC039.PV</t>
  </si>
  <si>
    <t>19T043</t>
  </si>
  <si>
    <t>VAPOUR FROM CHILLER     DEG C</t>
  </si>
  <si>
    <t>19TI043.PV</t>
  </si>
  <si>
    <t>19T044</t>
  </si>
  <si>
    <t>ACID BOOT RETURN TO V5A DEG C</t>
  </si>
  <si>
    <t>19TI044.PV</t>
  </si>
  <si>
    <t>19T046</t>
  </si>
  <si>
    <t>STRIPPER OVERHEAD       DEG C</t>
  </si>
  <si>
    <t>19TI046.PV</t>
  </si>
  <si>
    <t>19T048</t>
  </si>
  <si>
    <t>P6'S SUCTION            DEG C</t>
  </si>
  <si>
    <t>19TI048.PV</t>
  </si>
  <si>
    <t>19T050</t>
  </si>
  <si>
    <t>ALKYLATE OUT OF E14     DEG C</t>
  </si>
  <si>
    <t>19TI050.PV</t>
  </si>
  <si>
    <t>19T051</t>
  </si>
  <si>
    <t>C3 OUT OF V8            DEG C</t>
  </si>
  <si>
    <t>19TI051.PV</t>
  </si>
  <si>
    <t>19T052</t>
  </si>
  <si>
    <t>BUTANE FROM V9          DEG C</t>
  </si>
  <si>
    <t>19TI052.PV</t>
  </si>
  <si>
    <t>19T053</t>
  </si>
  <si>
    <t>V2 CIRCULATING CAUSTIC  DEG C</t>
  </si>
  <si>
    <t>19TI053.PV</t>
  </si>
  <si>
    <t>19T058</t>
  </si>
  <si>
    <t>H1 STACK                DEG C</t>
  </si>
  <si>
    <t>19TI058.PV</t>
  </si>
  <si>
    <t>19T059</t>
  </si>
  <si>
    <t>ACID OUT OF E5          DEG C</t>
  </si>
  <si>
    <t>19TC059.PV</t>
  </si>
  <si>
    <t>19T060</t>
  </si>
  <si>
    <t>T2 STRIPPING SECTION    DEG C</t>
  </si>
  <si>
    <t>19TI060.PV</t>
  </si>
  <si>
    <t>19T066</t>
  </si>
  <si>
    <t>H1 OUTLET RETURN TO T1  DEG C</t>
  </si>
  <si>
    <t>19TI066.PV</t>
  </si>
  <si>
    <t>19T069</t>
  </si>
  <si>
    <t>OVERHEAD OUT OF E10'S   DEG C</t>
  </si>
  <si>
    <t>19TI069.PV</t>
  </si>
  <si>
    <t>19T087</t>
  </si>
  <si>
    <t>T2 BTTM TRYCOCK         DEG C</t>
  </si>
  <si>
    <t>19TI087.PV</t>
  </si>
  <si>
    <t>19T104</t>
  </si>
  <si>
    <t>T4 TOP                  DEG C</t>
  </si>
  <si>
    <t>19TI104.PV</t>
  </si>
  <si>
    <t>19T105</t>
  </si>
  <si>
    <t>T4 BOTTOM               DEG C</t>
  </si>
  <si>
    <t>19TI105.PV</t>
  </si>
  <si>
    <t>19T160</t>
  </si>
  <si>
    <t>C3 DEFLORINATOR TO FLARE</t>
  </si>
  <si>
    <t>19TI160.PV</t>
  </si>
  <si>
    <t>19T161</t>
  </si>
  <si>
    <t>16" FLARE HEADER 'B' RACK TO FLA</t>
  </si>
  <si>
    <t>19TI161.PV</t>
  </si>
  <si>
    <t>19T162</t>
  </si>
  <si>
    <t>OLIEFIN DRIERS TO FLARE</t>
  </si>
  <si>
    <t>19TI162.PV</t>
  </si>
  <si>
    <t>19T163</t>
  </si>
  <si>
    <t>SETTLER RERUN TO FLARE</t>
  </si>
  <si>
    <t>19TI163.PV</t>
  </si>
  <si>
    <t>19T164</t>
  </si>
  <si>
    <t>ACID RELIEF HDR. N/S TO FLARE</t>
  </si>
  <si>
    <t>19TI164.PV</t>
  </si>
  <si>
    <t>19TD01</t>
  </si>
  <si>
    <t>19CT001.CV</t>
  </si>
  <si>
    <t>19TM127</t>
  </si>
  <si>
    <t>19MT127.MV</t>
  </si>
  <si>
    <t>19TM128</t>
  </si>
  <si>
    <t>19MT128.MV</t>
  </si>
  <si>
    <t>19TM129</t>
  </si>
  <si>
    <t>19MT129.MV</t>
  </si>
  <si>
    <t>19TM143</t>
  </si>
  <si>
    <t>19MT143.MV</t>
  </si>
  <si>
    <t>19TM152</t>
  </si>
  <si>
    <t>19MT152.MV</t>
  </si>
  <si>
    <t>19TM154</t>
  </si>
  <si>
    <t>19MT154.MV</t>
  </si>
  <si>
    <t>19UA06</t>
  </si>
  <si>
    <t>19E006.UA</t>
  </si>
  <si>
    <t>19UA08</t>
  </si>
  <si>
    <t>19E008.UA</t>
  </si>
  <si>
    <t>19UA14</t>
  </si>
  <si>
    <t>19E014.UA</t>
  </si>
  <si>
    <t>19UC06</t>
  </si>
  <si>
    <t>19E006.U</t>
  </si>
  <si>
    <t>19UC08</t>
  </si>
  <si>
    <t>19E008.U</t>
  </si>
  <si>
    <t>19UC14</t>
  </si>
  <si>
    <t>19E014.U</t>
  </si>
  <si>
    <t>20$C001</t>
  </si>
  <si>
    <t>20CCD001.CV</t>
  </si>
  <si>
    <t>20$C002</t>
  </si>
  <si>
    <t>20MCD002.MV</t>
  </si>
  <si>
    <t>20$C003</t>
  </si>
  <si>
    <t>20CCD003.CV</t>
  </si>
  <si>
    <t>20F001</t>
  </si>
  <si>
    <t>FUEL GAS   TO   FLARE      X1000</t>
  </si>
  <si>
    <t>20FI001.PV</t>
  </si>
  <si>
    <t>20F004</t>
  </si>
  <si>
    <t>FUEL GAS FROM   2-0-V01 X 1000</t>
  </si>
  <si>
    <t>20FI004.PV</t>
  </si>
  <si>
    <t>20F005</t>
  </si>
  <si>
    <t>#2 FUEL OIL TO  20V.02A  DRYER</t>
  </si>
  <si>
    <t>20FC005.PV</t>
  </si>
  <si>
    <t>20F006</t>
  </si>
  <si>
    <t>#2 FUEL OIL TO  20V.02B  DRYER</t>
  </si>
  <si>
    <t>20FC006.PV</t>
  </si>
  <si>
    <t>20F007</t>
  </si>
  <si>
    <t>#2 FUEL OIL TO  20V.02C  DRYER</t>
  </si>
  <si>
    <t>20FC007.PV</t>
  </si>
  <si>
    <t>20F008</t>
  </si>
  <si>
    <t>#2 FUEL OIL TO  20V.02D  DRYER</t>
  </si>
  <si>
    <t>20FC008.PV</t>
  </si>
  <si>
    <t>20F009</t>
  </si>
  <si>
    <t>#2 FUEL OIL DRYER BYPASS</t>
  </si>
  <si>
    <t>20FC009.PV</t>
  </si>
  <si>
    <t>20F054</t>
  </si>
  <si>
    <t>TOTAL FUEL OIL</t>
  </si>
  <si>
    <t>20SUMFLOWS.RO02</t>
  </si>
  <si>
    <t>20FC001</t>
  </si>
  <si>
    <t>20CF001.CV</t>
  </si>
  <si>
    <t>20FQ05</t>
  </si>
  <si>
    <t>#2 FUEL OIL TO 20V020A DRYER</t>
  </si>
  <si>
    <t>20FQI005.OP</t>
  </si>
  <si>
    <t>20FQ06</t>
  </si>
  <si>
    <t>#2 FUEL OIL TO 20V020B DRYER</t>
  </si>
  <si>
    <t>20FQI006.OP</t>
  </si>
  <si>
    <t>20FQ07</t>
  </si>
  <si>
    <t>#2 FUEL OIL TO 20V020C DRYER</t>
  </si>
  <si>
    <t>20FQI007.OP</t>
  </si>
  <si>
    <t>20FQ08</t>
  </si>
  <si>
    <t>#2 FUEL OIL TO 20V020D DRYER</t>
  </si>
  <si>
    <t>20FQI008.OP</t>
  </si>
  <si>
    <t>20PC01</t>
  </si>
  <si>
    <t>20CP001.CV</t>
  </si>
  <si>
    <t>20T002</t>
  </si>
  <si>
    <t>NO2 FUEL OIL DRYER INLET HEADER</t>
  </si>
  <si>
    <t>20TI002.PV</t>
  </si>
  <si>
    <t>20TEMPF</t>
  </si>
  <si>
    <t>20TEMPF.CV</t>
  </si>
  <si>
    <t>21$C01</t>
  </si>
  <si>
    <t>21CCD001.CV</t>
  </si>
  <si>
    <t>21$CRH</t>
  </si>
  <si>
    <t>P2CRH.CNBEN</t>
  </si>
  <si>
    <t>21$CRT</t>
  </si>
  <si>
    <t>P2CRT.CNBEN</t>
  </si>
  <si>
    <t>21A001A</t>
  </si>
  <si>
    <t>ANALYZR 21AN001A</t>
  </si>
  <si>
    <t>21AI001_1A.PV</t>
  </si>
  <si>
    <t>21A001B</t>
  </si>
  <si>
    <t>ANALYZR 21AN001B</t>
  </si>
  <si>
    <t>21AI001_2A.PV</t>
  </si>
  <si>
    <t>21A001C</t>
  </si>
  <si>
    <t>ANALYZR 21AN001C</t>
  </si>
  <si>
    <t>21AI001_3A.PV</t>
  </si>
  <si>
    <t>21A001D</t>
  </si>
  <si>
    <t>ANALYZR 21AN001D</t>
  </si>
  <si>
    <t>21AI001_4A.PV</t>
  </si>
  <si>
    <t>21A002</t>
  </si>
  <si>
    <t>21V02 WATER PH</t>
  </si>
  <si>
    <t>21AI002.PV</t>
  </si>
  <si>
    <t>21AM01</t>
  </si>
  <si>
    <t>21MA001.MV</t>
  </si>
  <si>
    <t>21CA001B</t>
  </si>
  <si>
    <t>21CA001B.CV</t>
  </si>
  <si>
    <t>21CA001C</t>
  </si>
  <si>
    <t>21CA001C.CV</t>
  </si>
  <si>
    <t>21CA001D</t>
  </si>
  <si>
    <t>21CA001D.CV</t>
  </si>
  <si>
    <t>21CQ100</t>
  </si>
  <si>
    <t>WATCH   DOG     TIMER   210100</t>
  </si>
  <si>
    <t>21CQ100.OP</t>
  </si>
  <si>
    <t>21CQ200</t>
  </si>
  <si>
    <t>WATCH   DOG     TIMER   210200</t>
  </si>
  <si>
    <t>21CQ200.OP</t>
  </si>
  <si>
    <t>21CTIN</t>
  </si>
  <si>
    <t>21CRUIN.DEN15</t>
  </si>
  <si>
    <t>21D404</t>
  </si>
  <si>
    <t>21DMO.L24SLI</t>
  </si>
  <si>
    <t>21DM01</t>
  </si>
  <si>
    <t>21MD001.MV</t>
  </si>
  <si>
    <t>21F001B</t>
  </si>
  <si>
    <t>#2 LVGO TO #2 FUEL OIL  HEADER</t>
  </si>
  <si>
    <t>21FC001B.PV</t>
  </si>
  <si>
    <t>21F002B</t>
  </si>
  <si>
    <t>#2 KERO TO LSD/#1 DIESEL</t>
  </si>
  <si>
    <t>21FC002B.PV</t>
  </si>
  <si>
    <t>21F003B</t>
  </si>
  <si>
    <t>VGOL TO  HCY    TANKAGE</t>
  </si>
  <si>
    <t>21FC003.PV</t>
  </si>
  <si>
    <t>21F008</t>
  </si>
  <si>
    <t>CRUDE   CHG FROM P-01 TO E-01</t>
  </si>
  <si>
    <t>21FI008.PV</t>
  </si>
  <si>
    <t>21F010</t>
  </si>
  <si>
    <t>PASS ONE CHARGE TO      2-1-H01</t>
  </si>
  <si>
    <t>21FC010.PV</t>
  </si>
  <si>
    <t>21F011</t>
  </si>
  <si>
    <t>PASS TWO CHARGE TO      2-1-H01</t>
  </si>
  <si>
    <t>21FC011.PV</t>
  </si>
  <si>
    <t>21F012</t>
  </si>
  <si>
    <t>PASS    THREE   CHG TO  2-1-H01</t>
  </si>
  <si>
    <t>21FC012.PV</t>
  </si>
  <si>
    <t>21F013</t>
  </si>
  <si>
    <t>PASS    FOUR    CHG TO  2-1-H01</t>
  </si>
  <si>
    <t>21FC013.PV</t>
  </si>
  <si>
    <t>21F014</t>
  </si>
  <si>
    <t>FUEL    OIL TO  2-1-H01</t>
  </si>
  <si>
    <t>21FI014.PV</t>
  </si>
  <si>
    <t>21F015</t>
  </si>
  <si>
    <t>2-1-H01 FUEL GAS           X1000</t>
  </si>
  <si>
    <t>21FI015.PV</t>
  </si>
  <si>
    <t>21F026</t>
  </si>
  <si>
    <t>UPPER   PUMPARND TO T-01</t>
  </si>
  <si>
    <t>21FC026.PV</t>
  </si>
  <si>
    <t>21F027</t>
  </si>
  <si>
    <t>LOWER   PUMPARND TO T-01</t>
  </si>
  <si>
    <t>21FC027.PV</t>
  </si>
  <si>
    <t>21F028</t>
  </si>
  <si>
    <t>STEAM TO 2-1-T01           X1000</t>
  </si>
  <si>
    <t>21FC028.PV</t>
  </si>
  <si>
    <t>21F029</t>
  </si>
  <si>
    <t>STEAM TO KERO   STRIPPER   X1000</t>
  </si>
  <si>
    <t>21FC029.PV</t>
  </si>
  <si>
    <t>21F030</t>
  </si>
  <si>
    <t>STEAM TO LVGO   STRIPPER   X1000</t>
  </si>
  <si>
    <t>21FC030.PV</t>
  </si>
  <si>
    <t>21F032</t>
  </si>
  <si>
    <t>H.V.G.O. FROM   PLT#2 TO PLT#1</t>
  </si>
  <si>
    <t>21FC032.PV</t>
  </si>
  <si>
    <t>21F035</t>
  </si>
  <si>
    <t>CRUDE O/H WASH WATER FLOW</t>
  </si>
  <si>
    <t>21FI035.PV</t>
  </si>
  <si>
    <t>21F036</t>
  </si>
  <si>
    <t>WATER   TO      DESALTER</t>
  </si>
  <si>
    <t>21FC036.PV</t>
  </si>
  <si>
    <t>21F037</t>
  </si>
  <si>
    <t>GAS TO   FLARE             X1000</t>
  </si>
  <si>
    <t>21FI037.PV</t>
  </si>
  <si>
    <t>21F038</t>
  </si>
  <si>
    <t>CRD. GAS TO PL#1 V-190     X1000</t>
  </si>
  <si>
    <t>21FI038.PV</t>
  </si>
  <si>
    <t>21F039</t>
  </si>
  <si>
    <t>NAPHTHA TO PRETR</t>
  </si>
  <si>
    <t>21FC039.PV</t>
  </si>
  <si>
    <t>21F041</t>
  </si>
  <si>
    <t>150#    STEAM TO CRUDE     X1000</t>
  </si>
  <si>
    <t>21FI041.PV</t>
  </si>
  <si>
    <t>21F042</t>
  </si>
  <si>
    <t>FUEL GAS   TO   CRUDE      X1000</t>
  </si>
  <si>
    <t>21FI042.PV</t>
  </si>
  <si>
    <t>21F048B</t>
  </si>
  <si>
    <t>#2 KERO TO #2 FUEL OIL  HEADER</t>
  </si>
  <si>
    <t>21FC048B.PV</t>
  </si>
  <si>
    <t>21F049</t>
  </si>
  <si>
    <t>CRUDE   CHARGE</t>
  </si>
  <si>
    <t>21FI049.PV</t>
  </si>
  <si>
    <t>21F051</t>
  </si>
  <si>
    <t>#2 LVGO TO TANK 71</t>
  </si>
  <si>
    <t>21FC051.PV</t>
  </si>
  <si>
    <t>21F083</t>
  </si>
  <si>
    <t>STEAM TO 2-1-E19</t>
  </si>
  <si>
    <t>21FC083.PV</t>
  </si>
  <si>
    <t>21F100</t>
  </si>
  <si>
    <t>LSD BOTTOMS TO 21-T01</t>
  </si>
  <si>
    <t>21FI100.PV</t>
  </si>
  <si>
    <t>21F145</t>
  </si>
  <si>
    <t>EXCESS  SOUR WATER TO TK-28</t>
  </si>
  <si>
    <t>21FC145.PV</t>
  </si>
  <si>
    <t>21F146</t>
  </si>
  <si>
    <t>SOUR    WATER TO   2-1-T03</t>
  </si>
  <si>
    <t>21FC146.PV</t>
  </si>
  <si>
    <t>21F148</t>
  </si>
  <si>
    <t>SKIM OIL TO TK-26</t>
  </si>
  <si>
    <t>21FI148.PV</t>
  </si>
  <si>
    <t>21F150B</t>
  </si>
  <si>
    <t>#2 KEROSENE TO DIESEL HEADER</t>
  </si>
  <si>
    <t>21FC150B.PV</t>
  </si>
  <si>
    <t>21F151B</t>
  </si>
  <si>
    <t>#2 LVGO TO DIESEL HEADER</t>
  </si>
  <si>
    <t>21FC151B.PV</t>
  </si>
  <si>
    <t>21F152</t>
  </si>
  <si>
    <t>#2 KEROSENE TO TANK 71</t>
  </si>
  <si>
    <t>21FC152.PV</t>
  </si>
  <si>
    <t>21F154</t>
  </si>
  <si>
    <t>21FI154.PV</t>
  </si>
  <si>
    <t>21FC01</t>
  </si>
  <si>
    <t>21CF001.CV</t>
  </si>
  <si>
    <t>21FC015</t>
  </si>
  <si>
    <t>21CF015.CV</t>
  </si>
  <si>
    <t>21FC02</t>
  </si>
  <si>
    <t>21CF002.CV</t>
  </si>
  <si>
    <t>21FC03</t>
  </si>
  <si>
    <t>21CF003.CV</t>
  </si>
  <si>
    <t>21FC037</t>
  </si>
  <si>
    <t>21CF037.CV</t>
  </si>
  <si>
    <t>21FC04</t>
  </si>
  <si>
    <t>21CF004.CV</t>
  </si>
  <si>
    <t>21FC05</t>
  </si>
  <si>
    <t>21CF005.CV</t>
  </si>
  <si>
    <t>21FC06</t>
  </si>
  <si>
    <t>21CF006.CV</t>
  </si>
  <si>
    <t>21FC07</t>
  </si>
  <si>
    <t>21CF007.CV</t>
  </si>
  <si>
    <t>21FC08</t>
  </si>
  <si>
    <t>21CF008.CV</t>
  </si>
  <si>
    <t>21FC09</t>
  </si>
  <si>
    <t>21CF009.CV</t>
  </si>
  <si>
    <t>21FC10</t>
  </si>
  <si>
    <t>21CF010.CV</t>
  </si>
  <si>
    <t>21FC100</t>
  </si>
  <si>
    <t>21CF100.CV</t>
  </si>
  <si>
    <t>21FC11</t>
  </si>
  <si>
    <t>21CF011.CV</t>
  </si>
  <si>
    <t>21FC12</t>
  </si>
  <si>
    <t>21CF012.CV</t>
  </si>
  <si>
    <t>21FC13</t>
  </si>
  <si>
    <t>21CF013.CV</t>
  </si>
  <si>
    <t>21FC14</t>
  </si>
  <si>
    <t>21CF014.CV</t>
  </si>
  <si>
    <t>21FC15</t>
  </si>
  <si>
    <t>21CF150.CV</t>
  </si>
  <si>
    <t>21FC16</t>
  </si>
  <si>
    <t>21CF016.CV</t>
  </si>
  <si>
    <t>21FC17</t>
  </si>
  <si>
    <t>21CF017.CV</t>
  </si>
  <si>
    <t>21FC18</t>
  </si>
  <si>
    <t>21CF018.CV</t>
  </si>
  <si>
    <t>21FC19</t>
  </si>
  <si>
    <t>21CF019.CV</t>
  </si>
  <si>
    <t>21FC20</t>
  </si>
  <si>
    <t>21CF020.CV</t>
  </si>
  <si>
    <t>21FC21</t>
  </si>
  <si>
    <t>21CF021.CV</t>
  </si>
  <si>
    <t>21FC22</t>
  </si>
  <si>
    <t>21CF022.CV</t>
  </si>
  <si>
    <t>21FC23</t>
  </si>
  <si>
    <t>21CF023.CV</t>
  </si>
  <si>
    <t>21FC24</t>
  </si>
  <si>
    <t>21CF024.CV</t>
  </si>
  <si>
    <t>21FC25</t>
  </si>
  <si>
    <t>21CF025.CV</t>
  </si>
  <si>
    <t>21FC26</t>
  </si>
  <si>
    <t>21CF026.CV</t>
  </si>
  <si>
    <t>21FC27</t>
  </si>
  <si>
    <t>21CF027.CV</t>
  </si>
  <si>
    <t>21FC28</t>
  </si>
  <si>
    <t>21CF028.CV</t>
  </si>
  <si>
    <t>21FC29</t>
  </si>
  <si>
    <t>21CF029.CV</t>
  </si>
  <si>
    <t>21FC30</t>
  </si>
  <si>
    <t>21CF030.CV</t>
  </si>
  <si>
    <t>21FGAS</t>
  </si>
  <si>
    <t>21FUGINHOO1.C1</t>
  </si>
  <si>
    <t>21FUGINHOO1.C2</t>
  </si>
  <si>
    <t>21FUGINHOO1.C3</t>
  </si>
  <si>
    <t>21FUGINHOO1.C3A</t>
  </si>
  <si>
    <t>21FUGINHOO1.C4A</t>
  </si>
  <si>
    <t>21FUGINHOO1.C5A</t>
  </si>
  <si>
    <t>21FUGINHOO1.C6B</t>
  </si>
  <si>
    <t>21FUGINHOO1.CO</t>
  </si>
  <si>
    <t>21FUGINHOO1.CO2</t>
  </si>
  <si>
    <t>21FUGINHOO1.H2</t>
  </si>
  <si>
    <t>21FUGINHOO1.IC4</t>
  </si>
  <si>
    <t>21FUGINHOO1.IC5</t>
  </si>
  <si>
    <t>21FUGINHOO1.N2</t>
  </si>
  <si>
    <t>21FUGINHOO1.NC4</t>
  </si>
  <si>
    <t>21FUGINHOO1.NC5</t>
  </si>
  <si>
    <t>21FUGINHOO1.O2</t>
  </si>
  <si>
    <t>21FM002A</t>
  </si>
  <si>
    <t>21MF002A.MV</t>
  </si>
  <si>
    <t>21FM002B</t>
  </si>
  <si>
    <t>21MF002B.MV</t>
  </si>
  <si>
    <t>21FM003</t>
  </si>
  <si>
    <t>21MF003.MV</t>
  </si>
  <si>
    <t>21FM004</t>
  </si>
  <si>
    <t>21MF004.MV</t>
  </si>
  <si>
    <t>21FM005</t>
  </si>
  <si>
    <t>21MF005.MV</t>
  </si>
  <si>
    <t>21FM006</t>
  </si>
  <si>
    <t>21MF006.MV</t>
  </si>
  <si>
    <t>21FM032</t>
  </si>
  <si>
    <t>21MF032.MV</t>
  </si>
  <si>
    <t>21FXTST</t>
  </si>
  <si>
    <t>TEST PPT POINT FOR FOXTUP</t>
  </si>
  <si>
    <t>24PI001.PV</t>
  </si>
  <si>
    <t>21HC001</t>
  </si>
  <si>
    <t>21CH001.CV</t>
  </si>
  <si>
    <t>21L001</t>
  </si>
  <si>
    <t>CRD TWR 2-1-T01 BOTTOM</t>
  </si>
  <si>
    <t>21LC001.PV</t>
  </si>
  <si>
    <t>21L072</t>
  </si>
  <si>
    <t>V08 LEVEL</t>
  </si>
  <si>
    <t>21LC072.PV</t>
  </si>
  <si>
    <t>21L143</t>
  </si>
  <si>
    <t>2-1-V09 SOUR    WATER LEVEL</t>
  </si>
  <si>
    <t>21LC143.PV</t>
  </si>
  <si>
    <t>21LVPA</t>
  </si>
  <si>
    <t>21MDLVPA.MV</t>
  </si>
  <si>
    <t>21MA001B</t>
  </si>
  <si>
    <t>21MA001B.MV</t>
  </si>
  <si>
    <t>21MA001C</t>
  </si>
  <si>
    <t>21MA001C.MV</t>
  </si>
  <si>
    <t>21MA001D</t>
  </si>
  <si>
    <t>21MA001D.MV</t>
  </si>
  <si>
    <t>21NPPA</t>
  </si>
  <si>
    <t>21MDNPPA.MV</t>
  </si>
  <si>
    <t>21P002</t>
  </si>
  <si>
    <t>FUEL    GAS TO  2-1-H01</t>
  </si>
  <si>
    <t>21PC002.PV</t>
  </si>
  <si>
    <t>21P005</t>
  </si>
  <si>
    <t>V-02    PRESSURE</t>
  </si>
  <si>
    <t>21PC005.PV</t>
  </si>
  <si>
    <t>21P006</t>
  </si>
  <si>
    <t>1000 KPA STEAM  HEADER</t>
  </si>
  <si>
    <t>21PC006.PV</t>
  </si>
  <si>
    <t>21P012</t>
  </si>
  <si>
    <t>21H01 FUEL OIL PRESSURE</t>
  </si>
  <si>
    <t>21PC012.PV</t>
  </si>
  <si>
    <t>21P050</t>
  </si>
  <si>
    <t>21T01 TOP PRESSURE</t>
  </si>
  <si>
    <t>21PI050.PV</t>
  </si>
  <si>
    <t>21P061</t>
  </si>
  <si>
    <t>2-1-V08 PRESSURE</t>
  </si>
  <si>
    <t>21PI061.PV</t>
  </si>
  <si>
    <t>21P062</t>
  </si>
  <si>
    <t>V08</t>
  </si>
  <si>
    <t>21PC062.PV</t>
  </si>
  <si>
    <t>21P143</t>
  </si>
  <si>
    <t>2-1-V09 PRESSURE</t>
  </si>
  <si>
    <t>21PI143.PV</t>
  </si>
  <si>
    <t>21P146</t>
  </si>
  <si>
    <t>2-1-T03 PRESSURE</t>
  </si>
  <si>
    <t>21PI146.PV</t>
  </si>
  <si>
    <t>21PC005</t>
  </si>
  <si>
    <t>21CP005.CV</t>
  </si>
  <si>
    <t>21QC01</t>
  </si>
  <si>
    <t>21E001.Q</t>
  </si>
  <si>
    <t>21QC02</t>
  </si>
  <si>
    <t>21E002.Q</t>
  </si>
  <si>
    <t>21QC03</t>
  </si>
  <si>
    <t>21E003.Q</t>
  </si>
  <si>
    <t>21QC04</t>
  </si>
  <si>
    <t>21E004.Q</t>
  </si>
  <si>
    <t>21QC05</t>
  </si>
  <si>
    <t>21E005.Q</t>
  </si>
  <si>
    <t>21QC08</t>
  </si>
  <si>
    <t>21E008.Q</t>
  </si>
  <si>
    <t>21QC09</t>
  </si>
  <si>
    <t>21E009.Q</t>
  </si>
  <si>
    <t>21RC01</t>
  </si>
  <si>
    <t>21CR001.CV</t>
  </si>
  <si>
    <t>21RC02</t>
  </si>
  <si>
    <t>21CR002.CV</t>
  </si>
  <si>
    <t>21RC03</t>
  </si>
  <si>
    <t>21CR003.CV</t>
  </si>
  <si>
    <t>21RC04</t>
  </si>
  <si>
    <t>21CR004.CV</t>
  </si>
  <si>
    <t>21RC05</t>
  </si>
  <si>
    <t>21CR005.CV</t>
  </si>
  <si>
    <t>21RC06</t>
  </si>
  <si>
    <t>21CR006.CV</t>
  </si>
  <si>
    <t>21RC07</t>
  </si>
  <si>
    <t>21CR007.CV</t>
  </si>
  <si>
    <t>21RC08</t>
  </si>
  <si>
    <t>21CR008.CV</t>
  </si>
  <si>
    <t>21RC09</t>
  </si>
  <si>
    <t>21CR009.CV</t>
  </si>
  <si>
    <t>21RC10</t>
  </si>
  <si>
    <t>21CR010.CV</t>
  </si>
  <si>
    <t>21RC11</t>
  </si>
  <si>
    <t>21CR011.CV</t>
  </si>
  <si>
    <t>21STK2</t>
  </si>
  <si>
    <t>21KER.DEN15</t>
  </si>
  <si>
    <t>21STLV</t>
  </si>
  <si>
    <t>21LGO.DEN15</t>
  </si>
  <si>
    <t>21T054</t>
  </si>
  <si>
    <t>21H01 FUEL OIL RETURN TEMP.</t>
  </si>
  <si>
    <t>21TI054.PV</t>
  </si>
  <si>
    <t>21T080</t>
  </si>
  <si>
    <t>21TV08 TEMPERATURE</t>
  </si>
  <si>
    <t>21TI080.PV</t>
  </si>
  <si>
    <t>21T101</t>
  </si>
  <si>
    <t>2-1-E08 OUT LT. VIRGIN  GAS OIL</t>
  </si>
  <si>
    <t>21TI022.PV</t>
  </si>
  <si>
    <t>21T102</t>
  </si>
  <si>
    <t>VGOL  TO STORAGE</t>
  </si>
  <si>
    <t>21TI025.PV</t>
  </si>
  <si>
    <t>21T103</t>
  </si>
  <si>
    <t>2-1-E09 WATER   OUT</t>
  </si>
  <si>
    <t>21TI026.PV</t>
  </si>
  <si>
    <t>21T106</t>
  </si>
  <si>
    <t>2-1-E09 KERO OUT TO #2  FUEL OIL</t>
  </si>
  <si>
    <t>21TI033.PV</t>
  </si>
  <si>
    <t>21T108</t>
  </si>
  <si>
    <t>2-1-E01 CRUDE   OUTLET</t>
  </si>
  <si>
    <t>21TI038.PV</t>
  </si>
  <si>
    <t>21T111</t>
  </si>
  <si>
    <t>2-1-E09 PRODUCT IN</t>
  </si>
  <si>
    <t>21TI041.PV</t>
  </si>
  <si>
    <t>21T112</t>
  </si>
  <si>
    <t>2-1-E02 KERO IN</t>
  </si>
  <si>
    <t>21TI043.PV</t>
  </si>
  <si>
    <t>21T114</t>
  </si>
  <si>
    <t>2-1-E02 LVGO IN</t>
  </si>
  <si>
    <t>21TI045.PV</t>
  </si>
  <si>
    <t>21T115</t>
  </si>
  <si>
    <t>2-1-E08 PRODUCT IN</t>
  </si>
  <si>
    <t>21TI046.PV</t>
  </si>
  <si>
    <t>21T119</t>
  </si>
  <si>
    <t>VGOL  P/A FROM 2-1-E05</t>
  </si>
  <si>
    <t>21TI053.PV</t>
  </si>
  <si>
    <t>21T121</t>
  </si>
  <si>
    <t>2-1-H01 1ST PASS OUT</t>
  </si>
  <si>
    <t>21TI056.PV</t>
  </si>
  <si>
    <t>21T122</t>
  </si>
  <si>
    <t>2-1-H01 2ND PASS OUT</t>
  </si>
  <si>
    <t>21TI057.PV</t>
  </si>
  <si>
    <t>21T123</t>
  </si>
  <si>
    <t>2-1-H01 4TH PASS OUT</t>
  </si>
  <si>
    <t>21TI058.PV</t>
  </si>
  <si>
    <t>21T124</t>
  </si>
  <si>
    <t>2-1-H01 3RD PASS OUT</t>
  </si>
  <si>
    <t>21TI059.PV</t>
  </si>
  <si>
    <t>21T125</t>
  </si>
  <si>
    <t>1-T01   FEED TO 17 TRAY</t>
  </si>
  <si>
    <t>21TI067.PV</t>
  </si>
  <si>
    <t>21T126</t>
  </si>
  <si>
    <t>2-T01   LOWER   PUMP    AROUND</t>
  </si>
  <si>
    <t>21TI068.PV</t>
  </si>
  <si>
    <t>21T127</t>
  </si>
  <si>
    <t>2-1-H01 OUTLET  (T21009)</t>
  </si>
  <si>
    <t>21TI069.PV</t>
  </si>
  <si>
    <t>21T128</t>
  </si>
  <si>
    <t>2-1-T01 OVERHEAD</t>
  </si>
  <si>
    <t>21TI070.PV</t>
  </si>
  <si>
    <t>21T129</t>
  </si>
  <si>
    <t>UPPER   PUMP    AROUND</t>
  </si>
  <si>
    <t>21TI071.PV</t>
  </si>
  <si>
    <t>21T130</t>
  </si>
  <si>
    <t>KEROSENE DRAW</t>
  </si>
  <si>
    <t>21TI072.PV</t>
  </si>
  <si>
    <t>21T131</t>
  </si>
  <si>
    <t>L.V.G.O. DRAW</t>
  </si>
  <si>
    <t>21TI073.PV</t>
  </si>
  <si>
    <t>21T132</t>
  </si>
  <si>
    <t>2-1-T01 FLASH   ZONE</t>
  </si>
  <si>
    <t>21TI074.PV</t>
  </si>
  <si>
    <t>21T133</t>
  </si>
  <si>
    <t>H.V.G.O. DRAW</t>
  </si>
  <si>
    <t>21TI075.PV</t>
  </si>
  <si>
    <t>21T134</t>
  </si>
  <si>
    <t>H.V.G.O.</t>
  </si>
  <si>
    <t>21TI076.PV</t>
  </si>
  <si>
    <t>21T142</t>
  </si>
  <si>
    <t>CRUDE   OVERHEAD</t>
  </si>
  <si>
    <t>21TI090.PV</t>
  </si>
  <si>
    <t>21T147</t>
  </si>
  <si>
    <t>F.O. TO 2-1-H01</t>
  </si>
  <si>
    <t>21TI116.PV</t>
  </si>
  <si>
    <t>21T150</t>
  </si>
  <si>
    <t>COOLING WATER   RETURN</t>
  </si>
  <si>
    <t>20TI051.PV</t>
  </si>
  <si>
    <t>21T151</t>
  </si>
  <si>
    <t>COOLING WATER SUPPLY</t>
  </si>
  <si>
    <t>04TC003.PV</t>
  </si>
  <si>
    <t>21T156</t>
  </si>
  <si>
    <t>2-1-T03 HOT BYPASS TO 2-1-V08</t>
  </si>
  <si>
    <t>21TC156.PV</t>
  </si>
  <si>
    <t>21T2-10</t>
  </si>
  <si>
    <t>CRUDE   GAS</t>
  </si>
  <si>
    <t>21TI089.PV</t>
  </si>
  <si>
    <t>21T3-17</t>
  </si>
  <si>
    <t>2-1-H01 STACK</t>
  </si>
  <si>
    <t>21TI066.PV</t>
  </si>
  <si>
    <t>21T4-2</t>
  </si>
  <si>
    <t>2-1-H01 RADIANT PASS 1</t>
  </si>
  <si>
    <t>21TI060.PV</t>
  </si>
  <si>
    <t>21T4-3</t>
  </si>
  <si>
    <t>2-1-H01 RADIANT PASS 3</t>
  </si>
  <si>
    <t>21TI061.PV</t>
  </si>
  <si>
    <t>21T4-4</t>
  </si>
  <si>
    <t>2-1-H01 RADIANT PASS 4</t>
  </si>
  <si>
    <t>21TI063.PV</t>
  </si>
  <si>
    <t>21T4-5</t>
  </si>
  <si>
    <t>2-1-H01 RADIANT PASS 2</t>
  </si>
  <si>
    <t>21TI064.PV</t>
  </si>
  <si>
    <t>21TI161</t>
  </si>
  <si>
    <t>CB3 OUTSIDE AMBIENT TEMPERATURE</t>
  </si>
  <si>
    <t>21TI161.PV</t>
  </si>
  <si>
    <t>21TI163</t>
  </si>
  <si>
    <t>PLT #2 FLARE HEADER TEMPERATURE</t>
  </si>
  <si>
    <t>21TI163.PV</t>
  </si>
  <si>
    <t>21TM055</t>
  </si>
  <si>
    <t>21TI055.PV</t>
  </si>
  <si>
    <t>21TM1036</t>
  </si>
  <si>
    <t>21MT1036.MV</t>
  </si>
  <si>
    <t>21TM109</t>
  </si>
  <si>
    <t>21TI109.PV</t>
  </si>
  <si>
    <t>21TM110</t>
  </si>
  <si>
    <t>21TI110.PV</t>
  </si>
  <si>
    <t>21TM112</t>
  </si>
  <si>
    <t>21MT112.MV</t>
  </si>
  <si>
    <t>21TM113</t>
  </si>
  <si>
    <t>21MT113.MV</t>
  </si>
  <si>
    <t>21TM114</t>
  </si>
  <si>
    <t>21MT114.MV</t>
  </si>
  <si>
    <t>21TM116</t>
  </si>
  <si>
    <t>21TM136</t>
  </si>
  <si>
    <t>21MT136.MV</t>
  </si>
  <si>
    <t>21TM137</t>
  </si>
  <si>
    <t>21MT137.MV</t>
  </si>
  <si>
    <t>21TM138</t>
  </si>
  <si>
    <t>21MT138.MV</t>
  </si>
  <si>
    <t>21TM146</t>
  </si>
  <si>
    <t>21MT146.MV</t>
  </si>
  <si>
    <t>21UA01</t>
  </si>
  <si>
    <t>21E001.UA</t>
  </si>
  <si>
    <t>21UA02</t>
  </si>
  <si>
    <t>21E002.UA</t>
  </si>
  <si>
    <t>21UA03</t>
  </si>
  <si>
    <t>21E003.UA</t>
  </si>
  <si>
    <t>21UA04</t>
  </si>
  <si>
    <t>21E004.UA</t>
  </si>
  <si>
    <t>21UA05</t>
  </si>
  <si>
    <t>21E005.UA</t>
  </si>
  <si>
    <t>21UA06</t>
  </si>
  <si>
    <t>21E006.UA</t>
  </si>
  <si>
    <t>21UA07</t>
  </si>
  <si>
    <t>21E007.UA</t>
  </si>
  <si>
    <t>21UA08</t>
  </si>
  <si>
    <t>21E008.UA</t>
  </si>
  <si>
    <t>21UA09</t>
  </si>
  <si>
    <t>21E009.UA</t>
  </si>
  <si>
    <t>21UC01</t>
  </si>
  <si>
    <t>21E001.U</t>
  </si>
  <si>
    <t>21UC02</t>
  </si>
  <si>
    <t>21E002.U</t>
  </si>
  <si>
    <t>21UC03</t>
  </si>
  <si>
    <t>21E003.U</t>
  </si>
  <si>
    <t>21UC04</t>
  </si>
  <si>
    <t>21E004.U</t>
  </si>
  <si>
    <t>21UC05</t>
  </si>
  <si>
    <t>21E005.U</t>
  </si>
  <si>
    <t>21UC06</t>
  </si>
  <si>
    <t>21E006.U</t>
  </si>
  <si>
    <t>21UC07</t>
  </si>
  <si>
    <t>21E007.U</t>
  </si>
  <si>
    <t>21UC08</t>
  </si>
  <si>
    <t>21E008.U</t>
  </si>
  <si>
    <t>21UC09</t>
  </si>
  <si>
    <t>21E009.U</t>
  </si>
  <si>
    <t>21V71I</t>
  </si>
  <si>
    <t>21GASINV007PN1.C1</t>
  </si>
  <si>
    <t>21GASINV007PN1.C2</t>
  </si>
  <si>
    <t>21GASINV007PN1.C3</t>
  </si>
  <si>
    <t>21GASINV007PN1.C3A</t>
  </si>
  <si>
    <t>21GASINV007PN1.C4A</t>
  </si>
  <si>
    <t>21GASINV007PN1.C5A</t>
  </si>
  <si>
    <t>21GASINV007PN1.C6B</t>
  </si>
  <si>
    <t>21GASINV007PN1.CO</t>
  </si>
  <si>
    <t>21GASINV007PN1.CO2</t>
  </si>
  <si>
    <t>21GASINV007PN1.H2</t>
  </si>
  <si>
    <t>21GASINV007PN1.H2S+B368</t>
  </si>
  <si>
    <t>21GASINV007PN1.IC4</t>
  </si>
  <si>
    <t>21GASINV007PN1.IC5</t>
  </si>
  <si>
    <t>21GASINV007PN1.N2</t>
  </si>
  <si>
    <t>21GASINV007PN1.NC4</t>
  </si>
  <si>
    <t>21GASINV007PN1.NC5</t>
  </si>
  <si>
    <t>21GASINV007PN1.O2</t>
  </si>
  <si>
    <t>21V72I</t>
  </si>
  <si>
    <t>21GASINV007PN2.C1</t>
  </si>
  <si>
    <t>21GASINV007PN2.C2</t>
  </si>
  <si>
    <t>21GASINV007PN2.C3</t>
  </si>
  <si>
    <t>21GASINV007PN2.C3A</t>
  </si>
  <si>
    <t>21GASINV007PN2.C4A</t>
  </si>
  <si>
    <t>21GASINV007PN2.C5A</t>
  </si>
  <si>
    <t>21GASINV007PN2.C6B</t>
  </si>
  <si>
    <t>21GASINV007PN2.CO</t>
  </si>
  <si>
    <t>21GASINV007PN2.CO2</t>
  </si>
  <si>
    <t>21GASINV007PN2.H2</t>
  </si>
  <si>
    <t>21GASINV007PN2.H2S</t>
  </si>
  <si>
    <t>21GASINV007PN2.IC4</t>
  </si>
  <si>
    <t>21GASINV007PN2.IC5</t>
  </si>
  <si>
    <t>21GASINV007PN2.N2</t>
  </si>
  <si>
    <t>21GASINV007PN2.NC4</t>
  </si>
  <si>
    <t>21GASINV007PN2.NC5</t>
  </si>
  <si>
    <t>21GASINV007PN2.O2</t>
  </si>
  <si>
    <t>22$ADE</t>
  </si>
  <si>
    <t>P2ADE.CNBEN</t>
  </si>
  <si>
    <t>22$C01</t>
  </si>
  <si>
    <t>22CCD001.CV</t>
  </si>
  <si>
    <t>22$C02</t>
  </si>
  <si>
    <t>22CCD002.CV</t>
  </si>
  <si>
    <t>22$NSP</t>
  </si>
  <si>
    <t>P2NSP.CNBEN</t>
  </si>
  <si>
    <t>22$PRT</t>
  </si>
  <si>
    <t>P2PRT.CNBEN</t>
  </si>
  <si>
    <t>22A010A</t>
  </si>
  <si>
    <t>ANALYZR 22AN010A</t>
  </si>
  <si>
    <t>22AI010_1A.PV</t>
  </si>
  <si>
    <t>22A010B</t>
  </si>
  <si>
    <t>ANALYZR 22A010B</t>
  </si>
  <si>
    <t>22AI010_2A.PV</t>
  </si>
  <si>
    <t>22A060A</t>
  </si>
  <si>
    <t>ANALYZR 22AN060A EAST</t>
  </si>
  <si>
    <t>22AI060_1A.PV</t>
  </si>
  <si>
    <t>22A060B</t>
  </si>
  <si>
    <t>ANALYZR 22AN060B  WEST</t>
  </si>
  <si>
    <t>22AI060_2A.PV</t>
  </si>
  <si>
    <t>22AC060A</t>
  </si>
  <si>
    <t>22CA060A.CV</t>
  </si>
  <si>
    <t>22AC060B</t>
  </si>
  <si>
    <t>22CA060B.CV</t>
  </si>
  <si>
    <t>22CA010A</t>
  </si>
  <si>
    <t>22CA010A.CV</t>
  </si>
  <si>
    <t>22CA010B</t>
  </si>
  <si>
    <t>22CA010B.CV</t>
  </si>
  <si>
    <t>22CQ100</t>
  </si>
  <si>
    <t>WATCH   DOG     TIMER   220100</t>
  </si>
  <si>
    <t>22CQ100.OP</t>
  </si>
  <si>
    <t>22CQ200</t>
  </si>
  <si>
    <t>WATCH   DOG     TIMER   220200</t>
  </si>
  <si>
    <t>22CQ200.OP</t>
  </si>
  <si>
    <t>22DEOH</t>
  </si>
  <si>
    <t>22FUGOHDTTW.C1</t>
  </si>
  <si>
    <t>22FUGOHDTTW.C2</t>
  </si>
  <si>
    <t>22FUGOHDTTW.C3</t>
  </si>
  <si>
    <t>22FUGOHDTTW.C3A</t>
  </si>
  <si>
    <t>22FUGOHDTTW.C4A</t>
  </si>
  <si>
    <t>22FUGOHDTTW.C5A</t>
  </si>
  <si>
    <t>22FUGOHDTTW.C6B</t>
  </si>
  <si>
    <t>22FUGOHDTTW.CO</t>
  </si>
  <si>
    <t>22FUGOHDTTW.CO2</t>
  </si>
  <si>
    <t>22FUGOHDTTW.H2</t>
  </si>
  <si>
    <t>22FUGOHDTTW.IC4</t>
  </si>
  <si>
    <t>22FUGOHDTTW.IC5</t>
  </si>
  <si>
    <t>22FUGOHDTTW.N2</t>
  </si>
  <si>
    <t>22FUGOHDTTW.NC4</t>
  </si>
  <si>
    <t>22FUGOHDTTW.NC5</t>
  </si>
  <si>
    <t>22FUGOHDTTW.O2</t>
  </si>
  <si>
    <t>22DM03</t>
  </si>
  <si>
    <t>22MD003.MV</t>
  </si>
  <si>
    <t>22F007</t>
  </si>
  <si>
    <t>MAKE-UP GAS FROM REF. 1   X 1000</t>
  </si>
  <si>
    <t>22FC007.PV</t>
  </si>
  <si>
    <t>22F008</t>
  </si>
  <si>
    <t>BOOSTER COMPR.  RECYCLE   X 1000</t>
  </si>
  <si>
    <t>22FI008.PV</t>
  </si>
  <si>
    <t>22F009</t>
  </si>
  <si>
    <t>H2 TO   BOOSTER COMPR.    X 1000</t>
  </si>
  <si>
    <t>22FI009.PV</t>
  </si>
  <si>
    <t>22F010</t>
  </si>
  <si>
    <t>CHARGE  DRUM TO FLARE      X1000</t>
  </si>
  <si>
    <t>22FI010.PV</t>
  </si>
  <si>
    <t>22F011</t>
  </si>
  <si>
    <t>PRETRETR CHARGE</t>
  </si>
  <si>
    <t>22FC011.PV</t>
  </si>
  <si>
    <t>22F012</t>
  </si>
  <si>
    <t>S.R.D.P. HVY.NAP FROM   PLT#1</t>
  </si>
  <si>
    <t>22FI012.PV</t>
  </si>
  <si>
    <t>22F013</t>
  </si>
  <si>
    <t>T-01 O/H RECYCLE TO FEED   X1000</t>
  </si>
  <si>
    <t>22FC013A.PV</t>
  </si>
  <si>
    <t>22F014</t>
  </si>
  <si>
    <t>CHG. TO 2-2-H01 1 PASS     X1000</t>
  </si>
  <si>
    <t>22FI014.PV</t>
  </si>
  <si>
    <t>22F015</t>
  </si>
  <si>
    <t>CHG. TO 2-2-H01 2 PASS     X1000</t>
  </si>
  <si>
    <t>22FI015.PV</t>
  </si>
  <si>
    <t>22F016</t>
  </si>
  <si>
    <t>CHG. TO 2-2-H01 3 PASS     X1000</t>
  </si>
  <si>
    <t>22FI016.PV</t>
  </si>
  <si>
    <t>22F018</t>
  </si>
  <si>
    <t>CHG. TO 2-2-H01 5 PASS     X1000</t>
  </si>
  <si>
    <t>22FI018.PV</t>
  </si>
  <si>
    <t>22F019</t>
  </si>
  <si>
    <t>CHG. TO 2-2-H01 6 PASS     X1000</t>
  </si>
  <si>
    <t>22FI019.PV</t>
  </si>
  <si>
    <t>22F020</t>
  </si>
  <si>
    <t>DEETHAN. FEED</t>
  </si>
  <si>
    <t>22FC020.PV</t>
  </si>
  <si>
    <t>22F021</t>
  </si>
  <si>
    <t>SEPAR.   BTTMS  RECYCLE TO FEED</t>
  </si>
  <si>
    <t>22FC021.PV</t>
  </si>
  <si>
    <t>22F022</t>
  </si>
  <si>
    <t>DEETHNZR OFF GAS        X1000</t>
  </si>
  <si>
    <t>22FI022.PV</t>
  </si>
  <si>
    <t>22F023</t>
  </si>
  <si>
    <t>NAPHTHA SPLITTER CHARGE</t>
  </si>
  <si>
    <t>22FC023.PV</t>
  </si>
  <si>
    <t>22F024</t>
  </si>
  <si>
    <t>2-2-H02 W. SIDE FUEL GAS   X1000</t>
  </si>
  <si>
    <t>22FI024.PV</t>
  </si>
  <si>
    <t>22F025</t>
  </si>
  <si>
    <t>2-2-H-2 E. SIDE FUEL GAS   X1000</t>
  </si>
  <si>
    <t>22FI025.PV</t>
  </si>
  <si>
    <t>22F026</t>
  </si>
  <si>
    <t>T-01    BTTM TO REBOIL. 1ST COIL</t>
  </si>
  <si>
    <t>22FC026.PV</t>
  </si>
  <si>
    <t>22F027</t>
  </si>
  <si>
    <t>T-01    BTTM TO REBOIL. 2ND COIL</t>
  </si>
  <si>
    <t>22FC027.PV</t>
  </si>
  <si>
    <t>22F028</t>
  </si>
  <si>
    <t>T-01    BTTM TO REBOIL. 3RD COIL</t>
  </si>
  <si>
    <t>22FC028.PV</t>
  </si>
  <si>
    <t>22F029</t>
  </si>
  <si>
    <t>T-01    BTTM TO REBOIL. 4TH COIL</t>
  </si>
  <si>
    <t>22FC029.PV</t>
  </si>
  <si>
    <t>22F030</t>
  </si>
  <si>
    <t>T-02    REFLUX</t>
  </si>
  <si>
    <t>22FC030.PV</t>
  </si>
  <si>
    <t>22F031</t>
  </si>
  <si>
    <t>2-2-H03         FUEL GAS   X1000</t>
  </si>
  <si>
    <t>22FI031.PV</t>
  </si>
  <si>
    <t>22F032</t>
  </si>
  <si>
    <t>PASS ONE CHARGE TO      2-2-H03</t>
  </si>
  <si>
    <t>22FC032.PV</t>
  </si>
  <si>
    <t>22F033</t>
  </si>
  <si>
    <t>PASS TWO CHARGE TO      2-2-H03</t>
  </si>
  <si>
    <t>22FC033.PV</t>
  </si>
  <si>
    <t>22F034</t>
  </si>
  <si>
    <t>PASS    THREE   CHG TO  2-2-H03</t>
  </si>
  <si>
    <t>22FC034.PV</t>
  </si>
  <si>
    <t>22F035</t>
  </si>
  <si>
    <t>PASS    FOUR    CHG TO  2-2-H03</t>
  </si>
  <si>
    <t>22FC035.PV</t>
  </si>
  <si>
    <t>22F036</t>
  </si>
  <si>
    <t>T-02 O/H AC. OFF GAS:FLARE</t>
  </si>
  <si>
    <t>22FI036.PV</t>
  </si>
  <si>
    <t>22F037</t>
  </si>
  <si>
    <t>NAP.    SPLITTER OVHD   PRODUCT</t>
  </si>
  <si>
    <t>22FC037.PV</t>
  </si>
  <si>
    <t>22F038</t>
  </si>
  <si>
    <t>NAPHTHA TO NO.1 REFORMER</t>
  </si>
  <si>
    <t>22FC038.PV</t>
  </si>
  <si>
    <t>22F039</t>
  </si>
  <si>
    <t>REF. #2 CHARGE</t>
  </si>
  <si>
    <t>22FC039.PV</t>
  </si>
  <si>
    <t>22F040</t>
  </si>
  <si>
    <t>L.V.N.  BASESTOCK &amp; TK20</t>
  </si>
  <si>
    <t>22FC040.PV</t>
  </si>
  <si>
    <t>22F046</t>
  </si>
  <si>
    <t>2-2-H01         FUEL GAS   X1000</t>
  </si>
  <si>
    <t>22FI046.PV</t>
  </si>
  <si>
    <t>22F047</t>
  </si>
  <si>
    <t>H2 FROM SEPR.TO FUEL GAS   X1000</t>
  </si>
  <si>
    <t>22FI047.PV</t>
  </si>
  <si>
    <t>22F052</t>
  </si>
  <si>
    <t>NAPTHA  SPLTR   BTMS TO GAS STG</t>
  </si>
  <si>
    <t>22FI052.PV</t>
  </si>
  <si>
    <t>22F057</t>
  </si>
  <si>
    <t>NAPTHA  SPLTR   BTMS TO 2-2-V18</t>
  </si>
  <si>
    <t>22FC057.PV</t>
  </si>
  <si>
    <t>22F060</t>
  </si>
  <si>
    <t>START UP LT END TO HYDROCRACKER</t>
  </si>
  <si>
    <t>22FC060.PV</t>
  </si>
  <si>
    <t>22F060B</t>
  </si>
  <si>
    <t>22CF060B.CV</t>
  </si>
  <si>
    <t>22F082</t>
  </si>
  <si>
    <t>HYC     NAPHTHA TO      2-3-E20</t>
  </si>
  <si>
    <t>22FC082.PV</t>
  </si>
  <si>
    <t>22F083</t>
  </si>
  <si>
    <t>HFO TO 22H03</t>
  </si>
  <si>
    <t>22FI083.PV</t>
  </si>
  <si>
    <t>22F084</t>
  </si>
  <si>
    <t>HFO TO 22H02 EAST</t>
  </si>
  <si>
    <t>22FI084.PV</t>
  </si>
  <si>
    <t>22F085</t>
  </si>
  <si>
    <t>HFO TO 22H02 WEST</t>
  </si>
  <si>
    <t>22FI085.PV</t>
  </si>
  <si>
    <t>22FC01</t>
  </si>
  <si>
    <t>22CF001.CV</t>
  </si>
  <si>
    <t>22FC02</t>
  </si>
  <si>
    <t>22CF002.CV</t>
  </si>
  <si>
    <t>22FC024</t>
  </si>
  <si>
    <t>22CF024.CV</t>
  </si>
  <si>
    <t>22FC025</t>
  </si>
  <si>
    <t>22CF025.CV</t>
  </si>
  <si>
    <t>22FC026</t>
  </si>
  <si>
    <t>22CF026.CV</t>
  </si>
  <si>
    <t>22FC03</t>
  </si>
  <si>
    <t>22CF003.CV</t>
  </si>
  <si>
    <t>22FC031</t>
  </si>
  <si>
    <t>22CF031.CV</t>
  </si>
  <si>
    <t>22FC04</t>
  </si>
  <si>
    <t>22CF004.CV</t>
  </si>
  <si>
    <t>22FC046</t>
  </si>
  <si>
    <t>22CF046.CV</t>
  </si>
  <si>
    <t>22FC06</t>
  </si>
  <si>
    <t>22CF006.CV</t>
  </si>
  <si>
    <t>22FC07</t>
  </si>
  <si>
    <t>22CF007.CV</t>
  </si>
  <si>
    <t>22FC08</t>
  </si>
  <si>
    <t>22CF008.CV</t>
  </si>
  <si>
    <t>22FC09</t>
  </si>
  <si>
    <t>22CF009.CV</t>
  </si>
  <si>
    <t>22FC10</t>
  </si>
  <si>
    <t>22CF010.CV</t>
  </si>
  <si>
    <t>22FC11</t>
  </si>
  <si>
    <t>22CF011.CV</t>
  </si>
  <si>
    <t>22FC12</t>
  </si>
  <si>
    <t>22CF012.CV</t>
  </si>
  <si>
    <t>22FC13</t>
  </si>
  <si>
    <t>22CF013.CV</t>
  </si>
  <si>
    <t>22FC14</t>
  </si>
  <si>
    <t>22CF014.CV</t>
  </si>
  <si>
    <t>22FC15</t>
  </si>
  <si>
    <t>22CF015.CV</t>
  </si>
  <si>
    <t>22FC16</t>
  </si>
  <si>
    <t>22CF016.CV</t>
  </si>
  <si>
    <t>22FC17</t>
  </si>
  <si>
    <t>22CF017.CV</t>
  </si>
  <si>
    <t>22FC18</t>
  </si>
  <si>
    <t>22CF018.CV</t>
  </si>
  <si>
    <t>22FC19</t>
  </si>
  <si>
    <t>22CF019.CV</t>
  </si>
  <si>
    <t>22FC20</t>
  </si>
  <si>
    <t>22CF020.CV</t>
  </si>
  <si>
    <t>22FC21</t>
  </si>
  <si>
    <t>22CF021.CV</t>
  </si>
  <si>
    <t>22FC22</t>
  </si>
  <si>
    <t>22CF022.CV</t>
  </si>
  <si>
    <t>22FC23</t>
  </si>
  <si>
    <t>22CF023.CV</t>
  </si>
  <si>
    <t>22FC24</t>
  </si>
  <si>
    <t>22CF240.CV</t>
  </si>
  <si>
    <t>22FC25</t>
  </si>
  <si>
    <t>22CF250.CV</t>
  </si>
  <si>
    <t>22FGAS</t>
  </si>
  <si>
    <t>22FUGINH002.C1</t>
  </si>
  <si>
    <t>22FUGINH002.C2</t>
  </si>
  <si>
    <t>22FUGINH002.C3</t>
  </si>
  <si>
    <t>22FUGINH002.C3A</t>
  </si>
  <si>
    <t>22FUGINH002.C4A</t>
  </si>
  <si>
    <t>22FUGINH002.C5A</t>
  </si>
  <si>
    <t>22FUGINH002.C6B</t>
  </si>
  <si>
    <t>22FUGINH002.CO</t>
  </si>
  <si>
    <t>22FUGINH002.CO2</t>
  </si>
  <si>
    <t>22FUGINH002.H2</t>
  </si>
  <si>
    <t>22FUGINH002.IC4</t>
  </si>
  <si>
    <t>22FUGINH002.IC5</t>
  </si>
  <si>
    <t>22FUGINH002.N2</t>
  </si>
  <si>
    <t>22FUGINH002.NC4</t>
  </si>
  <si>
    <t>22FUGINH002.NC5</t>
  </si>
  <si>
    <t>22FUGINH002.O2</t>
  </si>
  <si>
    <t>22FM001</t>
  </si>
  <si>
    <t>22MF001.MV</t>
  </si>
  <si>
    <t>22FM056</t>
  </si>
  <si>
    <t>22MF056.MV</t>
  </si>
  <si>
    <t>22H030</t>
  </si>
  <si>
    <t>HC22030.PV</t>
  </si>
  <si>
    <t>22HC001</t>
  </si>
  <si>
    <t>22CH001.CV</t>
  </si>
  <si>
    <t>22HC002</t>
  </si>
  <si>
    <t>22CH002.CV</t>
  </si>
  <si>
    <t>22HC003</t>
  </si>
  <si>
    <t>22CH003.CV</t>
  </si>
  <si>
    <t>22P001</t>
  </si>
  <si>
    <t>BOOSTER COMPRESS DISCHG</t>
  </si>
  <si>
    <t>22PI001.PV</t>
  </si>
  <si>
    <t>22P003</t>
  </si>
  <si>
    <t>PRETREAT REACTOR INLET</t>
  </si>
  <si>
    <t>22PI003.PV</t>
  </si>
  <si>
    <t>22P004</t>
  </si>
  <si>
    <t>PRETREAT REACTOR OUTLET</t>
  </si>
  <si>
    <t>22PI004.PV</t>
  </si>
  <si>
    <t>22P005</t>
  </si>
  <si>
    <t>FUEL    GAS TO  2-2-H01</t>
  </si>
  <si>
    <t>22PC005.PV</t>
  </si>
  <si>
    <t>22P007</t>
  </si>
  <si>
    <t>DEETHAN-IZER    OV'HD   PRESSURE</t>
  </si>
  <si>
    <t>22PC007.PV</t>
  </si>
  <si>
    <t>22P008</t>
  </si>
  <si>
    <t>FUEL    GAS TO  2-2-H02 WEST</t>
  </si>
  <si>
    <t>22PC008.PV</t>
  </si>
  <si>
    <t>22P009</t>
  </si>
  <si>
    <t>FUEL    GAS TO  2-2-H02 EAST</t>
  </si>
  <si>
    <t>22PC009.PV</t>
  </si>
  <si>
    <t>22P010</t>
  </si>
  <si>
    <t>FUEL    GAS TO  2-2-H03</t>
  </si>
  <si>
    <t>22PC010.PV</t>
  </si>
  <si>
    <t>22P011</t>
  </si>
  <si>
    <t>SPLITTER T-02   OVHD    PRESSURE</t>
  </si>
  <si>
    <t>22PC011.PV</t>
  </si>
  <si>
    <t>22P079</t>
  </si>
  <si>
    <t>H.F.O. TO 22H03</t>
  </si>
  <si>
    <t>22PC079.PV</t>
  </si>
  <si>
    <t>22P083</t>
  </si>
  <si>
    <t>H.F.O. 22H02 EAST</t>
  </si>
  <si>
    <t>22PC083.PV</t>
  </si>
  <si>
    <t>22P089</t>
  </si>
  <si>
    <t>H.F.O. 22H02 WEST</t>
  </si>
  <si>
    <t>22PC089.PV</t>
  </si>
  <si>
    <t>22PC007</t>
  </si>
  <si>
    <t>22CP007.CV</t>
  </si>
  <si>
    <t>22PC01</t>
  </si>
  <si>
    <t>22CP001.CV</t>
  </si>
  <si>
    <t>22PC011</t>
  </si>
  <si>
    <t>22CP011.CV</t>
  </si>
  <si>
    <t>22PD014</t>
  </si>
  <si>
    <t>2-2-T01 TRAYS 10 TO 36  PRESSURE</t>
  </si>
  <si>
    <t>22PDI014.PV</t>
  </si>
  <si>
    <t>22PD015</t>
  </si>
  <si>
    <t>2-2-T01  TRAYS 1 TO 10  PRESSURE</t>
  </si>
  <si>
    <t>22PDI015.PV</t>
  </si>
  <si>
    <t>22PDC081</t>
  </si>
  <si>
    <t>STM FUEL OIL DP TO 22H03</t>
  </si>
  <si>
    <t>22PDC081.PV</t>
  </si>
  <si>
    <t>22PDC086</t>
  </si>
  <si>
    <t>STM FUEL OIL DP TO 22H02 W</t>
  </si>
  <si>
    <t>22PDC086.PV</t>
  </si>
  <si>
    <t>22PDC088</t>
  </si>
  <si>
    <t>STM FUEL OIL DP TO 22H02 E</t>
  </si>
  <si>
    <t>22PDC088.PV</t>
  </si>
  <si>
    <t>22PI063</t>
  </si>
  <si>
    <t>2-2-V19 INLET PRESSURE</t>
  </si>
  <si>
    <t>22PI063.PV</t>
  </si>
  <si>
    <t>22PI064</t>
  </si>
  <si>
    <t>2-2-V19 OUTLET PRESSURE</t>
  </si>
  <si>
    <t>22PI064.PV</t>
  </si>
  <si>
    <t>22RC07</t>
  </si>
  <si>
    <t>22CR007.CV</t>
  </si>
  <si>
    <t>22RC08</t>
  </si>
  <si>
    <t>22CR008.CV</t>
  </si>
  <si>
    <t>22RC09</t>
  </si>
  <si>
    <t>22CR009.CV</t>
  </si>
  <si>
    <t>22RC10</t>
  </si>
  <si>
    <t>22CR010.CV</t>
  </si>
  <si>
    <t>22SC001</t>
  </si>
  <si>
    <t>22CS001.CV</t>
  </si>
  <si>
    <t>22SC002</t>
  </si>
  <si>
    <t>22CS002.CV</t>
  </si>
  <si>
    <t>22SPBM</t>
  </si>
  <si>
    <t>22NAPBMT002.DEN15</t>
  </si>
  <si>
    <t>22SPSS</t>
  </si>
  <si>
    <t>22NAPSDT002.DEN15</t>
  </si>
  <si>
    <t>22T251</t>
  </si>
  <si>
    <t>2-2-E10 PRODUCT IN</t>
  </si>
  <si>
    <t>22TI029.PV</t>
  </si>
  <si>
    <t>22T252</t>
  </si>
  <si>
    <t>2-2-E10 PRODUCT OUT</t>
  </si>
  <si>
    <t>22TI030.PV</t>
  </si>
  <si>
    <t>22T254</t>
  </si>
  <si>
    <t>2-2-E07 PRODUCT OUT</t>
  </si>
  <si>
    <t>22TI032.PV</t>
  </si>
  <si>
    <t>22T255</t>
  </si>
  <si>
    <t>2-2-E07 WATER   OUT</t>
  </si>
  <si>
    <t>22TI033.PV</t>
  </si>
  <si>
    <t>22T256</t>
  </si>
  <si>
    <t>2-2-E01 FEED IN</t>
  </si>
  <si>
    <t>22TI034.PV</t>
  </si>
  <si>
    <t>22T267</t>
  </si>
  <si>
    <t>2-2-E01C EFFLUNT OUT</t>
  </si>
  <si>
    <t>22TI045.PV</t>
  </si>
  <si>
    <t>22T269</t>
  </si>
  <si>
    <t>2-2-E01A EFFLUNT OUT</t>
  </si>
  <si>
    <t>22TI047.PV</t>
  </si>
  <si>
    <t>22T272</t>
  </si>
  <si>
    <t>2-2-R01 BED TEMP</t>
  </si>
  <si>
    <t>22TI050.PV</t>
  </si>
  <si>
    <t>22T273</t>
  </si>
  <si>
    <t>22TI051.PV</t>
  </si>
  <si>
    <t>22T274</t>
  </si>
  <si>
    <t>22TI052.PV</t>
  </si>
  <si>
    <t>22T275</t>
  </si>
  <si>
    <t>22TI053.PV</t>
  </si>
  <si>
    <t>22T276</t>
  </si>
  <si>
    <t>22TI054.PV</t>
  </si>
  <si>
    <t>22T277</t>
  </si>
  <si>
    <t>22TI055.PV</t>
  </si>
  <si>
    <t>22T278</t>
  </si>
  <si>
    <t>22TI056.PV</t>
  </si>
  <si>
    <t>22T279</t>
  </si>
  <si>
    <t>22TI057.PV</t>
  </si>
  <si>
    <t>22T280</t>
  </si>
  <si>
    <t>22TI058.PV</t>
  </si>
  <si>
    <t>22T281</t>
  </si>
  <si>
    <t>22TI059.PV</t>
  </si>
  <si>
    <t>22T282</t>
  </si>
  <si>
    <t>22TI060.PV</t>
  </si>
  <si>
    <t>22T283</t>
  </si>
  <si>
    <t>22TI061.PV</t>
  </si>
  <si>
    <t>22T284</t>
  </si>
  <si>
    <t>22TI062.PV</t>
  </si>
  <si>
    <t>22T285</t>
  </si>
  <si>
    <t>22TI063.PV</t>
  </si>
  <si>
    <t>22T286</t>
  </si>
  <si>
    <t>22TI064.PV</t>
  </si>
  <si>
    <t>22T287</t>
  </si>
  <si>
    <t>22TI065.PV</t>
  </si>
  <si>
    <t>22T288</t>
  </si>
  <si>
    <t>22TI066.PV</t>
  </si>
  <si>
    <t>22T289</t>
  </si>
  <si>
    <t>22TI067.PV</t>
  </si>
  <si>
    <t>22T290</t>
  </si>
  <si>
    <t>22TI068.PV</t>
  </si>
  <si>
    <t>22T291</t>
  </si>
  <si>
    <t>22TI069.PV</t>
  </si>
  <si>
    <t>22T292</t>
  </si>
  <si>
    <t>22TI070.PV</t>
  </si>
  <si>
    <t>22T293</t>
  </si>
  <si>
    <t>22TI071.PV</t>
  </si>
  <si>
    <t>22T294</t>
  </si>
  <si>
    <t>FEED TO 2-2-R01</t>
  </si>
  <si>
    <t>22TI072.PV</t>
  </si>
  <si>
    <t>22T295</t>
  </si>
  <si>
    <t>2-2-H01 STACK</t>
  </si>
  <si>
    <t>22TI073.PV</t>
  </si>
  <si>
    <t>22T296</t>
  </si>
  <si>
    <t>2-2-H01 1ST     CONVCT. PASS OUT</t>
  </si>
  <si>
    <t>22TI074.PV</t>
  </si>
  <si>
    <t>22T297</t>
  </si>
  <si>
    <t>2-2-H01 2ND     CONVCT. PASS OUT</t>
  </si>
  <si>
    <t>22TI075.PV</t>
  </si>
  <si>
    <t>22T298</t>
  </si>
  <si>
    <t>2-2-H01 3RD     CONVCT. PASS OUT</t>
  </si>
  <si>
    <t>22TI076.PV</t>
  </si>
  <si>
    <t>22T299</t>
  </si>
  <si>
    <t>2-2-H01 4TH     CONVCT. PASS OUT</t>
  </si>
  <si>
    <t>22TI077.PV</t>
  </si>
  <si>
    <t>22T300</t>
  </si>
  <si>
    <t>2-2-H01 5TH     CONVCT. PASS OUT</t>
  </si>
  <si>
    <t>22TI078.PV</t>
  </si>
  <si>
    <t>22T301</t>
  </si>
  <si>
    <t>2-2-H01 6TH     CONVCT. PASS OUT</t>
  </si>
  <si>
    <t>22TI079.PV</t>
  </si>
  <si>
    <t>22T309</t>
  </si>
  <si>
    <t>DEETHAN. PROFILE</t>
  </si>
  <si>
    <t>22TI087.PV</t>
  </si>
  <si>
    <t>22T311</t>
  </si>
  <si>
    <t>22TI089.PV</t>
  </si>
  <si>
    <t>22T312</t>
  </si>
  <si>
    <t>2-2-H02 OUT RAD. 1+2    (TR22007</t>
  </si>
  <si>
    <t>22TI090.PV</t>
  </si>
  <si>
    <t>22T313</t>
  </si>
  <si>
    <t>DEETHAN. BOTTOMS</t>
  </si>
  <si>
    <t>22TI091.PV</t>
  </si>
  <si>
    <t>22T314</t>
  </si>
  <si>
    <t>2-2-H02 STACK</t>
  </si>
  <si>
    <t>22TI092.PV</t>
  </si>
  <si>
    <t>22T315</t>
  </si>
  <si>
    <t>2-2-H02 1ST     CONVCT. PASS OUT</t>
  </si>
  <si>
    <t>22TI093.PV</t>
  </si>
  <si>
    <t>22T317</t>
  </si>
  <si>
    <t>2-2-H02 3RD     CONVCT. PASS OUT</t>
  </si>
  <si>
    <t>22TI095.PV</t>
  </si>
  <si>
    <t>22T318</t>
  </si>
  <si>
    <t>2-2-H02 4TH     CONVCT. PASS OUT</t>
  </si>
  <si>
    <t>22TI096.PV</t>
  </si>
  <si>
    <t>22T319</t>
  </si>
  <si>
    <t>2-2-H02 2ND     CONVCT. PASS OUT</t>
  </si>
  <si>
    <t>22TI094.PV</t>
  </si>
  <si>
    <t>22T320</t>
  </si>
  <si>
    <t>DEETHAN. 7 TRAY</t>
  </si>
  <si>
    <t>22TI088.PV</t>
  </si>
  <si>
    <t>22T323</t>
  </si>
  <si>
    <t>2-2-H02 CHARGE</t>
  </si>
  <si>
    <t>22TI101.PV</t>
  </si>
  <si>
    <t>22T324</t>
  </si>
  <si>
    <t>2-2-T02 O/H     TR22004</t>
  </si>
  <si>
    <t>22TI102.PV</t>
  </si>
  <si>
    <t>22T332</t>
  </si>
  <si>
    <t>2-2-H03 OUTLET  TR22005</t>
  </si>
  <si>
    <t>22TI110.PV</t>
  </si>
  <si>
    <t>22T333</t>
  </si>
  <si>
    <t>SPLITTER BTMS.</t>
  </si>
  <si>
    <t>22TI111.PV</t>
  </si>
  <si>
    <t>22T334</t>
  </si>
  <si>
    <t>2-2-H03 STACK</t>
  </si>
  <si>
    <t>22TI112.PV</t>
  </si>
  <si>
    <t>22T335</t>
  </si>
  <si>
    <t>2-2-H03 1ST     CONVCT. PASS OUT</t>
  </si>
  <si>
    <t>22TI113.PV</t>
  </si>
  <si>
    <t>22T336</t>
  </si>
  <si>
    <t>2-2-H03 2ND     CONVCT. PASS OUT</t>
  </si>
  <si>
    <t>22TI114.PV</t>
  </si>
  <si>
    <t>22T337</t>
  </si>
  <si>
    <t>2-2-H03 3RD     CONVCT. PASS OUT</t>
  </si>
  <si>
    <t>22TI115.PV</t>
  </si>
  <si>
    <t>22T338</t>
  </si>
  <si>
    <t>2-2-H03 4TH     CONVCT. PASS OUT</t>
  </si>
  <si>
    <t>22TI116.PV</t>
  </si>
  <si>
    <t>22T344</t>
  </si>
  <si>
    <t>2-2-E04 OUTLET  NAP.SPL.OVERHEAD</t>
  </si>
  <si>
    <t>22TI122.PV</t>
  </si>
  <si>
    <t>22T345</t>
  </si>
  <si>
    <t>2-2-E04 WATER   OUT</t>
  </si>
  <si>
    <t>22TI123.PV</t>
  </si>
  <si>
    <t>22T348</t>
  </si>
  <si>
    <t>2-2-E04C WATER  OUT</t>
  </si>
  <si>
    <t>22TI126.PV</t>
  </si>
  <si>
    <t>22T350</t>
  </si>
  <si>
    <t>NAP.SPL. BOTTOMS   TO   PLANT 1</t>
  </si>
  <si>
    <t>22TI128.PV</t>
  </si>
  <si>
    <t>22T352</t>
  </si>
  <si>
    <t>2-2-E06 LVN STR REBOILER INLET</t>
  </si>
  <si>
    <t>22TI130.PV</t>
  </si>
  <si>
    <t>22T355</t>
  </si>
  <si>
    <t>2-2-E05 PRODUCT IN</t>
  </si>
  <si>
    <t>22TI133.PV</t>
  </si>
  <si>
    <t>22T356</t>
  </si>
  <si>
    <t>2-2-E05 OUTLET  NAP.SPL.SIDESTRM</t>
  </si>
  <si>
    <t>22TI134.PV</t>
  </si>
  <si>
    <t>22T357</t>
  </si>
  <si>
    <t>2-2-E05 WATER   OUT</t>
  </si>
  <si>
    <t>22TI135.PV</t>
  </si>
  <si>
    <t>22T358</t>
  </si>
  <si>
    <t>2-2-E13 PRODUCT IN</t>
  </si>
  <si>
    <t>22TI136.PV</t>
  </si>
  <si>
    <t>22T359</t>
  </si>
  <si>
    <t>2-2-E13  OUT TO  PRETR. SEPARATR</t>
  </si>
  <si>
    <t>22TI137.PV</t>
  </si>
  <si>
    <t>22T363</t>
  </si>
  <si>
    <t>2-2-H02 OUTRAD. 3+4     TR22003</t>
  </si>
  <si>
    <t>22TI141.PV</t>
  </si>
  <si>
    <t>22T369</t>
  </si>
  <si>
    <t>2-2-C01A OIL    COOLER  H2O OUT</t>
  </si>
  <si>
    <t>22TI157.PV</t>
  </si>
  <si>
    <t>22T370</t>
  </si>
  <si>
    <t>2-2-C01B OIL    COOLER  H2O OUT</t>
  </si>
  <si>
    <t>22TI158.PV</t>
  </si>
  <si>
    <t>22T373</t>
  </si>
  <si>
    <t>DEETHAN-IZER    OVERHEAD</t>
  </si>
  <si>
    <t>22TI190.PV</t>
  </si>
  <si>
    <t>22T9-07</t>
  </si>
  <si>
    <t>2-2-H01 RADIANT 1 PASS  OUTLET</t>
  </si>
  <si>
    <t>22TI080.PV</t>
  </si>
  <si>
    <t>22T9-08</t>
  </si>
  <si>
    <t>2-2-H01 RADIANT 2 PASS  OUTLET</t>
  </si>
  <si>
    <t>22TI081.PV</t>
  </si>
  <si>
    <t>22T9-09</t>
  </si>
  <si>
    <t>2-2-H01 RADIANT 3 PASS  OUTLET</t>
  </si>
  <si>
    <t>22TI082.PV</t>
  </si>
  <si>
    <t>22T9-10</t>
  </si>
  <si>
    <t>2-2-H01 RADIANT 4 PASS  OUTLET</t>
  </si>
  <si>
    <t>22TI083.PV</t>
  </si>
  <si>
    <t>22T9-11</t>
  </si>
  <si>
    <t>2-2-H01 RADIANT 5 PASS  OUTLET</t>
  </si>
  <si>
    <t>22TI084.PV</t>
  </si>
  <si>
    <t>22T9-12</t>
  </si>
  <si>
    <t>2-2-H01 RADIANT 6 PASS  OUTLET</t>
  </si>
  <si>
    <t>22TI085.PV</t>
  </si>
  <si>
    <t>22T9-13</t>
  </si>
  <si>
    <t>22TI097.PV</t>
  </si>
  <si>
    <t>22T9-14</t>
  </si>
  <si>
    <t>2-2-H02 RADIANT 2 PASS  OUTLET</t>
  </si>
  <si>
    <t>22TI098.PV</t>
  </si>
  <si>
    <t>22T9-15</t>
  </si>
  <si>
    <t>22TI099.PV</t>
  </si>
  <si>
    <t>22T9-16</t>
  </si>
  <si>
    <t>2-2-H02 RADIANT 4 PASS  OUTLET</t>
  </si>
  <si>
    <t>22TI100.PV</t>
  </si>
  <si>
    <t>22T9-17</t>
  </si>
  <si>
    <t>2-2-H03 RADIANT 1 PASS  OUTLET</t>
  </si>
  <si>
    <t>22TI117.PV</t>
  </si>
  <si>
    <t>22T9-18</t>
  </si>
  <si>
    <t>2-2-H03 RADIANT 2 PASS  OUTLET</t>
  </si>
  <si>
    <t>22TI118.PV</t>
  </si>
  <si>
    <t>22T9-19</t>
  </si>
  <si>
    <t>2-2-H03 RADIANT 3 PASS  OUTLET</t>
  </si>
  <si>
    <t>22TI119.PV</t>
  </si>
  <si>
    <t>22T9-20</t>
  </si>
  <si>
    <t>2-2-H03 RADIANT 4 PASS  OUTLET</t>
  </si>
  <si>
    <t>22TI120.PV</t>
  </si>
  <si>
    <t>22TI044</t>
  </si>
  <si>
    <t>22E01D SHELL OUT TEMP</t>
  </si>
  <si>
    <t>22TI044.PV</t>
  </si>
  <si>
    <t>22TI243</t>
  </si>
  <si>
    <t>22TI243.PV</t>
  </si>
  <si>
    <t>22TI244</t>
  </si>
  <si>
    <t>22TI244.PV</t>
  </si>
  <si>
    <t>22TI247</t>
  </si>
  <si>
    <t>HEAVY HYD OUT 22V19</t>
  </si>
  <si>
    <t>22TI247.PV</t>
  </si>
  <si>
    <t>22UA05</t>
  </si>
  <si>
    <t>22E005.UA</t>
  </si>
  <si>
    <t>22UC05</t>
  </si>
  <si>
    <t>22E005.U</t>
  </si>
  <si>
    <t>22V02G</t>
  </si>
  <si>
    <t>22FUGPT.C1</t>
  </si>
  <si>
    <t>22FUGPT.C2</t>
  </si>
  <si>
    <t>22FUGPT.C3</t>
  </si>
  <si>
    <t>22FUGPT.C3A</t>
  </si>
  <si>
    <t>22FUGPT.C4A</t>
  </si>
  <si>
    <t>22FUGPT.C5A</t>
  </si>
  <si>
    <t>22FUGPT.C6B</t>
  </si>
  <si>
    <t>22FUGPT.CO</t>
  </si>
  <si>
    <t>22FUGPT.CO2</t>
  </si>
  <si>
    <t>22FUGPT.H2</t>
  </si>
  <si>
    <t>22FUGPT.IC4</t>
  </si>
  <si>
    <t>22FUGPT.IC5</t>
  </si>
  <si>
    <t>22FUGPT.N2</t>
  </si>
  <si>
    <t>22FUGPT.NC4</t>
  </si>
  <si>
    <t>22FUGPT.NC5</t>
  </si>
  <si>
    <t>22FUGPT.O2</t>
  </si>
  <si>
    <t>23$C01</t>
  </si>
  <si>
    <t>23CCD001.CV</t>
  </si>
  <si>
    <t>23$C02</t>
  </si>
  <si>
    <t>23CCD002.CV</t>
  </si>
  <si>
    <t>23$REF</t>
  </si>
  <si>
    <t>P2REF.CNBEN</t>
  </si>
  <si>
    <t>23A002</t>
  </si>
  <si>
    <t>REF. 2  OCTANE  ANALYZER</t>
  </si>
  <si>
    <t>23AI002.PV</t>
  </si>
  <si>
    <t>23A0101A</t>
  </si>
  <si>
    <t>2-3-H01 OXYGEN</t>
  </si>
  <si>
    <t>23AI010_1A.PV</t>
  </si>
  <si>
    <t>23A0101B</t>
  </si>
  <si>
    <t>2-3-H01 COMBUST-IBLES</t>
  </si>
  <si>
    <t>23AI010_1B.PV</t>
  </si>
  <si>
    <t>23A0102A</t>
  </si>
  <si>
    <t>2-3-H02 OXYGEN</t>
  </si>
  <si>
    <t>23AI010_2A.PV</t>
  </si>
  <si>
    <t>23A0102B</t>
  </si>
  <si>
    <t>2-3-H02 COMBUST-IBLES</t>
  </si>
  <si>
    <t>23AI010_2B.PV</t>
  </si>
  <si>
    <t>23A0103A</t>
  </si>
  <si>
    <t>2-3-H03 OXYGEN</t>
  </si>
  <si>
    <t>23AI010_3A.PV</t>
  </si>
  <si>
    <t>23A0103B</t>
  </si>
  <si>
    <t>2-3-H03 COMBUST-IBLES</t>
  </si>
  <si>
    <t>23AI010_3B.PV</t>
  </si>
  <si>
    <t>23A020</t>
  </si>
  <si>
    <t>H2O     CONTENT IN RECYC GAS</t>
  </si>
  <si>
    <t>23AI020.PV</t>
  </si>
  <si>
    <t>23A030</t>
  </si>
  <si>
    <t>H2S     CONTENT IN RECYC GAS</t>
  </si>
  <si>
    <t>23AI030.PV</t>
  </si>
  <si>
    <t>23A040</t>
  </si>
  <si>
    <t>23-VO3  HYDROGEN PURITY</t>
  </si>
  <si>
    <t>23AI040.OP</t>
  </si>
  <si>
    <t>23A060</t>
  </si>
  <si>
    <t>ANALYZR 23AN060</t>
  </si>
  <si>
    <t>23AI060.PV</t>
  </si>
  <si>
    <t>23AC010A</t>
  </si>
  <si>
    <t>23CA010A.CV</t>
  </si>
  <si>
    <t>23AC010B</t>
  </si>
  <si>
    <t>23CA010B.CV</t>
  </si>
  <si>
    <t>23AC010C</t>
  </si>
  <si>
    <t>23CA010C.CV</t>
  </si>
  <si>
    <t>23AC060</t>
  </si>
  <si>
    <t>23CA060.CV</t>
  </si>
  <si>
    <t>23AM01</t>
  </si>
  <si>
    <t>23MA001.MV</t>
  </si>
  <si>
    <t>23C1MG</t>
  </si>
  <si>
    <t>23GASMG.C1</t>
  </si>
  <si>
    <t>23GASMG.C2</t>
  </si>
  <si>
    <t>23GASMG.C3</t>
  </si>
  <si>
    <t>23GASMG.C3A</t>
  </si>
  <si>
    <t>23GASMG.C4A</t>
  </si>
  <si>
    <t>23GASMG.C5A</t>
  </si>
  <si>
    <t>23GASMG.C6B</t>
  </si>
  <si>
    <t>23GASMG.CO</t>
  </si>
  <si>
    <t>23GASMG.CO2</t>
  </si>
  <si>
    <t>23GASMG.H2</t>
  </si>
  <si>
    <t>23GASMG.IC4</t>
  </si>
  <si>
    <t>23GASMG.IC5</t>
  </si>
  <si>
    <t>23GASMG.N2</t>
  </si>
  <si>
    <t>23GASMG.NC4</t>
  </si>
  <si>
    <t>23GASMG.NC5</t>
  </si>
  <si>
    <t>23GASMG.O2</t>
  </si>
  <si>
    <t>23C1RG</t>
  </si>
  <si>
    <t>23GASRYR2.GRVGAS</t>
  </si>
  <si>
    <t>23GASRYRF2.C1</t>
  </si>
  <si>
    <t>23GASRYRF2.C2</t>
  </si>
  <si>
    <t>23GASRYRF2.C3</t>
  </si>
  <si>
    <t>23GASRYRF2.C3A</t>
  </si>
  <si>
    <t>23GASRYRF2.C4A</t>
  </si>
  <si>
    <t>23GASRYRF2.C5A</t>
  </si>
  <si>
    <t>23GASRYRF2.C6B</t>
  </si>
  <si>
    <t>23GASRYRF2.CO</t>
  </si>
  <si>
    <t>23GASRYRF2.CO2</t>
  </si>
  <si>
    <t>23GASRYRF2.H2</t>
  </si>
  <si>
    <t>23GASRYRF2.IC4</t>
  </si>
  <si>
    <t>23GASRYRF2.IC5</t>
  </si>
  <si>
    <t>23GASRYRF2.N2</t>
  </si>
  <si>
    <t>23GASRYRF2.NC4</t>
  </si>
  <si>
    <t>23GASRYRF2.NC5</t>
  </si>
  <si>
    <t>23GASRYRF2.O2</t>
  </si>
  <si>
    <t>23CQ100</t>
  </si>
  <si>
    <t>WATCH   DOG     TIMER   230100</t>
  </si>
  <si>
    <t>23CQ100.OP</t>
  </si>
  <si>
    <t>23CQ200</t>
  </si>
  <si>
    <t>WATCH   DOG     TIMER   230200</t>
  </si>
  <si>
    <t>23CQ200.OP</t>
  </si>
  <si>
    <t>23CV01</t>
  </si>
  <si>
    <t>23CV001.CV</t>
  </si>
  <si>
    <t>23F001</t>
  </si>
  <si>
    <t>STEAM   FROM    2-3-V05    X1000</t>
  </si>
  <si>
    <t>23FI001.PV</t>
  </si>
  <si>
    <t>23F002</t>
  </si>
  <si>
    <t>CIRCUL  WATER TO H01,   02,03,04</t>
  </si>
  <si>
    <t>23FI002.PV</t>
  </si>
  <si>
    <t>23F003A</t>
  </si>
  <si>
    <t>BLR FEED WATER  H-01,2,3   X1000</t>
  </si>
  <si>
    <t>23FC003A.PV</t>
  </si>
  <si>
    <t>23F004</t>
  </si>
  <si>
    <t>2-3-H01,H02,H03 FUEL GAS   X1000</t>
  </si>
  <si>
    <t>23FI004.PV</t>
  </si>
  <si>
    <t>23F009</t>
  </si>
  <si>
    <t>EFFLUENT FRM E03 TO T-01   X1000</t>
  </si>
  <si>
    <t>23FC009.PV</t>
  </si>
  <si>
    <t>23F010</t>
  </si>
  <si>
    <t>STABL.   REFLUX</t>
  </si>
  <si>
    <t>23FC010.PV</t>
  </si>
  <si>
    <t>23F011</t>
  </si>
  <si>
    <t>GAS FROM STAB.  O/H ACC.   X1000</t>
  </si>
  <si>
    <t>23FI011.PV</t>
  </si>
  <si>
    <t>23F012</t>
  </si>
  <si>
    <t>STAB.   DISTIL.  TO     2-2V02</t>
  </si>
  <si>
    <t>23FC012.PV</t>
  </si>
  <si>
    <t>23F013</t>
  </si>
  <si>
    <t>REFORMER STAB.  BOTTOMS</t>
  </si>
  <si>
    <t>23FC013.PV</t>
  </si>
  <si>
    <t>23F014</t>
  </si>
  <si>
    <t>STAB.   FEED TO 2-3-E06 A,B,C,D</t>
  </si>
  <si>
    <t>23FC014.PV</t>
  </si>
  <si>
    <t>23F016</t>
  </si>
  <si>
    <t>H2 TO   REFORMER FEED      X1000</t>
  </si>
  <si>
    <t>23FC016.PV</t>
  </si>
  <si>
    <t>23F019</t>
  </si>
  <si>
    <t>RECYCLE  COMPRESS SUCTION FLOW</t>
  </si>
  <si>
    <t>23FI019B.PV</t>
  </si>
  <si>
    <t>23F021</t>
  </si>
  <si>
    <t>MAKE UP H2O  TO 2-3-V09    X1000</t>
  </si>
  <si>
    <t>23FC021.PV</t>
  </si>
  <si>
    <t>23F043</t>
  </si>
  <si>
    <t>MAKE GAS TO     2-2-C01    X1000</t>
  </si>
  <si>
    <t>23FI043.PV</t>
  </si>
  <si>
    <t>23F050</t>
  </si>
  <si>
    <t>REGN AIR TO     2-3-R03    X1000</t>
  </si>
  <si>
    <t>23FC050.PV</t>
  </si>
  <si>
    <t>23F051</t>
  </si>
  <si>
    <t>REFORMR MAKE GAS TO FUEL   X1000</t>
  </si>
  <si>
    <t>23FI051.PV</t>
  </si>
  <si>
    <t>23F052</t>
  </si>
  <si>
    <t>CONDENSATE TO 2-3-V09      X1000</t>
  </si>
  <si>
    <t>23FC052.PV</t>
  </si>
  <si>
    <t>23F054</t>
  </si>
  <si>
    <t>BFW FROM 23P04 TO 23H01,H02,H03</t>
  </si>
  <si>
    <t>23FC054A.PV</t>
  </si>
  <si>
    <t>23F056</t>
  </si>
  <si>
    <t>STABILZR GAS TO C101 DIS. X1000</t>
  </si>
  <si>
    <t>23FC056.PV</t>
  </si>
  <si>
    <t>23F070</t>
  </si>
  <si>
    <t>REFORMER 2      CHARGE</t>
  </si>
  <si>
    <t>23FI070.PV</t>
  </si>
  <si>
    <t>23FC004</t>
  </si>
  <si>
    <t>23CF004.CV</t>
  </si>
  <si>
    <t>23FC005</t>
  </si>
  <si>
    <t>23CF005.CV</t>
  </si>
  <si>
    <t>23FC006</t>
  </si>
  <si>
    <t>23CF006.CV</t>
  </si>
  <si>
    <t>23FC007</t>
  </si>
  <si>
    <t>23CF007.CV</t>
  </si>
  <si>
    <t>23FC01</t>
  </si>
  <si>
    <t>23CF001.CV</t>
  </si>
  <si>
    <t>23FC011</t>
  </si>
  <si>
    <t>23CF011.CV</t>
  </si>
  <si>
    <t>23FC01A</t>
  </si>
  <si>
    <t>23CF001A.CV</t>
  </si>
  <si>
    <t>23FC02</t>
  </si>
  <si>
    <t>23CF002.CV</t>
  </si>
  <si>
    <t>23FC02A</t>
  </si>
  <si>
    <t>23CF002A.CV</t>
  </si>
  <si>
    <t>23FC03</t>
  </si>
  <si>
    <t>23CF003.CV</t>
  </si>
  <si>
    <t>23FC04</t>
  </si>
  <si>
    <t>23CF040.CV</t>
  </si>
  <si>
    <t>23FC05</t>
  </si>
  <si>
    <t>23CF050.CV</t>
  </si>
  <si>
    <t>23FC06</t>
  </si>
  <si>
    <t>23CF060.CV</t>
  </si>
  <si>
    <t>23FC07</t>
  </si>
  <si>
    <t>23CF070.CV</t>
  </si>
  <si>
    <t>23FC08</t>
  </si>
  <si>
    <t>23CF008.CV</t>
  </si>
  <si>
    <t>23FC09</t>
  </si>
  <si>
    <t>23CF009.CV</t>
  </si>
  <si>
    <t>23FC10</t>
  </si>
  <si>
    <t>23CF010.CV</t>
  </si>
  <si>
    <t>23FC11</t>
  </si>
  <si>
    <t>23CF110.CV</t>
  </si>
  <si>
    <t>23FGAS</t>
  </si>
  <si>
    <t>23FUGINH004.C1</t>
  </si>
  <si>
    <t>23FUGINH004.C2</t>
  </si>
  <si>
    <t>23FUGINH004.C3</t>
  </si>
  <si>
    <t>23FUGINH004.C3A</t>
  </si>
  <si>
    <t>23FUGINH004.C4A</t>
  </si>
  <si>
    <t>23FUGINH004.C5A</t>
  </si>
  <si>
    <t>23FUGINH004.C6B</t>
  </si>
  <si>
    <t>23FUGINH004.CO</t>
  </si>
  <si>
    <t>23FUGINH004.CO2</t>
  </si>
  <si>
    <t>23FUGINH004.H2</t>
  </si>
  <si>
    <t>23FUGINH004.IC4</t>
  </si>
  <si>
    <t>23FUGINH004.IC5</t>
  </si>
  <si>
    <t>23FUGINH004.N2</t>
  </si>
  <si>
    <t>23FUGINH004.NC4</t>
  </si>
  <si>
    <t>23FUGINH004.NC5</t>
  </si>
  <si>
    <t>23FUGINH004.O2</t>
  </si>
  <si>
    <t>23HC001</t>
  </si>
  <si>
    <t>23CH001.CV</t>
  </si>
  <si>
    <t>23HC002</t>
  </si>
  <si>
    <t>23CH002.CV</t>
  </si>
  <si>
    <t>23HC003</t>
  </si>
  <si>
    <t>23CH003.CV</t>
  </si>
  <si>
    <t>23J001</t>
  </si>
  <si>
    <t>2-3-M01 MOTOR   HORSEPWR</t>
  </si>
  <si>
    <t>23JI001.PV</t>
  </si>
  <si>
    <t>23L002</t>
  </si>
  <si>
    <t>2-3-T01 BOTTOMS LEVEL</t>
  </si>
  <si>
    <t>23LC002.PV</t>
  </si>
  <si>
    <t>23L003</t>
  </si>
  <si>
    <t>2-3-V02 LEVEL</t>
  </si>
  <si>
    <t>23LC003.PV</t>
  </si>
  <si>
    <t>23L004</t>
  </si>
  <si>
    <t>2-3-V01  SEPARATOR LEVEL</t>
  </si>
  <si>
    <t>23LC004.PV</t>
  </si>
  <si>
    <t>23P001</t>
  </si>
  <si>
    <t>23H01 FUEL GAS PRESSURE</t>
  </si>
  <si>
    <t>23PT001.PV</t>
  </si>
  <si>
    <t>23P002</t>
  </si>
  <si>
    <t>23H02 FUEL GAS PRESSURE</t>
  </si>
  <si>
    <t>23PT002.PV</t>
  </si>
  <si>
    <t>23P003</t>
  </si>
  <si>
    <t>23H03 FUEL GAS PRESSURE</t>
  </si>
  <si>
    <t>23PT003.PV</t>
  </si>
  <si>
    <t>23P004</t>
  </si>
  <si>
    <t>23-R01 INLET PRESSURE</t>
  </si>
  <si>
    <t>23PI004.PV</t>
  </si>
  <si>
    <t>23P006</t>
  </si>
  <si>
    <t>23-R02 INLET PRESSURE</t>
  </si>
  <si>
    <t>23PI006.PV</t>
  </si>
  <si>
    <t>23P008</t>
  </si>
  <si>
    <t>2-3-R-03 INLET PRESSURE</t>
  </si>
  <si>
    <t>23PI008.PV</t>
  </si>
  <si>
    <t>23P010</t>
  </si>
  <si>
    <t>STABLIZER PRESSURE TO FUEL GAS</t>
  </si>
  <si>
    <t>23PC010.PV</t>
  </si>
  <si>
    <t>23P011</t>
  </si>
  <si>
    <t>SEPARATR DRUM   V01     PRESSURE</t>
  </si>
  <si>
    <t>23PC011A.PV</t>
  </si>
  <si>
    <t>23P030</t>
  </si>
  <si>
    <t>2-3-R04 REACTOR INLET   PRESSURE</t>
  </si>
  <si>
    <t>23PI030.PV</t>
  </si>
  <si>
    <t>23P039</t>
  </si>
  <si>
    <t>23H04   FUEL GAS</t>
  </si>
  <si>
    <t>23PT039.PV</t>
  </si>
  <si>
    <t>23P046</t>
  </si>
  <si>
    <t>23-R04 OUTLET PRESSURE</t>
  </si>
  <si>
    <t>23PI046.PV</t>
  </si>
  <si>
    <t>23P090</t>
  </si>
  <si>
    <t>RECYCLE CMP. C01 INLET PRESSURE</t>
  </si>
  <si>
    <t>23PI090.PV</t>
  </si>
  <si>
    <t>23P091</t>
  </si>
  <si>
    <t>RECYCLE CMP. C01 DISCHG PRESSURE</t>
  </si>
  <si>
    <t>23PI091.PV</t>
  </si>
  <si>
    <t>23PC01</t>
  </si>
  <si>
    <t>23CP001.CV</t>
  </si>
  <si>
    <t>23PC010</t>
  </si>
  <si>
    <t>23CP010.CV</t>
  </si>
  <si>
    <t>23PC012</t>
  </si>
  <si>
    <t>23CP012.CV</t>
  </si>
  <si>
    <t>23PC02</t>
  </si>
  <si>
    <t>23CP002.CV</t>
  </si>
  <si>
    <t>23PC03</t>
  </si>
  <si>
    <t>23CP003.CV</t>
  </si>
  <si>
    <t>23PC04</t>
  </si>
  <si>
    <t>23CP004.CV</t>
  </si>
  <si>
    <t>23PC05</t>
  </si>
  <si>
    <t>23CP005.CV</t>
  </si>
  <si>
    <t>23PD005</t>
  </si>
  <si>
    <t>2-3-R01 REACTOR PRESSURE DROP</t>
  </si>
  <si>
    <t>23PDI005.PV</t>
  </si>
  <si>
    <t>23PD007</t>
  </si>
  <si>
    <t>2-3-R02 REACTOR PRESSURE DROP</t>
  </si>
  <si>
    <t>23PDI007.PV</t>
  </si>
  <si>
    <t>23PD009</t>
  </si>
  <si>
    <t>2-3-R03 REACTOR PRESSURE DROP</t>
  </si>
  <si>
    <t>23PDI009.PV</t>
  </si>
  <si>
    <t>23PD062</t>
  </si>
  <si>
    <t>2-3-R04 REACTOR DIFF.   PRESSURE</t>
  </si>
  <si>
    <t>23PDI062.PV</t>
  </si>
  <si>
    <t>23RC01</t>
  </si>
  <si>
    <t>23CR001.CV</t>
  </si>
  <si>
    <t>23RC02</t>
  </si>
  <si>
    <t>23CR002.CV</t>
  </si>
  <si>
    <t>23RC03</t>
  </si>
  <si>
    <t>23CR003.CV</t>
  </si>
  <si>
    <t>23RC03A</t>
  </si>
  <si>
    <t>23CR003A.CV</t>
  </si>
  <si>
    <t>23RC04</t>
  </si>
  <si>
    <t>23CR004.CV</t>
  </si>
  <si>
    <t>23RC05</t>
  </si>
  <si>
    <t>23CR005.CV</t>
  </si>
  <si>
    <t>23RC06</t>
  </si>
  <si>
    <t>23CR006.CV</t>
  </si>
  <si>
    <t>23RC07</t>
  </si>
  <si>
    <t>23CR007.CV</t>
  </si>
  <si>
    <t>23RC08</t>
  </si>
  <si>
    <t>23CR008.CV</t>
  </si>
  <si>
    <t>23RC09</t>
  </si>
  <si>
    <t>23CR009.CV</t>
  </si>
  <si>
    <t>23RC10</t>
  </si>
  <si>
    <t>23CR010.CV</t>
  </si>
  <si>
    <t>23SBBM</t>
  </si>
  <si>
    <t>23REFBMSB.DEN15</t>
  </si>
  <si>
    <t>23SBGS</t>
  </si>
  <si>
    <t>23FUGOHAC.C1</t>
  </si>
  <si>
    <t>23FUGOHAC.C2</t>
  </si>
  <si>
    <t>23FUGOHAC.C3</t>
  </si>
  <si>
    <t>23FUGOHAC.C3A</t>
  </si>
  <si>
    <t>23FUGOHAC.C4A</t>
  </si>
  <si>
    <t>23FUGOHAC.C5A</t>
  </si>
  <si>
    <t>23FUGOHAC.C6B</t>
  </si>
  <si>
    <t>23FUGOHAC.CO</t>
  </si>
  <si>
    <t>23FUGOHAC.CO2</t>
  </si>
  <si>
    <t>23FUGOHAC.H2</t>
  </si>
  <si>
    <t>23FUGOHAC.IC4</t>
  </si>
  <si>
    <t>23FUGOHAC.IC5</t>
  </si>
  <si>
    <t>23FUGOHAC.N2</t>
  </si>
  <si>
    <t>23FUGOHAC.NC4</t>
  </si>
  <si>
    <t>23FUGOHAC.NC5</t>
  </si>
  <si>
    <t>23FUGOHAC.O2</t>
  </si>
  <si>
    <t>23SC001</t>
  </si>
  <si>
    <t>23CS001.CV</t>
  </si>
  <si>
    <t>23SC002</t>
  </si>
  <si>
    <t>23CS002.CV</t>
  </si>
  <si>
    <t>23SM01</t>
  </si>
  <si>
    <t>23MS001.MV</t>
  </si>
  <si>
    <t>23T001</t>
  </si>
  <si>
    <t>DRYER   REACTIV GAS</t>
  </si>
  <si>
    <t>23TC001.PV</t>
  </si>
  <si>
    <t>23T002</t>
  </si>
  <si>
    <t>23H01 PROCESS OUTLET</t>
  </si>
  <si>
    <t>23TC002.PV</t>
  </si>
  <si>
    <t>23T003</t>
  </si>
  <si>
    <t>23H02 PROCESS OUTLET</t>
  </si>
  <si>
    <t>23TC003.PV</t>
  </si>
  <si>
    <t>23T004</t>
  </si>
  <si>
    <t>23H03 PROCESS OUTLET</t>
  </si>
  <si>
    <t>23TC004.PV</t>
  </si>
  <si>
    <t>23T005</t>
  </si>
  <si>
    <t>23T01 TRAY 1 TEMP</t>
  </si>
  <si>
    <t>23TC005.PV</t>
  </si>
  <si>
    <t>23T019</t>
  </si>
  <si>
    <t>23H04 PROCESS OUTLET</t>
  </si>
  <si>
    <t>23TC019.PV</t>
  </si>
  <si>
    <t>23T159</t>
  </si>
  <si>
    <t>2-3-C01 SUCTION TEMP</t>
  </si>
  <si>
    <t>23TI159.PV</t>
  </si>
  <si>
    <t>23T400</t>
  </si>
  <si>
    <t>2-3-R02 + 28"</t>
  </si>
  <si>
    <t>23TI068.PV</t>
  </si>
  <si>
    <t>23T402</t>
  </si>
  <si>
    <t>2-3-H01 STACK</t>
  </si>
  <si>
    <t>23TI022.PV</t>
  </si>
  <si>
    <t>23T403</t>
  </si>
  <si>
    <t>2-3-H03 STACK</t>
  </si>
  <si>
    <t>23TI023.PV</t>
  </si>
  <si>
    <t>23T404</t>
  </si>
  <si>
    <t>FEED TO 2-3-R01</t>
  </si>
  <si>
    <t>23TI024.PV</t>
  </si>
  <si>
    <t>23T405</t>
  </si>
  <si>
    <t>FEED TO 2-3-R02</t>
  </si>
  <si>
    <t>23TI025.PV</t>
  </si>
  <si>
    <t>23T406</t>
  </si>
  <si>
    <t>FEED TO 2-3-R03</t>
  </si>
  <si>
    <t>23TI026.PV</t>
  </si>
  <si>
    <t>23T407</t>
  </si>
  <si>
    <t>2-3-R01  0 PER  CENT OF BED</t>
  </si>
  <si>
    <t>23TI027.PV</t>
  </si>
  <si>
    <t>23T408</t>
  </si>
  <si>
    <t>2-3-R01 79 PER  CENT OF BED</t>
  </si>
  <si>
    <t>23TI028.PV</t>
  </si>
  <si>
    <t>23T409</t>
  </si>
  <si>
    <t>2-3-R01 31 PER  CENT OF BED</t>
  </si>
  <si>
    <t>23TI029.PV</t>
  </si>
  <si>
    <t>23T410</t>
  </si>
  <si>
    <t>2-3-R01 44 PER  CENT OF BED</t>
  </si>
  <si>
    <t>23TI030.PV</t>
  </si>
  <si>
    <t>23T411</t>
  </si>
  <si>
    <t>2-3-R01 63 PER  CENT OF BED</t>
  </si>
  <si>
    <t>23TI031.PV</t>
  </si>
  <si>
    <t>23T412</t>
  </si>
  <si>
    <t>2-3-R01 75 PER  CENT OF BED</t>
  </si>
  <si>
    <t>23TI032.PV</t>
  </si>
  <si>
    <t>23T413</t>
  </si>
  <si>
    <t>2-3-R01 88 PER  CENT OF BED</t>
  </si>
  <si>
    <t>23TI033.PV</t>
  </si>
  <si>
    <t>23T414</t>
  </si>
  <si>
    <t>2-3-R01 - 8"    INLET</t>
  </si>
  <si>
    <t>23TI034.PV</t>
  </si>
  <si>
    <t>23T415</t>
  </si>
  <si>
    <t>2-3-R01  6 PER  CENT OF BED</t>
  </si>
  <si>
    <t>23TI035.PV</t>
  </si>
  <si>
    <t>23T416</t>
  </si>
  <si>
    <t>2-3-R01 73 PER  CENT OF BED</t>
  </si>
  <si>
    <t>23TI036.PV</t>
  </si>
  <si>
    <t>23T417</t>
  </si>
  <si>
    <t>2-3-R01 38 PER  CENT OF BED</t>
  </si>
  <si>
    <t>23TI037.PV</t>
  </si>
  <si>
    <t>23T418</t>
  </si>
  <si>
    <t>2-3-R01 50 PER  CENT OF BED</t>
  </si>
  <si>
    <t>23TI038.PV</t>
  </si>
  <si>
    <t>23T419</t>
  </si>
  <si>
    <t>2-3-R01 69 PER  CENT OF BED</t>
  </si>
  <si>
    <t>23TI039.PV</t>
  </si>
  <si>
    <t>23T420</t>
  </si>
  <si>
    <t>2-3-R01 81 PER  CENT OF BED</t>
  </si>
  <si>
    <t>23TI040.PV</t>
  </si>
  <si>
    <t>23T421</t>
  </si>
  <si>
    <t>2-3-R01 94 % OF BED     OUTLET</t>
  </si>
  <si>
    <t>23TI041.PV</t>
  </si>
  <si>
    <t>23T422</t>
  </si>
  <si>
    <t>2-3-R01 - 8"</t>
  </si>
  <si>
    <t>23TI042.PV</t>
  </si>
  <si>
    <t>23T423</t>
  </si>
  <si>
    <t>2-3-R01 13 PER  CENT OF BED</t>
  </si>
  <si>
    <t>23TI043.PV</t>
  </si>
  <si>
    <t>23T424</t>
  </si>
  <si>
    <t>2-3-R01 25 PER  CENT OF BED</t>
  </si>
  <si>
    <t>23TI044.PV</t>
  </si>
  <si>
    <t>23T425</t>
  </si>
  <si>
    <t>23TI045.PV</t>
  </si>
  <si>
    <t>23T426</t>
  </si>
  <si>
    <t>2-3-R01 56 PER  CENT OF BED</t>
  </si>
  <si>
    <t>23TI046.PV</t>
  </si>
  <si>
    <t>23T428</t>
  </si>
  <si>
    <t>23TI048.PV</t>
  </si>
  <si>
    <t>23T430</t>
  </si>
  <si>
    <t>2-3-R02  3 PER  CENT OF BED</t>
  </si>
  <si>
    <t>23TI051.PV</t>
  </si>
  <si>
    <t>23T431</t>
  </si>
  <si>
    <t>2-3-R02 19 PER  CENT OF BED</t>
  </si>
  <si>
    <t>23TI052.PV</t>
  </si>
  <si>
    <t>23T432</t>
  </si>
  <si>
    <t>2-3-R02 35 PER  CENT OF BED</t>
  </si>
  <si>
    <t>23TI053.PV</t>
  </si>
  <si>
    <t>23T433</t>
  </si>
  <si>
    <t>2-3-R02 59 PER  CENT OF BED</t>
  </si>
  <si>
    <t>23TI054.PV</t>
  </si>
  <si>
    <t>23T434</t>
  </si>
  <si>
    <t>2-3-R02 24 PER  CENT OF BED</t>
  </si>
  <si>
    <t>23TI055.PV</t>
  </si>
  <si>
    <t>23T435</t>
  </si>
  <si>
    <t>2-3-R02 -5" FROM INLET</t>
  </si>
  <si>
    <t>23TI056.PV</t>
  </si>
  <si>
    <t>23T436</t>
  </si>
  <si>
    <t>23TI057.PV</t>
  </si>
  <si>
    <t>23T437</t>
  </si>
  <si>
    <t>2-3-R02 30 PER  CENT OF BED</t>
  </si>
  <si>
    <t>23TI058.PV</t>
  </si>
  <si>
    <t>23T438</t>
  </si>
  <si>
    <t>2-3-R02 46 PER  CENT OF BED</t>
  </si>
  <si>
    <t>23TI059.PV</t>
  </si>
  <si>
    <t>23T439</t>
  </si>
  <si>
    <t>2-3-R02 68 PER  CENT OF BED</t>
  </si>
  <si>
    <t>23TI060.PV</t>
  </si>
  <si>
    <t>23T441</t>
  </si>
  <si>
    <t>2-3-R02 92 PER  CENT OF BED</t>
  </si>
  <si>
    <t>23TI062.PV</t>
  </si>
  <si>
    <t>23T442</t>
  </si>
  <si>
    <t>2-3-R02 -11"    INLET</t>
  </si>
  <si>
    <t>23TI063.PV</t>
  </si>
  <si>
    <t>23T443</t>
  </si>
  <si>
    <t>2-3-R02 -2"     PROFILE</t>
  </si>
  <si>
    <t>23TI064.PV</t>
  </si>
  <si>
    <t>23T444</t>
  </si>
  <si>
    <t>2-3-R02 11 PER  CENT OF BED</t>
  </si>
  <si>
    <t>23TI065.PV</t>
  </si>
  <si>
    <t>23T445</t>
  </si>
  <si>
    <t>23TI066.PV</t>
  </si>
  <si>
    <t>23T446</t>
  </si>
  <si>
    <t>2-3-R02 51 PER  CENT OF BED</t>
  </si>
  <si>
    <t>23TI067.PV</t>
  </si>
  <si>
    <t>23T448</t>
  </si>
  <si>
    <t>2-3-R02 - 1"    OUTLET</t>
  </si>
  <si>
    <t>23TI069.PV</t>
  </si>
  <si>
    <t>23T449</t>
  </si>
  <si>
    <t>2-3-R03 13 PER  CENT OF BED</t>
  </si>
  <si>
    <t>23TI071.PV</t>
  </si>
  <si>
    <t>23T450</t>
  </si>
  <si>
    <t>2-3-R03 27 PER  CENT OF BED</t>
  </si>
  <si>
    <t>23TI072.PV</t>
  </si>
  <si>
    <t>23T451</t>
  </si>
  <si>
    <t>2-3-R03 37 PER  CENT OF BED</t>
  </si>
  <si>
    <t>23TI073.PV</t>
  </si>
  <si>
    <t>23T452</t>
  </si>
  <si>
    <t>2-3-R03 52 PER  CENT OF BED</t>
  </si>
  <si>
    <t>23TI074.PV</t>
  </si>
  <si>
    <t>23T453</t>
  </si>
  <si>
    <t>2-3-R03 62 PER  CENT OF BED</t>
  </si>
  <si>
    <t>23TI075.PV</t>
  </si>
  <si>
    <t>23T454</t>
  </si>
  <si>
    <t>2-3-R03 77 PER  CENT OF BED</t>
  </si>
  <si>
    <t>23TI076.PV</t>
  </si>
  <si>
    <t>23T455</t>
  </si>
  <si>
    <t>2-3-R03 96 PER  CENT OF BED</t>
  </si>
  <si>
    <t>23TI077.PV</t>
  </si>
  <si>
    <t>23T456</t>
  </si>
  <si>
    <t>2-3-R03 OUTLET</t>
  </si>
  <si>
    <t>23TI078.PV</t>
  </si>
  <si>
    <t>23T457</t>
  </si>
  <si>
    <t>2-3-R03 - 5"</t>
  </si>
  <si>
    <t>23TI079.PV</t>
  </si>
  <si>
    <t>23T458</t>
  </si>
  <si>
    <t>2-3-R03 + 3"</t>
  </si>
  <si>
    <t>23TI080.PV</t>
  </si>
  <si>
    <t>23T459</t>
  </si>
  <si>
    <t>2-3-R03 + 13"</t>
  </si>
  <si>
    <t>23TI081.PV</t>
  </si>
  <si>
    <t>23T460</t>
  </si>
  <si>
    <t>2-3-R03 + 25"</t>
  </si>
  <si>
    <t>23TI082.PV</t>
  </si>
  <si>
    <t>23T461</t>
  </si>
  <si>
    <t>2-3-R03 + 37"</t>
  </si>
  <si>
    <t>23TI083.PV</t>
  </si>
  <si>
    <t>23T462</t>
  </si>
  <si>
    <t>2-3-R03 + 55"</t>
  </si>
  <si>
    <t>23TI084.PV</t>
  </si>
  <si>
    <t>23T463</t>
  </si>
  <si>
    <t>2-3-R03 + 73"</t>
  </si>
  <si>
    <t>23TI085.PV</t>
  </si>
  <si>
    <t>23T464</t>
  </si>
  <si>
    <t>2-3-R03 - 15"</t>
  </si>
  <si>
    <t>23TI086.PV</t>
  </si>
  <si>
    <t>23T465</t>
  </si>
  <si>
    <t>2-3-R03 3 % OF  BED     INLET</t>
  </si>
  <si>
    <t>23TI087.PV</t>
  </si>
  <si>
    <t>23T466</t>
  </si>
  <si>
    <t>2-3-R03 12 PER  CENT OF BED</t>
  </si>
  <si>
    <t>23TI088.PV</t>
  </si>
  <si>
    <t>23T467</t>
  </si>
  <si>
    <t>23TI089.PV</t>
  </si>
  <si>
    <t>23T468</t>
  </si>
  <si>
    <t>23TI090.PV</t>
  </si>
  <si>
    <t>23T469</t>
  </si>
  <si>
    <t>23TI091.PV</t>
  </si>
  <si>
    <t>23T470</t>
  </si>
  <si>
    <t>23TI092.PV</t>
  </si>
  <si>
    <t>23T471</t>
  </si>
  <si>
    <t>2-3-R03 +.I"</t>
  </si>
  <si>
    <t>23TI093.PV</t>
  </si>
  <si>
    <t>23T479</t>
  </si>
  <si>
    <t>2-3-E18A TUBE   OUTLET</t>
  </si>
  <si>
    <t>23TI275.PV</t>
  </si>
  <si>
    <t>23T484</t>
  </si>
  <si>
    <t>2-3-E18B TUBE   OUTLET</t>
  </si>
  <si>
    <t>23TI290.PV</t>
  </si>
  <si>
    <t>23T489</t>
  </si>
  <si>
    <t>STAB.   PROFILE</t>
  </si>
  <si>
    <t>23TI112.PV</t>
  </si>
  <si>
    <t>23T490</t>
  </si>
  <si>
    <t>23TI113.PV</t>
  </si>
  <si>
    <t>23T491</t>
  </si>
  <si>
    <t>23TI114.PV</t>
  </si>
  <si>
    <t>23T492</t>
  </si>
  <si>
    <t>STABILZR PROFILE</t>
  </si>
  <si>
    <t>23TI115.PV</t>
  </si>
  <si>
    <t>23T497</t>
  </si>
  <si>
    <t>2-3-E07 PRODUCT IN</t>
  </si>
  <si>
    <t>23TI119.PV</t>
  </si>
  <si>
    <t>23T498</t>
  </si>
  <si>
    <t>STAB.   FEED    TEMP</t>
  </si>
  <si>
    <t>23TI120.PV</t>
  </si>
  <si>
    <t>23T499</t>
  </si>
  <si>
    <t>STAB.   BOTTOMS</t>
  </si>
  <si>
    <t>23TI121.PV</t>
  </si>
  <si>
    <t>23T500</t>
  </si>
  <si>
    <t>2-3-E07 WATER   OUT</t>
  </si>
  <si>
    <t>23TI122.PV</t>
  </si>
  <si>
    <t>23T501</t>
  </si>
  <si>
    <t>2-3-E07 OUTLET   STAB.   DIST.</t>
  </si>
  <si>
    <t>23TI123.PV</t>
  </si>
  <si>
    <t>23T502</t>
  </si>
  <si>
    <t>2-3-E09 WATER   OUT</t>
  </si>
  <si>
    <t>23TI124.PV</t>
  </si>
  <si>
    <t>23T503</t>
  </si>
  <si>
    <t>2-3-E09 OUTLET   STAB.  BOTTOMS</t>
  </si>
  <si>
    <t>23TI125.PV</t>
  </si>
  <si>
    <t>23T505</t>
  </si>
  <si>
    <t>2-3-E09 PRODUCT IN</t>
  </si>
  <si>
    <t>23TI127.PV</t>
  </si>
  <si>
    <t>23T507</t>
  </si>
  <si>
    <t>2-3-P01 DISCHG</t>
  </si>
  <si>
    <t>23TI247.PV</t>
  </si>
  <si>
    <t>23T508</t>
  </si>
  <si>
    <t>2-3-R04 71 PER  CENT OF BED</t>
  </si>
  <si>
    <t>23TI242.PV</t>
  </si>
  <si>
    <t>23T511</t>
  </si>
  <si>
    <t>2-3-R04 84 PER  CENT OF BED</t>
  </si>
  <si>
    <t>23TI243.PV</t>
  </si>
  <si>
    <t>23T512</t>
  </si>
  <si>
    <t>2-3-E05A  WATER  OUT</t>
  </si>
  <si>
    <t>23TI134.PV</t>
  </si>
  <si>
    <t>23T513</t>
  </si>
  <si>
    <t>2-3-E05A  SHELL  OUTLET</t>
  </si>
  <si>
    <t>23TI135.PV</t>
  </si>
  <si>
    <t>23T515</t>
  </si>
  <si>
    <t>2-3-R04 BUNDLE C</t>
  </si>
  <si>
    <t>23TI244.PV</t>
  </si>
  <si>
    <t>23T516</t>
  </si>
  <si>
    <t>2-3-E18A SHELL  OUTLET</t>
  </si>
  <si>
    <t>23TI276.PV</t>
  </si>
  <si>
    <t>23T518</t>
  </si>
  <si>
    <t>2-3-E18B TUBE   INLET</t>
  </si>
  <si>
    <t>23TI278.PV</t>
  </si>
  <si>
    <t>23T519</t>
  </si>
  <si>
    <t>FEED TO 2-3-R04</t>
  </si>
  <si>
    <t>23TI249.PV</t>
  </si>
  <si>
    <t>23T521</t>
  </si>
  <si>
    <t>2-3-E05B SHELL OUT</t>
  </si>
  <si>
    <t>23TI286.PV</t>
  </si>
  <si>
    <t>23T522</t>
  </si>
  <si>
    <t>2-3-E05B TUBE OUT</t>
  </si>
  <si>
    <t>23TI285.PV</t>
  </si>
  <si>
    <t>23T524</t>
  </si>
  <si>
    <t>2-3-H04 STACK   TEMP</t>
  </si>
  <si>
    <t>23TI248.PV</t>
  </si>
  <si>
    <t>23T526</t>
  </si>
  <si>
    <t>2-3-E04 INLET   TEMP.</t>
  </si>
  <si>
    <t>23TI149.PV</t>
  </si>
  <si>
    <t>23T528</t>
  </si>
  <si>
    <t>2-3-E10 WATER   OUT</t>
  </si>
  <si>
    <t>23TI154.PV</t>
  </si>
  <si>
    <t>23T529</t>
  </si>
  <si>
    <t>2-3-E10 OUT.MAKE  GAS    (YIELD)</t>
  </si>
  <si>
    <t>23TI155.PV</t>
  </si>
  <si>
    <t>23T532</t>
  </si>
  <si>
    <t>2-3-E10 PROD IN (RECYLE GAS)</t>
  </si>
  <si>
    <t>23TI158.PV</t>
  </si>
  <si>
    <t>23T540</t>
  </si>
  <si>
    <t>F.W. TO 2-3-V05</t>
  </si>
  <si>
    <t>23TI166.PV</t>
  </si>
  <si>
    <t>23T541</t>
  </si>
  <si>
    <t>STAB.   REBOILER</t>
  </si>
  <si>
    <t>23TI167.PV</t>
  </si>
  <si>
    <t>23T542</t>
  </si>
  <si>
    <t>2-3-R04 BUNDLE A INLET</t>
  </si>
  <si>
    <t>23TI221.PV</t>
  </si>
  <si>
    <t>23T543</t>
  </si>
  <si>
    <t>2-3-R04 INLET</t>
  </si>
  <si>
    <t>23TI222.PV</t>
  </si>
  <si>
    <t>23T544</t>
  </si>
  <si>
    <t>2-3-R04 BUNDLE A</t>
  </si>
  <si>
    <t>23TI223.PV</t>
  </si>
  <si>
    <t>23T545</t>
  </si>
  <si>
    <t>23TI224.PV</t>
  </si>
  <si>
    <t>23T546</t>
  </si>
  <si>
    <t>2-3-R04 57 PER  CENT OF BED</t>
  </si>
  <si>
    <t>23TI225.PV</t>
  </si>
  <si>
    <t>23T547</t>
  </si>
  <si>
    <t>23TI226.PV</t>
  </si>
  <si>
    <t>23T548</t>
  </si>
  <si>
    <t>2-3-R04 OUTLET</t>
  </si>
  <si>
    <t>23TI227.PV</t>
  </si>
  <si>
    <t>23T549</t>
  </si>
  <si>
    <t>2-3-R04 BUNDLE A OUTLET</t>
  </si>
  <si>
    <t>23TI228.PV</t>
  </si>
  <si>
    <t>23T550</t>
  </si>
  <si>
    <t>2-3-R04 BUNDLE B</t>
  </si>
  <si>
    <t>23TI229.PV</t>
  </si>
  <si>
    <t>23T551</t>
  </si>
  <si>
    <t>2-3-R04  3 PER  CENT OF BED</t>
  </si>
  <si>
    <t>23TI230.PV</t>
  </si>
  <si>
    <t>23T552</t>
  </si>
  <si>
    <t>2-3-R04 17 PER  CENT OF BED</t>
  </si>
  <si>
    <t>23TI231.PV</t>
  </si>
  <si>
    <t>23T560</t>
  </si>
  <si>
    <t>2-3-V09 DEAERATR</t>
  </si>
  <si>
    <t>23TI198.PV</t>
  </si>
  <si>
    <t>23T561</t>
  </si>
  <si>
    <t>23TI232.PV</t>
  </si>
  <si>
    <t>23T562</t>
  </si>
  <si>
    <t>2-3-R04 50 PER  CENT OF BED</t>
  </si>
  <si>
    <t>23TI233.PV</t>
  </si>
  <si>
    <t>23T563</t>
  </si>
  <si>
    <t>23TI234.PV</t>
  </si>
  <si>
    <t>23T564</t>
  </si>
  <si>
    <t>2-3-R04 97 PER  CENT OF BED</t>
  </si>
  <si>
    <t>23TI235.PV</t>
  </si>
  <si>
    <t>23T565</t>
  </si>
  <si>
    <t>23TI236.PV</t>
  </si>
  <si>
    <t>23T566</t>
  </si>
  <si>
    <t>23TI237.PV</t>
  </si>
  <si>
    <t>23T567</t>
  </si>
  <si>
    <t>2-3-R04 30 PER  CENT OF BED</t>
  </si>
  <si>
    <t>23TI238.PV</t>
  </si>
  <si>
    <t>23T568</t>
  </si>
  <si>
    <t>2-3-R04 44 PER  CENT OF BED</t>
  </si>
  <si>
    <t>23TI239.PV</t>
  </si>
  <si>
    <t>23T569</t>
  </si>
  <si>
    <t>23TI240.PV</t>
  </si>
  <si>
    <t>23T570</t>
  </si>
  <si>
    <t>23TI241.PV</t>
  </si>
  <si>
    <t>23TC02</t>
  </si>
  <si>
    <t>23CT002.CV</t>
  </si>
  <si>
    <t>23TC03</t>
  </si>
  <si>
    <t>23CT003.CV</t>
  </si>
  <si>
    <t>23TC04</t>
  </si>
  <si>
    <t>23CT004.CV</t>
  </si>
  <si>
    <t>23TC05</t>
  </si>
  <si>
    <t>23CT005.CV</t>
  </si>
  <si>
    <t>23TC06</t>
  </si>
  <si>
    <t>23CT006.CV</t>
  </si>
  <si>
    <t>23TC07</t>
  </si>
  <si>
    <t>23CT007.CV</t>
  </si>
  <si>
    <t>23TC08</t>
  </si>
  <si>
    <t>23CT008.CV</t>
  </si>
  <si>
    <t>23TC09</t>
  </si>
  <si>
    <t>23CT009.CV</t>
  </si>
  <si>
    <t>23TC404</t>
  </si>
  <si>
    <t>23CT404.CV</t>
  </si>
  <si>
    <t>23TC405</t>
  </si>
  <si>
    <t>23CT405.CV</t>
  </si>
  <si>
    <t>23TC406</t>
  </si>
  <si>
    <t>23CT406.CV</t>
  </si>
  <si>
    <t>23TC519</t>
  </si>
  <si>
    <t>23CT519.CV</t>
  </si>
  <si>
    <t>23TD01</t>
  </si>
  <si>
    <t>23CT010.CV</t>
  </si>
  <si>
    <t>23TD02</t>
  </si>
  <si>
    <t>23CT020.CV</t>
  </si>
  <si>
    <t>23TD03</t>
  </si>
  <si>
    <t>23CT030.CV</t>
  </si>
  <si>
    <t>23TD04</t>
  </si>
  <si>
    <t>23CT040.CV</t>
  </si>
  <si>
    <t>23TD05</t>
  </si>
  <si>
    <t>23CT050.CV</t>
  </si>
  <si>
    <t>23TD06</t>
  </si>
  <si>
    <t>23CT060.CV</t>
  </si>
  <si>
    <t>23TI245</t>
  </si>
  <si>
    <t>22TI245.PV</t>
  </si>
  <si>
    <t>23TI305</t>
  </si>
  <si>
    <t>23TI305.PV</t>
  </si>
  <si>
    <t>23TM10</t>
  </si>
  <si>
    <t>23MDTM10.MV</t>
  </si>
  <si>
    <t>23TM447</t>
  </si>
  <si>
    <t>23MT447.MV</t>
  </si>
  <si>
    <t>23TM506</t>
  </si>
  <si>
    <t>23MT506.MV</t>
  </si>
  <si>
    <t>23TR01</t>
  </si>
  <si>
    <t>23CT001.CV</t>
  </si>
  <si>
    <t>23TR02</t>
  </si>
  <si>
    <t>23CT200.CV</t>
  </si>
  <si>
    <t>23UA06</t>
  </si>
  <si>
    <t>23E006.UA</t>
  </si>
  <si>
    <t>23UA09</t>
  </si>
  <si>
    <t>23E009.UA</t>
  </si>
  <si>
    <t>23UC06</t>
  </si>
  <si>
    <t>23E006.U</t>
  </si>
  <si>
    <t>23UC09</t>
  </si>
  <si>
    <t>23E009.U</t>
  </si>
  <si>
    <t>23WC01</t>
  </si>
  <si>
    <t>23CW001.CV</t>
  </si>
  <si>
    <t>23WC01A</t>
  </si>
  <si>
    <t>23CW001A.CV</t>
  </si>
  <si>
    <t>23WC02</t>
  </si>
  <si>
    <t>23CW002.CV</t>
  </si>
  <si>
    <t>23WC02A</t>
  </si>
  <si>
    <t>23CW002A.CV</t>
  </si>
  <si>
    <t>23WC03</t>
  </si>
  <si>
    <t>23CW003.CV</t>
  </si>
  <si>
    <t>23WC03A</t>
  </si>
  <si>
    <t>23CW003A.CV</t>
  </si>
  <si>
    <t>23WC04</t>
  </si>
  <si>
    <t>23CW004.CV</t>
  </si>
  <si>
    <t>23WPPM3</t>
  </si>
  <si>
    <t>23WPPM3.MV</t>
  </si>
  <si>
    <t>23WPPMF</t>
  </si>
  <si>
    <t>23MWPPMF.MV</t>
  </si>
  <si>
    <t>24$BEN</t>
  </si>
  <si>
    <t>P2BEN.CNBEN</t>
  </si>
  <si>
    <t>24$EXS</t>
  </si>
  <si>
    <t>P2EXS.CNBEN</t>
  </si>
  <si>
    <t>24$MXT</t>
  </si>
  <si>
    <t>P2MXT.CNBEN</t>
  </si>
  <si>
    <t>24$OXT</t>
  </si>
  <si>
    <t>ORTHO XYLENE DMC CONT. BENEFITS</t>
  </si>
  <si>
    <t>22PC005.MANACT</t>
  </si>
  <si>
    <t>24$PRE</t>
  </si>
  <si>
    <t>P2PRE.CNBEN</t>
  </si>
  <si>
    <t>24$TOL</t>
  </si>
  <si>
    <t>P2TOL.CNBEN</t>
  </si>
  <si>
    <t>24A002</t>
  </si>
  <si>
    <t>EXTRACT TOTAL NONAROMATICS</t>
  </si>
  <si>
    <t>24AI002_1.PV</t>
  </si>
  <si>
    <t>24A002H</t>
  </si>
  <si>
    <t>EXTRACT HEAVY NONAROMATICS</t>
  </si>
  <si>
    <t>24AI002_2.PV</t>
  </si>
  <si>
    <t>24A002L</t>
  </si>
  <si>
    <t>EXTRACT LIGHT NONAROMATICS</t>
  </si>
  <si>
    <t>24AY002_1.RO02</t>
  </si>
  <si>
    <t>24A003A</t>
  </si>
  <si>
    <t>AROMATIC</t>
  </si>
  <si>
    <t>24AI003_1.PV</t>
  </si>
  <si>
    <t>24A003B</t>
  </si>
  <si>
    <t>CUMEME</t>
  </si>
  <si>
    <t>24AI003_2.PV</t>
  </si>
  <si>
    <t>24A003C</t>
  </si>
  <si>
    <t>PARAXYLENE</t>
  </si>
  <si>
    <t>24AI003_3.PV</t>
  </si>
  <si>
    <t>24A003D</t>
  </si>
  <si>
    <t>METAXYLENE</t>
  </si>
  <si>
    <t>24AI003_4.PV</t>
  </si>
  <si>
    <t>24A004</t>
  </si>
  <si>
    <t>ORTHO IN MX GC</t>
  </si>
  <si>
    <t>24AI004_3.PV</t>
  </si>
  <si>
    <t>24A0042</t>
  </si>
  <si>
    <t>ETHYL/ BENZENE IN MXGC</t>
  </si>
  <si>
    <t>24AI004_2.PV</t>
  </si>
  <si>
    <t>24A005</t>
  </si>
  <si>
    <t>ORTHO IN PREFRAC BTMS GC</t>
  </si>
  <si>
    <t>24AI005_3.PV</t>
  </si>
  <si>
    <t>24A006A</t>
  </si>
  <si>
    <t>ORTHO IN OTB GC - POINT '3'</t>
  </si>
  <si>
    <t>24AI006_3.PV</t>
  </si>
  <si>
    <t>24A007E</t>
  </si>
  <si>
    <t>2-4-H-02 02     (EAST)</t>
  </si>
  <si>
    <t>24AI007_1A.PV</t>
  </si>
  <si>
    <t>24A007W</t>
  </si>
  <si>
    <t>2-4-H-02 02     (WEST)</t>
  </si>
  <si>
    <t>24AI007_2A.PV</t>
  </si>
  <si>
    <t>24A009</t>
  </si>
  <si>
    <t>C9 +    AROMATIC EX FD. GC</t>
  </si>
  <si>
    <t>24AI009A.PV</t>
  </si>
  <si>
    <t>24A010A</t>
  </si>
  <si>
    <t>ANALYZR 24AN010A  NORTH</t>
  </si>
  <si>
    <t>24AI010_1A.PV</t>
  </si>
  <si>
    <t>24A010B</t>
  </si>
  <si>
    <t>ANALYZR 24AN010B SOUTH</t>
  </si>
  <si>
    <t>24AI010_2A.PV</t>
  </si>
  <si>
    <t>24A031</t>
  </si>
  <si>
    <t>EXTRACT RECYCLE DENSITY</t>
  </si>
  <si>
    <t>24AI031.PV</t>
  </si>
  <si>
    <t>24AC010A</t>
  </si>
  <si>
    <t>24CA010A.CV</t>
  </si>
  <si>
    <t>24AC010B</t>
  </si>
  <si>
    <t>24CA010B.CV</t>
  </si>
  <si>
    <t>24AC03</t>
  </si>
  <si>
    <t>24CA003.CV</t>
  </si>
  <si>
    <t>24AC04</t>
  </si>
  <si>
    <t>24CA004.CV</t>
  </si>
  <si>
    <t>24AI008A1</t>
  </si>
  <si>
    <t>TOLUENE IN BENZENE</t>
  </si>
  <si>
    <t>24AI008A_1.PV</t>
  </si>
  <si>
    <t>24AI008A2</t>
  </si>
  <si>
    <t>NONE AROMATIC   IN BENZENE</t>
  </si>
  <si>
    <t>24AI008A_2.PV</t>
  </si>
  <si>
    <t>24AI008B1</t>
  </si>
  <si>
    <t>PARA XYLENE IN 24T11 FEED</t>
  </si>
  <si>
    <t>24AI008B_1.PV</t>
  </si>
  <si>
    <t>24AI008B2</t>
  </si>
  <si>
    <t>META XYLENE IN 24T11 FEED</t>
  </si>
  <si>
    <t>24AI008B_2.PV</t>
  </si>
  <si>
    <t>24AI012</t>
  </si>
  <si>
    <t>FUEL GAS ANALYZER (BTU/FT3 LHV)</t>
  </si>
  <si>
    <t>24AI012.PV</t>
  </si>
  <si>
    <t>24AY03</t>
  </si>
  <si>
    <t>OX PURITY</t>
  </si>
  <si>
    <t>24AY003.RO01</t>
  </si>
  <si>
    <t>24BZRD</t>
  </si>
  <si>
    <t>24BENRD.DEN20</t>
  </si>
  <si>
    <t>24CQ100</t>
  </si>
  <si>
    <t>WATCH   DOG     TIMER   240100</t>
  </si>
  <si>
    <t>24CQ100.OP</t>
  </si>
  <si>
    <t>24CQ200</t>
  </si>
  <si>
    <t>WATCH   DOG     TIMER   240200</t>
  </si>
  <si>
    <t>24CQ200.OP</t>
  </si>
  <si>
    <t>24CQ300</t>
  </si>
  <si>
    <t>WATCH   DOG     TIMER   240300</t>
  </si>
  <si>
    <t>24CQ300.OP</t>
  </si>
  <si>
    <t>24CQ400</t>
  </si>
  <si>
    <t>WATCH   DOG     TIMER   240400</t>
  </si>
  <si>
    <t>24CQ400.OP</t>
  </si>
  <si>
    <t>24CQ500</t>
  </si>
  <si>
    <t>WATCH   DOG     TIMER   240500</t>
  </si>
  <si>
    <t>24CQ500.OP</t>
  </si>
  <si>
    <t>24CWRF-ET</t>
  </si>
  <si>
    <t>24CWRFET.CV</t>
  </si>
  <si>
    <t>24DM001</t>
  </si>
  <si>
    <t>24MD001.MV</t>
  </si>
  <si>
    <t>24F002</t>
  </si>
  <si>
    <t>PREFRACT FEED   TO      2-4-E04</t>
  </si>
  <si>
    <t>24FC002.PV</t>
  </si>
  <si>
    <t>24F003</t>
  </si>
  <si>
    <t>PREFRACT BOTTOMS TO STORAGE</t>
  </si>
  <si>
    <t>24FC003.PV</t>
  </si>
  <si>
    <t>24F004</t>
  </si>
  <si>
    <t>PREFRACT SIDE   CUT DRAW</t>
  </si>
  <si>
    <t>24FC004.PV</t>
  </si>
  <si>
    <t>24F005</t>
  </si>
  <si>
    <t>PREFRACT REFLUX TO      2-4-T01</t>
  </si>
  <si>
    <t>24FC005.PV</t>
  </si>
  <si>
    <t>24F006</t>
  </si>
  <si>
    <t>24E23 HEAT MEDIUM FLOW</t>
  </si>
  <si>
    <t>24FC006.PV</t>
  </si>
  <si>
    <t>24F007</t>
  </si>
  <si>
    <t>PREFACT O/H PRODUCT</t>
  </si>
  <si>
    <t>24FC007.PV</t>
  </si>
  <si>
    <t>24F008</t>
  </si>
  <si>
    <t>EXTRACT. FEED TO T-03</t>
  </si>
  <si>
    <t>24FC008.PV</t>
  </si>
  <si>
    <t>24F009</t>
  </si>
  <si>
    <t>RAFFNATE TO     WASH</t>
  </si>
  <si>
    <t>24FC009.PV</t>
  </si>
  <si>
    <t>24F010</t>
  </si>
  <si>
    <t>LEAN    SOLVENT TO T-03</t>
  </si>
  <si>
    <t>24FC010.PV</t>
  </si>
  <si>
    <t>24F011</t>
  </si>
  <si>
    <t>RICH SOL TO T-04 FROM   E-07A</t>
  </si>
  <si>
    <t>24FC011.PV</t>
  </si>
  <si>
    <t>24F012</t>
  </si>
  <si>
    <t>RICH SOL TO T-04 FROM   E-07B</t>
  </si>
  <si>
    <t>24FC012.PV</t>
  </si>
  <si>
    <t>24F013</t>
  </si>
  <si>
    <t>STRPPING WATER  TO      2-4-E07A</t>
  </si>
  <si>
    <t>24FC013.PV</t>
  </si>
  <si>
    <t>24F014</t>
  </si>
  <si>
    <t>STRPPING WATER  TO      2-4-E07B</t>
  </si>
  <si>
    <t>24FC014.PV</t>
  </si>
  <si>
    <t>24F016</t>
  </si>
  <si>
    <t>STRIPPNG VAPOUR OUT        X1000</t>
  </si>
  <si>
    <t>21TC007.SP</t>
  </si>
  <si>
    <t>24F017</t>
  </si>
  <si>
    <t>1300 KPA STM TO 2-4-E10    X1000</t>
  </si>
  <si>
    <t>24FC017.PV</t>
  </si>
  <si>
    <t>24F020</t>
  </si>
  <si>
    <t>EXTRACTR RECYCLE (TO    BTTMS)</t>
  </si>
  <si>
    <t>24FC020.PV</t>
  </si>
  <si>
    <t>24F021</t>
  </si>
  <si>
    <t>EXTRACT TO WASH TOWER</t>
  </si>
  <si>
    <t>24FC021.PV</t>
  </si>
  <si>
    <t>24F024</t>
  </si>
  <si>
    <t>RAFFNATE TO     PRODUCT</t>
  </si>
  <si>
    <t>24FI024.PV</t>
  </si>
  <si>
    <t>24F027</t>
  </si>
  <si>
    <t>WASH    TOWER   (WATER  FEED)</t>
  </si>
  <si>
    <t>24FC027.PV</t>
  </si>
  <si>
    <t>24F029</t>
  </si>
  <si>
    <t>WET     SOLVENT RERUN   TO E-05</t>
  </si>
  <si>
    <t>24FC029.PV</t>
  </si>
  <si>
    <t>24F030</t>
  </si>
  <si>
    <t>WATER   STILL   REFLUX</t>
  </si>
  <si>
    <t>24FC030.PV</t>
  </si>
  <si>
    <t>24F031</t>
  </si>
  <si>
    <t>GLYCOL  PRODUCT</t>
  </si>
  <si>
    <t>24FI031.PV</t>
  </si>
  <si>
    <t>24F033</t>
  </si>
  <si>
    <t>STEAM TO 2-4-E15           X1000</t>
  </si>
  <si>
    <t>24FC033.PV</t>
  </si>
  <si>
    <t>24F035</t>
  </si>
  <si>
    <t>CLAY    TOWER   FEED</t>
  </si>
  <si>
    <t>24FC035.PV</t>
  </si>
  <si>
    <t>24F036</t>
  </si>
  <si>
    <t>STEAM TO 2-4-E12           X1000</t>
  </si>
  <si>
    <t>24FI036.PV</t>
  </si>
  <si>
    <t>24F037</t>
  </si>
  <si>
    <t>BENZENE TOWER   REFLUX</t>
  </si>
  <si>
    <t>24FC037.PV</t>
  </si>
  <si>
    <t>24F038</t>
  </si>
  <si>
    <t>BENZENE TOWER   BOTTOMS</t>
  </si>
  <si>
    <t>24FC038.PV</t>
  </si>
  <si>
    <t>24F040</t>
  </si>
  <si>
    <t>BENZENE PRODUCT</t>
  </si>
  <si>
    <t>24FC040.PV</t>
  </si>
  <si>
    <t>24F042</t>
  </si>
  <si>
    <t>TOLUENE TOWER   REFLUX</t>
  </si>
  <si>
    <t>24FC042.PV</t>
  </si>
  <si>
    <t>24F043</t>
  </si>
  <si>
    <t>TOLUENE TOWER   BOTTOMS</t>
  </si>
  <si>
    <t>24FC043.PV</t>
  </si>
  <si>
    <t>24F044</t>
  </si>
  <si>
    <t>450#    STEAM TO 2-4-E18  X1000</t>
  </si>
  <si>
    <t>24FC044.PV</t>
  </si>
  <si>
    <t>24F045</t>
  </si>
  <si>
    <t>TOLUENE PRODUCT</t>
  </si>
  <si>
    <t>24FI045.PV</t>
  </si>
  <si>
    <t>24F056</t>
  </si>
  <si>
    <t>FUEL    GAS TO  2-4-H01 SOUTH</t>
  </si>
  <si>
    <t>24FI056.PV</t>
  </si>
  <si>
    <t>24F057</t>
  </si>
  <si>
    <t>FUEL   G_x0008_ GAS TO  2-4-H01 NORTH</t>
  </si>
  <si>
    <t>24FI057.PV</t>
  </si>
  <si>
    <t>24F067</t>
  </si>
  <si>
    <t>PASS ONE CHARGE TO      2-4-H-01</t>
  </si>
  <si>
    <t>24FC067.PV</t>
  </si>
  <si>
    <t>24F068</t>
  </si>
  <si>
    <t>PASS TWO CHARGE TO      2-4-H-01</t>
  </si>
  <si>
    <t>24FC068.PV</t>
  </si>
  <si>
    <t>24F069</t>
  </si>
  <si>
    <t>PASS    THREE   CHG TO  2-4-H01</t>
  </si>
  <si>
    <t>24FC069.PV</t>
  </si>
  <si>
    <t>24F070</t>
  </si>
  <si>
    <t>PASS    FOUR    CHG TO  2-4-H01</t>
  </si>
  <si>
    <t>24FC070.PV</t>
  </si>
  <si>
    <t>24F083</t>
  </si>
  <si>
    <t>2-4-V19 CONDENSATE         X1000</t>
  </si>
  <si>
    <t>24FI083.PV</t>
  </si>
  <si>
    <t>24F084A</t>
  </si>
  <si>
    <t>275 KPA STM.TO BTX 2-4-V19 X1000</t>
  </si>
  <si>
    <t>24FI084A.PV</t>
  </si>
  <si>
    <t>24F084B</t>
  </si>
  <si>
    <t>275 KPA STM.FR BTX 2-4-V19 X1000</t>
  </si>
  <si>
    <t>24FI084B.PV</t>
  </si>
  <si>
    <t>24F085</t>
  </si>
  <si>
    <t>EXTRACT. RECYCLE (TO    FEED)</t>
  </si>
  <si>
    <t>24FC085.PV</t>
  </si>
  <si>
    <t>24F090</t>
  </si>
  <si>
    <t>MIXED   XYLENE  TOWER    FEED</t>
  </si>
  <si>
    <t>24FC090.PV</t>
  </si>
  <si>
    <t>24F091</t>
  </si>
  <si>
    <t>185#    STEAM TO 2-4-E16  X1000</t>
  </si>
  <si>
    <t>24FC039.PV</t>
  </si>
  <si>
    <t>24F092</t>
  </si>
  <si>
    <t>M-X     TOWER   REFLUX</t>
  </si>
  <si>
    <t>24FC092.PV</t>
  </si>
  <si>
    <t>24F093</t>
  </si>
  <si>
    <t>PASS    ONE     FLOW TO 2-4-H02</t>
  </si>
  <si>
    <t>24FC093.PV</t>
  </si>
  <si>
    <t>24F094</t>
  </si>
  <si>
    <t>PASS    TWO     FLOW TO 2-4-H02</t>
  </si>
  <si>
    <t>24FC094.PV</t>
  </si>
  <si>
    <t>24F095</t>
  </si>
  <si>
    <t>PASS    THREE   FLOW TO 2-4-H02</t>
  </si>
  <si>
    <t>24FC095.PV</t>
  </si>
  <si>
    <t>24F096</t>
  </si>
  <si>
    <t>PASS    FOUR    FLOW TO 2-4-H02</t>
  </si>
  <si>
    <t>24FC096.PV</t>
  </si>
  <si>
    <t>24F099</t>
  </si>
  <si>
    <t>FUEL    GAS TO  2-4-H02 EAST</t>
  </si>
  <si>
    <t>24FI099.PV</t>
  </si>
  <si>
    <t>24F100</t>
  </si>
  <si>
    <t>FUEL    GAS TO  2-4-H02 WEST</t>
  </si>
  <si>
    <t>24FI100.PV</t>
  </si>
  <si>
    <t>24F101</t>
  </si>
  <si>
    <t>MIXED   XYLENE  PRODUCT</t>
  </si>
  <si>
    <t>24FC101.PV</t>
  </si>
  <si>
    <t>24F102</t>
  </si>
  <si>
    <t>HEAVY AROMATIC PRODUCT</t>
  </si>
  <si>
    <t>24FC102.PV</t>
  </si>
  <si>
    <t>24F103</t>
  </si>
  <si>
    <t>3100 KPA STM TO 2-4-E25    X1000</t>
  </si>
  <si>
    <t>24FC103.PV</t>
  </si>
  <si>
    <t>24F104</t>
  </si>
  <si>
    <t>O-X     TOWER   REFLUX</t>
  </si>
  <si>
    <t>24FC104.PV</t>
  </si>
  <si>
    <t>24F105</t>
  </si>
  <si>
    <t>O-X     PRODUCT</t>
  </si>
  <si>
    <t>24FC105.PV</t>
  </si>
  <si>
    <t>24F106</t>
  </si>
  <si>
    <t>CONDEN. TO E-20A           X1000</t>
  </si>
  <si>
    <t>24FC106.PV</t>
  </si>
  <si>
    <t>24F107</t>
  </si>
  <si>
    <t>STEAM   FROM    2-4-E-20   X1000</t>
  </si>
  <si>
    <t>24FI107.PV</t>
  </si>
  <si>
    <t>24F108</t>
  </si>
  <si>
    <t>M-X     BOTTOMS FEED TO 2-4-T11</t>
  </si>
  <si>
    <t>24FC108.PV</t>
  </si>
  <si>
    <t>24F109</t>
  </si>
  <si>
    <t>24F109, 3100KPA STM TO 1300KPA H</t>
  </si>
  <si>
    <t>24FI109.PV</t>
  </si>
  <si>
    <t>24F111</t>
  </si>
  <si>
    <t>CONDEN. TO E-20B           X1000</t>
  </si>
  <si>
    <t>24FC111.PV</t>
  </si>
  <si>
    <t>24F128</t>
  </si>
  <si>
    <t>BENZENE DRAG FLOW</t>
  </si>
  <si>
    <t>24FC128.PV</t>
  </si>
  <si>
    <t>24FC01</t>
  </si>
  <si>
    <t>24CF001.CV</t>
  </si>
  <si>
    <t>24FC02</t>
  </si>
  <si>
    <t>24CF002.CV</t>
  </si>
  <si>
    <t>24FC03</t>
  </si>
  <si>
    <t>24CF003.CV</t>
  </si>
  <si>
    <t>24FC05</t>
  </si>
  <si>
    <t>24CF005.CV</t>
  </si>
  <si>
    <t>24FC06</t>
  </si>
  <si>
    <t>24CF006.CV</t>
  </si>
  <si>
    <t>24FC07</t>
  </si>
  <si>
    <t>24CF007.CV</t>
  </si>
  <si>
    <t>24FC08</t>
  </si>
  <si>
    <t>24CF008.CV</t>
  </si>
  <si>
    <t>24FC09</t>
  </si>
  <si>
    <t>24CF009.CV</t>
  </si>
  <si>
    <t>24FC10</t>
  </si>
  <si>
    <t>24CF010.CV</t>
  </si>
  <si>
    <t>24FC11</t>
  </si>
  <si>
    <t>24CF011.CV</t>
  </si>
  <si>
    <t>24FC12</t>
  </si>
  <si>
    <t>24CF012.CV</t>
  </si>
  <si>
    <t>24FC13</t>
  </si>
  <si>
    <t>24CF013.CV</t>
  </si>
  <si>
    <t>24FC14</t>
  </si>
  <si>
    <t>24CF014.CV</t>
  </si>
  <si>
    <t>24FC15</t>
  </si>
  <si>
    <t>24CF015.CV</t>
  </si>
  <si>
    <t>24FC16</t>
  </si>
  <si>
    <t>24CF016.CV</t>
  </si>
  <si>
    <t>24FC17</t>
  </si>
  <si>
    <t>24CF017.CV</t>
  </si>
  <si>
    <t>24FC19</t>
  </si>
  <si>
    <t>24CF019.CV</t>
  </si>
  <si>
    <t>24FC22</t>
  </si>
  <si>
    <t>24CF022.CV</t>
  </si>
  <si>
    <t>24FC23</t>
  </si>
  <si>
    <t>24CF023.CV</t>
  </si>
  <si>
    <t>24FC24</t>
  </si>
  <si>
    <t>24CF024.CV</t>
  </si>
  <si>
    <t>24FC25</t>
  </si>
  <si>
    <t>24CF025.CV</t>
  </si>
  <si>
    <t>24FC26</t>
  </si>
  <si>
    <t>24CF026.CV</t>
  </si>
  <si>
    <t>24FC27</t>
  </si>
  <si>
    <t>24CF027.CV</t>
  </si>
  <si>
    <t>24FC28</t>
  </si>
  <si>
    <t>24CF028.CV</t>
  </si>
  <si>
    <t>24FC29</t>
  </si>
  <si>
    <t>24FC029.CV</t>
  </si>
  <si>
    <t>24FC30</t>
  </si>
  <si>
    <t>24CF030.CV</t>
  </si>
  <si>
    <t>24FGAS</t>
  </si>
  <si>
    <t>24FUGINH001.C1</t>
  </si>
  <si>
    <t>24FUGINH001.C2</t>
  </si>
  <si>
    <t>24FUGINH001.C3</t>
  </si>
  <si>
    <t>24FUGINH001.C3A</t>
  </si>
  <si>
    <t>24FUGINH001.C4A</t>
  </si>
  <si>
    <t>24FUGINH001.C5A</t>
  </si>
  <si>
    <t>24FUGINH001.C6B</t>
  </si>
  <si>
    <t>24FUGINH001.CO</t>
  </si>
  <si>
    <t>24FUGINH001.CO2</t>
  </si>
  <si>
    <t>24FUGINH001.H2</t>
  </si>
  <si>
    <t>24FUGINH001.IC4</t>
  </si>
  <si>
    <t>24FUGINH001.IC5</t>
  </si>
  <si>
    <t>24FUGINH001.N2</t>
  </si>
  <si>
    <t>24FUGINH001.NC4</t>
  </si>
  <si>
    <t>24FUGINH001.NC5</t>
  </si>
  <si>
    <t>24FUGINH001.O2</t>
  </si>
  <si>
    <t>24HC001</t>
  </si>
  <si>
    <t>24CH001.CV</t>
  </si>
  <si>
    <t>24L012</t>
  </si>
  <si>
    <t>V-07    LEVEL</t>
  </si>
  <si>
    <t>24LI012.PV</t>
  </si>
  <si>
    <t>24L013</t>
  </si>
  <si>
    <t>V-04    LEVEL</t>
  </si>
  <si>
    <t>24LC013.PV</t>
  </si>
  <si>
    <t>24L017</t>
  </si>
  <si>
    <t>V-05    LEVEL</t>
  </si>
  <si>
    <t>24LC017.PV</t>
  </si>
  <si>
    <t>24L037</t>
  </si>
  <si>
    <t>BENZENE BOTTOMS LEVEL</t>
  </si>
  <si>
    <t>24LC037.PV</t>
  </si>
  <si>
    <t>24L039</t>
  </si>
  <si>
    <t>BENZENE OVERHEAD ACCUM.</t>
  </si>
  <si>
    <t>24LC039.PV</t>
  </si>
  <si>
    <t>24L043</t>
  </si>
  <si>
    <t>TOLUENE BOTTOMS LEVEL</t>
  </si>
  <si>
    <t>24LC043.PV</t>
  </si>
  <si>
    <t>24L046</t>
  </si>
  <si>
    <t>TOLUENE OVERHEAD ACCUM.</t>
  </si>
  <si>
    <t>24LC046.PV</t>
  </si>
  <si>
    <t>24L051</t>
  </si>
  <si>
    <t>2-4-TK3 EXTRACT LEVEL</t>
  </si>
  <si>
    <t>24LI051.PV</t>
  </si>
  <si>
    <t>24L060</t>
  </si>
  <si>
    <t>M-X     TOWER   BOTTOMS</t>
  </si>
  <si>
    <t>24LC060.PV</t>
  </si>
  <si>
    <t>24L061</t>
  </si>
  <si>
    <t>M-X     CONDEN. E20A</t>
  </si>
  <si>
    <t>24LC061.PV</t>
  </si>
  <si>
    <t>24L062</t>
  </si>
  <si>
    <t>M-X     OVERHEAD ACCUM.</t>
  </si>
  <si>
    <t>24LC062.PV</t>
  </si>
  <si>
    <t>24L063</t>
  </si>
  <si>
    <t>O-X     REBOILER E-25</t>
  </si>
  <si>
    <t>24LC063.PV</t>
  </si>
  <si>
    <t>24L064</t>
  </si>
  <si>
    <t>O-X     OVERHEAD ACCUM.</t>
  </si>
  <si>
    <t>24LC064.PV</t>
  </si>
  <si>
    <t>24L071</t>
  </si>
  <si>
    <t>M-X     CONDEN. E20B</t>
  </si>
  <si>
    <t>24LC071.PV</t>
  </si>
  <si>
    <t>24MXRD</t>
  </si>
  <si>
    <t>24XYMRD.DEN20</t>
  </si>
  <si>
    <t>24OXBM</t>
  </si>
  <si>
    <t>24ARMBMOXTW.DEN20</t>
  </si>
  <si>
    <t>24OXO-OXLB</t>
  </si>
  <si>
    <t>24COXLB.CV</t>
  </si>
  <si>
    <t>24P002</t>
  </si>
  <si>
    <t>PREFRAC OVERHEAD</t>
  </si>
  <si>
    <t>24PC002.PV</t>
  </si>
  <si>
    <t>24P003</t>
  </si>
  <si>
    <t>EXTRACTOR TOP</t>
  </si>
  <si>
    <t>24PC003.PV</t>
  </si>
  <si>
    <t>24P006</t>
  </si>
  <si>
    <t>SOLVENT STRIPPER BTTMS. 2-4-T04</t>
  </si>
  <si>
    <t>24PI006.PV</t>
  </si>
  <si>
    <t>24P007</t>
  </si>
  <si>
    <t>STRIPPER   HP   FLASH</t>
  </si>
  <si>
    <t>24PC007.PV</t>
  </si>
  <si>
    <t>24P015</t>
  </si>
  <si>
    <t>BENZENE OVHD A/C 2-4-V13</t>
  </si>
  <si>
    <t>24PC015.PV</t>
  </si>
  <si>
    <t>24P016</t>
  </si>
  <si>
    <t>TOULENE OVHD A/C 24-V-14</t>
  </si>
  <si>
    <t>24PC016.PV</t>
  </si>
  <si>
    <t>24P019</t>
  </si>
  <si>
    <t>FUEL    GAS TO  2-4-H01 NORTH</t>
  </si>
  <si>
    <t>24PC019.PV</t>
  </si>
  <si>
    <t>24P026</t>
  </si>
  <si>
    <t>24PC026.PV</t>
  </si>
  <si>
    <t>24P041</t>
  </si>
  <si>
    <t>FUEL GAS TO 2-4-H02 EAST</t>
  </si>
  <si>
    <t>24PT041.PV</t>
  </si>
  <si>
    <t>24P042</t>
  </si>
  <si>
    <t>FUEL GAS TO 2-4-H02 WEST</t>
  </si>
  <si>
    <t>24PT042.PV</t>
  </si>
  <si>
    <t>24P050</t>
  </si>
  <si>
    <t>O-X     ACCUM.</t>
  </si>
  <si>
    <t>24PC050.PV</t>
  </si>
  <si>
    <t>24P051</t>
  </si>
  <si>
    <t>M-X T10 OVERHEAD</t>
  </si>
  <si>
    <t>24PI051.PV</t>
  </si>
  <si>
    <t>24P052</t>
  </si>
  <si>
    <t>M-X     ACCUM.</t>
  </si>
  <si>
    <t>24PC052.PV</t>
  </si>
  <si>
    <t>24P057</t>
  </si>
  <si>
    <t>O-X T11 OVERHEAD</t>
  </si>
  <si>
    <t>24PI057.PV</t>
  </si>
  <si>
    <t>24P058</t>
  </si>
  <si>
    <t>24T03 EXTRACTOR BTTM PRES</t>
  </si>
  <si>
    <t>24PI058.PV</t>
  </si>
  <si>
    <t>24P060</t>
  </si>
  <si>
    <t>STRIPPING SECTION TOP PRESSURE</t>
  </si>
  <si>
    <t>24PI060.PV</t>
  </si>
  <si>
    <t>24PC01</t>
  </si>
  <si>
    <t>24CP001.CV</t>
  </si>
  <si>
    <t>24PD061</t>
  </si>
  <si>
    <t>BLIND DECK DEFFERNTIAL PRESSURE</t>
  </si>
  <si>
    <t>24PDI061.PV</t>
  </si>
  <si>
    <t>24PFBM</t>
  </si>
  <si>
    <t>24ARMBMPFTW.DEN15</t>
  </si>
  <si>
    <t>24PFIN</t>
  </si>
  <si>
    <t>24ARMINPFTW.DEN15</t>
  </si>
  <si>
    <t>24RC01</t>
  </si>
  <si>
    <t>24CR001.CV</t>
  </si>
  <si>
    <t>24RC02</t>
  </si>
  <si>
    <t>24CR002.CV</t>
  </si>
  <si>
    <t>24RC04</t>
  </si>
  <si>
    <t>24CR004.CV</t>
  </si>
  <si>
    <t>24RC05</t>
  </si>
  <si>
    <t>24CR005.CV</t>
  </si>
  <si>
    <t>24RC06</t>
  </si>
  <si>
    <t>24CR006.CV</t>
  </si>
  <si>
    <t>24RC07</t>
  </si>
  <si>
    <t>24CR007.CV</t>
  </si>
  <si>
    <t>24RC08</t>
  </si>
  <si>
    <t>24CR008.CV</t>
  </si>
  <si>
    <t>24RC09</t>
  </si>
  <si>
    <t>24CR009.CV</t>
  </si>
  <si>
    <t>24RC10</t>
  </si>
  <si>
    <t>24CR010.CV</t>
  </si>
  <si>
    <t>24RC15</t>
  </si>
  <si>
    <t>24CR015.CV</t>
  </si>
  <si>
    <t>24RC16</t>
  </si>
  <si>
    <t>24CR016.CV</t>
  </si>
  <si>
    <t>24RC19</t>
  </si>
  <si>
    <t>24CR019.CV</t>
  </si>
  <si>
    <t>24RC20</t>
  </si>
  <si>
    <t>24CR020.CV</t>
  </si>
  <si>
    <t>24RC21</t>
  </si>
  <si>
    <t>24CR021.CV</t>
  </si>
  <si>
    <t>24RC22</t>
  </si>
  <si>
    <t>24CR022.CV</t>
  </si>
  <si>
    <t>24RC23</t>
  </si>
  <si>
    <t>24CR023.CV</t>
  </si>
  <si>
    <t>24RC24</t>
  </si>
  <si>
    <t>24CR024.CV</t>
  </si>
  <si>
    <t>24RC25</t>
  </si>
  <si>
    <t>24CR025.CV</t>
  </si>
  <si>
    <t>24RC26</t>
  </si>
  <si>
    <t>24CR026.CV</t>
  </si>
  <si>
    <t>24RC27</t>
  </si>
  <si>
    <t>24CR027.CV</t>
  </si>
  <si>
    <t>24RC28</t>
  </si>
  <si>
    <t>24CR028.CV</t>
  </si>
  <si>
    <t>24T004</t>
  </si>
  <si>
    <t>OX FROM 24E36</t>
  </si>
  <si>
    <t>24TI004.PV</t>
  </si>
  <si>
    <t>24T007</t>
  </si>
  <si>
    <t>CLAY TOWER FEED TEMP</t>
  </si>
  <si>
    <t>24TC007.PV</t>
  </si>
  <si>
    <t>24T1-02</t>
  </si>
  <si>
    <t>PREFRAC SIDE CUT DRAW</t>
  </si>
  <si>
    <t>24TI202.PV</t>
  </si>
  <si>
    <t>24T1-03</t>
  </si>
  <si>
    <t>FEED TO 2-4-T02 (2-4-H01 OUTLET)</t>
  </si>
  <si>
    <t>24TI203.PV</t>
  </si>
  <si>
    <t>24T1-04</t>
  </si>
  <si>
    <t>2-4-H01 RADIANT A PASS 2 OUTLET</t>
  </si>
  <si>
    <t>24TI204.PV</t>
  </si>
  <si>
    <t>24T1-10</t>
  </si>
  <si>
    <t>PREFRAC ACCUM.  H.O.C.  OVERHEAD</t>
  </si>
  <si>
    <t>24TI210.PV</t>
  </si>
  <si>
    <t>24T1-11</t>
  </si>
  <si>
    <t>2-4-H01 RADIANT B PASS 3 OUTLET</t>
  </si>
  <si>
    <t>24TI211.PV</t>
  </si>
  <si>
    <t>24T1-12</t>
  </si>
  <si>
    <t>2-4-H01 RADIANT B PASS 4 OUTLET</t>
  </si>
  <si>
    <t>24TI212.PV</t>
  </si>
  <si>
    <t>24T1-13</t>
  </si>
  <si>
    <t>2-4-H02 STACK   TEMP</t>
  </si>
  <si>
    <t>24TI330.PV</t>
  </si>
  <si>
    <t>24T1-16</t>
  </si>
  <si>
    <t>2-4-H02 RADIANT 4 PASS  OUTLET</t>
  </si>
  <si>
    <t>24TI336.PV</t>
  </si>
  <si>
    <t>24T1-17</t>
  </si>
  <si>
    <t>2-4-H02 RADIANT 3 PASS  OUTLET</t>
  </si>
  <si>
    <t>24TI337.PV</t>
  </si>
  <si>
    <t>24T1-18</t>
  </si>
  <si>
    <t>2-4-H02 RADIANT 1 PASS  OUTLET</t>
  </si>
  <si>
    <t>24TI339.PV</t>
  </si>
  <si>
    <t>24T1-19</t>
  </si>
  <si>
    <t>2-4-H02 RADIANT 2 PASS  OUTLET</t>
  </si>
  <si>
    <t>24TI340.PV</t>
  </si>
  <si>
    <t>24T152</t>
  </si>
  <si>
    <t>M-X     OVERHEAD</t>
  </si>
  <si>
    <t>24TI346.PV</t>
  </si>
  <si>
    <t>24T153</t>
  </si>
  <si>
    <t>2-4-E20A T/S OUT</t>
  </si>
  <si>
    <t>24TI347.PV</t>
  </si>
  <si>
    <t>24T163</t>
  </si>
  <si>
    <t>2-4-E03B INLET  BTX FEED</t>
  </si>
  <si>
    <t>24TI256.PV</t>
  </si>
  <si>
    <t>24T165</t>
  </si>
  <si>
    <t>24TI165.MV</t>
  </si>
  <si>
    <t>24T166</t>
  </si>
  <si>
    <t>2-4-E03 OUTLET  H.O.C.  BOTTOMS</t>
  </si>
  <si>
    <t>24TI219.PV</t>
  </si>
  <si>
    <t>24T167</t>
  </si>
  <si>
    <t>2-4-E01 PRODUCT IN</t>
  </si>
  <si>
    <t>24TI044.PV</t>
  </si>
  <si>
    <t>24T168</t>
  </si>
  <si>
    <t>2-4-E30 PRODUCT OUT</t>
  </si>
  <si>
    <t>24TI289.PV</t>
  </si>
  <si>
    <t>24T170</t>
  </si>
  <si>
    <t>EXTRACT FEED</t>
  </si>
  <si>
    <t>24TI047.PV</t>
  </si>
  <si>
    <t>24T171</t>
  </si>
  <si>
    <t>EXTRACT         TRAY 78</t>
  </si>
  <si>
    <t>24TI048.PV</t>
  </si>
  <si>
    <t>24T172</t>
  </si>
  <si>
    <t>24T03 TRAY 48 TEMP</t>
  </si>
  <si>
    <t>24TI049.PV</t>
  </si>
  <si>
    <t>24T173</t>
  </si>
  <si>
    <t>24T03 TRAY 10 TEMP</t>
  </si>
  <si>
    <t>24TI050.PV</t>
  </si>
  <si>
    <t>24T174</t>
  </si>
  <si>
    <t>RICH    SOLVENT DRAW</t>
  </si>
  <si>
    <t>24TI051.PV</t>
  </si>
  <si>
    <t>24T175</t>
  </si>
  <si>
    <t>LEAN    SOLVENT R/V 15</t>
  </si>
  <si>
    <t>24TI052.PV</t>
  </si>
  <si>
    <t>24T176</t>
  </si>
  <si>
    <t>STRIPING WATER   TO T04   E07A</t>
  </si>
  <si>
    <t>24TI053.PV</t>
  </si>
  <si>
    <t>24T177</t>
  </si>
  <si>
    <t>STRIPING WATER   TO T04   E07B</t>
  </si>
  <si>
    <t>24TI054.PV</t>
  </si>
  <si>
    <t>24T178</t>
  </si>
  <si>
    <t>RICH    SOLVENT FD E07A OUT</t>
  </si>
  <si>
    <t>24TI055.PV</t>
  </si>
  <si>
    <t>24T179</t>
  </si>
  <si>
    <t>RICH    SOLVENT FD E07B OUT</t>
  </si>
  <si>
    <t>24TI056.PV</t>
  </si>
  <si>
    <t>24T180</t>
  </si>
  <si>
    <t>STRIPPING WATER  EX.V06</t>
  </si>
  <si>
    <t>24TI057.PV</t>
  </si>
  <si>
    <t>24T182</t>
  </si>
  <si>
    <t>H.P.    FLASH   VAPOUR</t>
  </si>
  <si>
    <t>24TI060.PV</t>
  </si>
  <si>
    <t>24T183</t>
  </si>
  <si>
    <t>STRIPPNG SECT.  TOP</t>
  </si>
  <si>
    <t>24TI061.PV</t>
  </si>
  <si>
    <t>24T184</t>
  </si>
  <si>
    <t>SIDE CUT DRAW</t>
  </si>
  <si>
    <t>24TI062.PV</t>
  </si>
  <si>
    <t>24T185</t>
  </si>
  <si>
    <t>2-4-T04 TRAY 10</t>
  </si>
  <si>
    <t>24TI063.PV</t>
  </si>
  <si>
    <t>24T186</t>
  </si>
  <si>
    <t>2-4-T04 TRAY 4</t>
  </si>
  <si>
    <t>24TI064.PV</t>
  </si>
  <si>
    <t>24T187</t>
  </si>
  <si>
    <t>2-4-T04 TRAY 21</t>
  </si>
  <si>
    <t>24TI065.PV</t>
  </si>
  <si>
    <t>24T188</t>
  </si>
  <si>
    <t>E-10    VAPOUR  RETURN  TO T-04</t>
  </si>
  <si>
    <t>24TI066.PV</t>
  </si>
  <si>
    <t>24T189</t>
  </si>
  <si>
    <t>LEAN    SOLVENT P07A</t>
  </si>
  <si>
    <t>24TI068.PV</t>
  </si>
  <si>
    <t>24T190</t>
  </si>
  <si>
    <t>LEAN    SOLVENT P07B</t>
  </si>
  <si>
    <t>24TI069.PV</t>
  </si>
  <si>
    <t>24T191</t>
  </si>
  <si>
    <t>COND.   OUT</t>
  </si>
  <si>
    <t>24TI348.PV</t>
  </si>
  <si>
    <t>24T192</t>
  </si>
  <si>
    <t>O-X     VAPOUR  FROM    E25</t>
  </si>
  <si>
    <t>24TI350.PV</t>
  </si>
  <si>
    <t>24T193</t>
  </si>
  <si>
    <t>O-X     REFLUX  AND     PRODUCT</t>
  </si>
  <si>
    <t>24TI360.PV</t>
  </si>
  <si>
    <t>24T194</t>
  </si>
  <si>
    <t>O-X     OVERHEAD</t>
  </si>
  <si>
    <t>24TI361.PV</t>
  </si>
  <si>
    <t>24T195</t>
  </si>
  <si>
    <t>MIXED   XYLENE  TO      STORAGE</t>
  </si>
  <si>
    <t>24TI364.PV</t>
  </si>
  <si>
    <t>24T197</t>
  </si>
  <si>
    <t>EXTRACT TO E-04 FRM T-04</t>
  </si>
  <si>
    <t>24TI087.PV</t>
  </si>
  <si>
    <t>24T198</t>
  </si>
  <si>
    <t>2-4-E30 INLET   HEAVY   AROMATIC</t>
  </si>
  <si>
    <t>24TI365.PV</t>
  </si>
  <si>
    <t>24T201</t>
  </si>
  <si>
    <t>2-4-E56 OUTLET</t>
  </si>
  <si>
    <t>24TI363.PV</t>
  </si>
  <si>
    <t>24T202</t>
  </si>
  <si>
    <t>2-4-E23 TO      2-4-T-02</t>
  </si>
  <si>
    <t>24TI238.PV</t>
  </si>
  <si>
    <t>24T203</t>
  </si>
  <si>
    <t>2-4-T02 BOTTOMS</t>
  </si>
  <si>
    <t>24TI239.PV</t>
  </si>
  <si>
    <t>24T205</t>
  </si>
  <si>
    <t>2-4-E09 PRODUCT OUT</t>
  </si>
  <si>
    <t>24TI105.PV</t>
  </si>
  <si>
    <t>24T206</t>
  </si>
  <si>
    <t>RAFFNATE TO     STORAGE</t>
  </si>
  <si>
    <t>24TI107.PV</t>
  </si>
  <si>
    <t>24T206A</t>
  </si>
  <si>
    <t>2-4-H01 STACK   TEMP.</t>
  </si>
  <si>
    <t>24TI206.PV</t>
  </si>
  <si>
    <t>24T209</t>
  </si>
  <si>
    <t>WATER   STILL   FEED</t>
  </si>
  <si>
    <t>24TI111.PV</t>
  </si>
  <si>
    <t>24T210</t>
  </si>
  <si>
    <t>WATER   STILL   BOTTOMS</t>
  </si>
  <si>
    <t>24TI116.PV</t>
  </si>
  <si>
    <t>24T211</t>
  </si>
  <si>
    <t>24TI117.PV</t>
  </si>
  <si>
    <t>24T213</t>
  </si>
  <si>
    <t>WATER   STILL   OVERHEAD</t>
  </si>
  <si>
    <t>24TI119.PV</t>
  </si>
  <si>
    <t>24T214</t>
  </si>
  <si>
    <t>2-4-E13 PRODUCT OUT</t>
  </si>
  <si>
    <t>24TI120.PV</t>
  </si>
  <si>
    <t>24T215</t>
  </si>
  <si>
    <t>2-4-E24 PRODUCT OUT</t>
  </si>
  <si>
    <t>24TI122.PV</t>
  </si>
  <si>
    <t>24T218</t>
  </si>
  <si>
    <t>BENZENE TOWER   FEED</t>
  </si>
  <si>
    <t>24TI126.PV</t>
  </si>
  <si>
    <t>24T219</t>
  </si>
  <si>
    <t>24TI127.PV</t>
  </si>
  <si>
    <t>24T220</t>
  </si>
  <si>
    <t>BENZENE TOWER   OVERHEAD</t>
  </si>
  <si>
    <t>24TI129.PV</t>
  </si>
  <si>
    <t>24T221</t>
  </si>
  <si>
    <t>BENZENE TOWER   TRAY 47</t>
  </si>
  <si>
    <t>24TI130.PV</t>
  </si>
  <si>
    <t>24T222</t>
  </si>
  <si>
    <t>BENZENE TOWER   TRAY 42</t>
  </si>
  <si>
    <t>24TI135.PV</t>
  </si>
  <si>
    <t>24T223</t>
  </si>
  <si>
    <t>BENZENE TOWER   TRAY 37</t>
  </si>
  <si>
    <t>24TI134.PV</t>
  </si>
  <si>
    <t>24T224</t>
  </si>
  <si>
    <t>BENZENE TOWER   TRAY 32</t>
  </si>
  <si>
    <t>24TI141.PV</t>
  </si>
  <si>
    <t>24T225</t>
  </si>
  <si>
    <t>BENZENE TOWER   TRAY 18</t>
  </si>
  <si>
    <t>24TI133.PV</t>
  </si>
  <si>
    <t>24T226</t>
  </si>
  <si>
    <t>BENZENE TOWER   TRAY  5</t>
  </si>
  <si>
    <t>24TI143.PV</t>
  </si>
  <si>
    <t>24T227</t>
  </si>
  <si>
    <t>2-4-E16 VAPOUR</t>
  </si>
  <si>
    <t>24TI145.PV</t>
  </si>
  <si>
    <t>24T230</t>
  </si>
  <si>
    <t>2-4-E17 PRODUCT IN</t>
  </si>
  <si>
    <t>24TI153.PV</t>
  </si>
  <si>
    <t>24T232</t>
  </si>
  <si>
    <t>2-4-E17 OUTLET  BENZENE</t>
  </si>
  <si>
    <t>24TI155.PV</t>
  </si>
  <si>
    <t>24T233</t>
  </si>
  <si>
    <t>24TI156.PV</t>
  </si>
  <si>
    <t>24T235</t>
  </si>
  <si>
    <t>2-4-E50 BAY #2</t>
  </si>
  <si>
    <t>24TI261.PV</t>
  </si>
  <si>
    <t>24T240</t>
  </si>
  <si>
    <t>24TI043.PV</t>
  </si>
  <si>
    <t>24T241</t>
  </si>
  <si>
    <t>2-4-E18 VAPOUR  TOL TWR BOTTOMS</t>
  </si>
  <si>
    <t>24TI168.PV</t>
  </si>
  <si>
    <t>24T246</t>
  </si>
  <si>
    <t>2-4-E19 OUTLET  TOLUENE</t>
  </si>
  <si>
    <t>24TI181.PV</t>
  </si>
  <si>
    <t>24T247</t>
  </si>
  <si>
    <t>PREFRACT TOWER  TRAY 61</t>
  </si>
  <si>
    <t>24TI223.PV</t>
  </si>
  <si>
    <t>24T248</t>
  </si>
  <si>
    <t>24TI224.PV</t>
  </si>
  <si>
    <t>24T249</t>
  </si>
  <si>
    <t>PREFRACT BTMS.</t>
  </si>
  <si>
    <t>24TI234.PV</t>
  </si>
  <si>
    <t>24T386</t>
  </si>
  <si>
    <t>24TI296.PV</t>
  </si>
  <si>
    <t>24T393</t>
  </si>
  <si>
    <t>2-4-E51 OUT     TR-24015</t>
  </si>
  <si>
    <t>24TI084.PV</t>
  </si>
  <si>
    <t>24T394</t>
  </si>
  <si>
    <t>VAPOUR  FROM    E-51 TO V-04</t>
  </si>
  <si>
    <t>24TI067.PV</t>
  </si>
  <si>
    <t>24T399</t>
  </si>
  <si>
    <t>2-4-E52 OUTLET  TR24016</t>
  </si>
  <si>
    <t>24TI102.PV</t>
  </si>
  <si>
    <t>24T494</t>
  </si>
  <si>
    <t>BTX-V05 INLET TEMPERATURE</t>
  </si>
  <si>
    <t>24TC313.PV</t>
  </si>
  <si>
    <t>24T496</t>
  </si>
  <si>
    <t>24TI311.PV</t>
  </si>
  <si>
    <t>24T571</t>
  </si>
  <si>
    <t>TOLUENE TOWER   OVERHEAD</t>
  </si>
  <si>
    <t>24TI146.PV</t>
  </si>
  <si>
    <t>24T573</t>
  </si>
  <si>
    <t>TOLUENE TOWER   TRAY 35</t>
  </si>
  <si>
    <t>24TI160.PV</t>
  </si>
  <si>
    <t>24T574</t>
  </si>
  <si>
    <t>TOLUENE TOWER   TRAY 31</t>
  </si>
  <si>
    <t>24TI287.PV</t>
  </si>
  <si>
    <t>24T576</t>
  </si>
  <si>
    <t>TOLUENE TOWER   TRAY  5</t>
  </si>
  <si>
    <t>24TI163.PV</t>
  </si>
  <si>
    <t>24T577</t>
  </si>
  <si>
    <t>TOLUENE TOWER   TRAY 27</t>
  </si>
  <si>
    <t>24TI136.PV</t>
  </si>
  <si>
    <t>24T578</t>
  </si>
  <si>
    <t>2-4-T10 TRAY 3</t>
  </si>
  <si>
    <t>24TI315.PV</t>
  </si>
  <si>
    <t>24T579</t>
  </si>
  <si>
    <t>2-4-T10 TRAY 13</t>
  </si>
  <si>
    <t>24TI316.PV</t>
  </si>
  <si>
    <t>24T580</t>
  </si>
  <si>
    <t>2-4-T10 TRAY 21</t>
  </si>
  <si>
    <t>24TI317.PV</t>
  </si>
  <si>
    <t>24T581</t>
  </si>
  <si>
    <t>2-4-T10 TRAY 41</t>
  </si>
  <si>
    <t>24TI318.PV</t>
  </si>
  <si>
    <t>24T582</t>
  </si>
  <si>
    <t>2-4-T10 TRAY 61</t>
  </si>
  <si>
    <t>24TI319.PV</t>
  </si>
  <si>
    <t>24T583</t>
  </si>
  <si>
    <t>2-4-T10 TRAY 81</t>
  </si>
  <si>
    <t>24TI320.PV</t>
  </si>
  <si>
    <t>24T584</t>
  </si>
  <si>
    <t>2-4-T10 TRAY 99</t>
  </si>
  <si>
    <t>24TI321.PV</t>
  </si>
  <si>
    <t>24T585</t>
  </si>
  <si>
    <t>2-4-T10 TRAY 114</t>
  </si>
  <si>
    <t>24TI322.PV</t>
  </si>
  <si>
    <t>24T586</t>
  </si>
  <si>
    <t>2-4-T10 TRAY 126</t>
  </si>
  <si>
    <t>24TI323.PV</t>
  </si>
  <si>
    <t>24T587</t>
  </si>
  <si>
    <t>2-4-T10 TRAY 151</t>
  </si>
  <si>
    <t>24TI324.PV</t>
  </si>
  <si>
    <t>24T588</t>
  </si>
  <si>
    <t>2-4-T10 TRAY 166</t>
  </si>
  <si>
    <t>24TI325.PV</t>
  </si>
  <si>
    <t>24T589</t>
  </si>
  <si>
    <t>2-4-T10 TRAY 174</t>
  </si>
  <si>
    <t>24TI326.PV</t>
  </si>
  <si>
    <t>24T590</t>
  </si>
  <si>
    <t>2-4-T11 TRAY 57</t>
  </si>
  <si>
    <t>24TI355.PV</t>
  </si>
  <si>
    <t>24T591</t>
  </si>
  <si>
    <t>2-4-T11 TRAY 42</t>
  </si>
  <si>
    <t>24TI356.PV</t>
  </si>
  <si>
    <t>24T592</t>
  </si>
  <si>
    <t>2-4-T11 TRAY 36</t>
  </si>
  <si>
    <t>24TI357.PV</t>
  </si>
  <si>
    <t>24T593</t>
  </si>
  <si>
    <t>2-4-T11 TRAY 27</t>
  </si>
  <si>
    <t>24TI358.PV</t>
  </si>
  <si>
    <t>24T594</t>
  </si>
  <si>
    <t>O-X     TOWER   TRAY  7</t>
  </si>
  <si>
    <t>24TI359.PV</t>
  </si>
  <si>
    <t>24T595</t>
  </si>
  <si>
    <t>O-X     TOWER   BOTTOMS</t>
  </si>
  <si>
    <t>24TI351.PV</t>
  </si>
  <si>
    <t>24T597</t>
  </si>
  <si>
    <t>M-X     BOTTOMS</t>
  </si>
  <si>
    <t>24TI367.PV</t>
  </si>
  <si>
    <t>24T598</t>
  </si>
  <si>
    <t>E-20'S  T/S     OUT</t>
  </si>
  <si>
    <t>24TI349.PV</t>
  </si>
  <si>
    <t>24TC002</t>
  </si>
  <si>
    <t>24CT002.CV</t>
  </si>
  <si>
    <t>24TD008</t>
  </si>
  <si>
    <t>BENZENE TOWER   DIFF.   TEMP.</t>
  </si>
  <si>
    <t>24TDC008.PV</t>
  </si>
  <si>
    <t>24TD01</t>
  </si>
  <si>
    <t>24CT010.CV</t>
  </si>
  <si>
    <t>24TD010</t>
  </si>
  <si>
    <t>TOLUENE TOWER   DIFF.   TEMP.</t>
  </si>
  <si>
    <t>24TDC010.PV</t>
  </si>
  <si>
    <t>24TD012</t>
  </si>
  <si>
    <t>M-X TOWER DIFF. TEMP. INC.</t>
  </si>
  <si>
    <t>24TDI012.RO01</t>
  </si>
  <si>
    <t>24TI387</t>
  </si>
  <si>
    <t>24TI387.PV</t>
  </si>
  <si>
    <t>24TM038</t>
  </si>
  <si>
    <t>24MT038.MV</t>
  </si>
  <si>
    <t>24TM106</t>
  </si>
  <si>
    <t>24MT106.MV</t>
  </si>
  <si>
    <t>24TM154</t>
  </si>
  <si>
    <t>24MT154.MV</t>
  </si>
  <si>
    <t>24TM164</t>
  </si>
  <si>
    <t>24MT164.MV</t>
  </si>
  <si>
    <t>24TM196</t>
  </si>
  <si>
    <t>24MT196.MV</t>
  </si>
  <si>
    <t>24TM267</t>
  </si>
  <si>
    <t>24MT267.MV</t>
  </si>
  <si>
    <t>24TM281</t>
  </si>
  <si>
    <t>24MT281.MV</t>
  </si>
  <si>
    <t>24TM290</t>
  </si>
  <si>
    <t>24MT290.MV</t>
  </si>
  <si>
    <t>24TORD</t>
  </si>
  <si>
    <t>24TOLRD.DEN20</t>
  </si>
  <si>
    <t>24UA02</t>
  </si>
  <si>
    <t>24E002.UA</t>
  </si>
  <si>
    <t>24UA03</t>
  </si>
  <si>
    <t>24E003.UA</t>
  </si>
  <si>
    <t>24UA09</t>
  </si>
  <si>
    <t>24E009.UA</t>
  </si>
  <si>
    <t>24UA17</t>
  </si>
  <si>
    <t>24E017.UA</t>
  </si>
  <si>
    <t>24UA19</t>
  </si>
  <si>
    <t>24E019.UA</t>
  </si>
  <si>
    <t>24UA26</t>
  </si>
  <si>
    <t>24E026.UA</t>
  </si>
  <si>
    <t>24UA30</t>
  </si>
  <si>
    <t>24E030.UA</t>
  </si>
  <si>
    <t>24UC02</t>
  </si>
  <si>
    <t>24E002.U</t>
  </si>
  <si>
    <t>24UC03</t>
  </si>
  <si>
    <t>24E003.U</t>
  </si>
  <si>
    <t>24UC09</t>
  </si>
  <si>
    <t>24E009.U</t>
  </si>
  <si>
    <t>24UC17</t>
  </si>
  <si>
    <t>24E017.U</t>
  </si>
  <si>
    <t>24UC19</t>
  </si>
  <si>
    <t>24E019.U</t>
  </si>
  <si>
    <t>24UC26</t>
  </si>
  <si>
    <t>24E026.U</t>
  </si>
  <si>
    <t>24UC30</t>
  </si>
  <si>
    <t>24E030.U</t>
  </si>
  <si>
    <t>24UPBEN</t>
  </si>
  <si>
    <t>BENZENE DMC     CONTROL UPTIME</t>
  </si>
  <si>
    <t>25AI011.PV</t>
  </si>
  <si>
    <t>24WWEX</t>
  </si>
  <si>
    <t>24EXTBMT005.DEN20</t>
  </si>
  <si>
    <t>25$LVL</t>
  </si>
  <si>
    <t>P2LVL.CNBEN</t>
  </si>
  <si>
    <t>25$VAC</t>
  </si>
  <si>
    <t>P2VAC.CNBEN</t>
  </si>
  <si>
    <t>25$VCH</t>
  </si>
  <si>
    <t>P2VCH.CNBEN</t>
  </si>
  <si>
    <t>25CQ100</t>
  </si>
  <si>
    <t>WATCH   DOG     TIMER   250100</t>
  </si>
  <si>
    <t>25CQ100.OP</t>
  </si>
  <si>
    <t>25CQ200</t>
  </si>
  <si>
    <t>WATCH   DOG     TIMER   250200</t>
  </si>
  <si>
    <t>25CQ200.OP</t>
  </si>
  <si>
    <t>25F001</t>
  </si>
  <si>
    <t>VACUUM  UNIT    CHARGE</t>
  </si>
  <si>
    <t>25FC001.PV</t>
  </si>
  <si>
    <t>25F006</t>
  </si>
  <si>
    <t>2-5-H01 PASS #1 CHARGE</t>
  </si>
  <si>
    <t>25FC006.PV</t>
  </si>
  <si>
    <t>25F007</t>
  </si>
  <si>
    <t>2-5-H01 PASS #2 CHARGE</t>
  </si>
  <si>
    <t>25FC007.PV</t>
  </si>
  <si>
    <t>25F008</t>
  </si>
  <si>
    <t>VELOCITY STM TO PASS #1</t>
  </si>
  <si>
    <t>25FC008.PV</t>
  </si>
  <si>
    <t>25F009</t>
  </si>
  <si>
    <t>VELOCITY STM TO PASS #2</t>
  </si>
  <si>
    <t>25FC009.PV</t>
  </si>
  <si>
    <t>25F010</t>
  </si>
  <si>
    <t>STRIPPING STM TO 2-5-T01  X1000</t>
  </si>
  <si>
    <t>25FC010.PV</t>
  </si>
  <si>
    <t>25F012</t>
  </si>
  <si>
    <t>VACUUM  QUENCH  TO      2-5-T01</t>
  </si>
  <si>
    <t>25FI012.PV</t>
  </si>
  <si>
    <t>25F013</t>
  </si>
  <si>
    <t>UNCUT VAC BOTTOMS M3/D</t>
  </si>
  <si>
    <t>25FY013.PV</t>
  </si>
  <si>
    <t>25F014</t>
  </si>
  <si>
    <t>VACUUM  RECYCLE</t>
  </si>
  <si>
    <t>25FC014.PV</t>
  </si>
  <si>
    <t>25F015</t>
  </si>
  <si>
    <t>BLENDED VACUUM  BTMS TO STORAGE</t>
  </si>
  <si>
    <t>25FI015.PV</t>
  </si>
  <si>
    <t>25F016</t>
  </si>
  <si>
    <t>WASH OIL</t>
  </si>
  <si>
    <t>25FC016.PV</t>
  </si>
  <si>
    <t>25F017</t>
  </si>
  <si>
    <t>VGOH PUMPAROUND</t>
  </si>
  <si>
    <t>25FC017.PV</t>
  </si>
  <si>
    <t>25F018</t>
  </si>
  <si>
    <t>VGOH TO HYDROCRACKER</t>
  </si>
  <si>
    <t>25FC018.PV</t>
  </si>
  <si>
    <t>25F019</t>
  </si>
  <si>
    <t>VGOL    PUMPBACK REFLUX</t>
  </si>
  <si>
    <t>25FC019.PV</t>
  </si>
  <si>
    <t>25F020</t>
  </si>
  <si>
    <t>STEAM   FROM    2-5-E03    X1000</t>
  </si>
  <si>
    <t>25FI020.PV</t>
  </si>
  <si>
    <t>25F021</t>
  </si>
  <si>
    <t>VGOL P/A  FROM  2-1-E05 A/B</t>
  </si>
  <si>
    <t>25FC021.PV</t>
  </si>
  <si>
    <t>25F023</t>
  </si>
  <si>
    <t>TOTAL   VGOL P/A</t>
  </si>
  <si>
    <t>25FC023.PV</t>
  </si>
  <si>
    <t>25F024</t>
  </si>
  <si>
    <t>CONDENS-ING  P/A</t>
  </si>
  <si>
    <t>25FC024.PV</t>
  </si>
  <si>
    <t>25F025</t>
  </si>
  <si>
    <t>LVC     PRODUCT TO HCC</t>
  </si>
  <si>
    <t>25FI025.PV</t>
  </si>
  <si>
    <t>25F026</t>
  </si>
  <si>
    <t>E02 LVC TO HYDROCRACKER</t>
  </si>
  <si>
    <t>25FI026.PV</t>
  </si>
  <si>
    <t>25F028</t>
  </si>
  <si>
    <t>SOUR    GAS     FROM    2-5-V02</t>
  </si>
  <si>
    <t>25FI028.PV</t>
  </si>
  <si>
    <t>25F031</t>
  </si>
  <si>
    <t>SYN TWR BTTM TO VACUUM UNIT</t>
  </si>
  <si>
    <t>25FC031.PV</t>
  </si>
  <si>
    <t>25F033</t>
  </si>
  <si>
    <t>F.O. TO 2-5-H01 BURNERS</t>
  </si>
  <si>
    <t>25FI033.PV</t>
  </si>
  <si>
    <t>25F034</t>
  </si>
  <si>
    <t>VGOH    PRODUCT TO HCC</t>
  </si>
  <si>
    <t>25FC034.PV</t>
  </si>
  <si>
    <t>25F035</t>
  </si>
  <si>
    <t>REDUCED CRUDE   TO      2-5-V03</t>
  </si>
  <si>
    <t>25FI035.PV</t>
  </si>
  <si>
    <t>25F041</t>
  </si>
  <si>
    <t>VISBRKR (AFT)   BTMS TO 2-5-V03</t>
  </si>
  <si>
    <t>25FI041.PV</t>
  </si>
  <si>
    <t>25F042</t>
  </si>
  <si>
    <t>LCGO TO #6 F.O. BLEND</t>
  </si>
  <si>
    <t>25FC042.PV</t>
  </si>
  <si>
    <t>25F044</t>
  </si>
  <si>
    <t>FUEL GAS TO 2-5-H01     X1000</t>
  </si>
  <si>
    <t>25FI044.PV</t>
  </si>
  <si>
    <t>25F045</t>
  </si>
  <si>
    <t>VACUUM  BTMS TO HFO</t>
  </si>
  <si>
    <t>25FI045.PV</t>
  </si>
  <si>
    <t>25F049</t>
  </si>
  <si>
    <t>MOTIVE STM. TO EJECTORS   X1000</t>
  </si>
  <si>
    <t>25FI049.PV</t>
  </si>
  <si>
    <t>25F050</t>
  </si>
  <si>
    <t>450# STM LTDWN TO 185# SYS X1000</t>
  </si>
  <si>
    <t>25FI050.PV</t>
  </si>
  <si>
    <t>25F051</t>
  </si>
  <si>
    <t>185# STM TO CRD2  150#  HEADER</t>
  </si>
  <si>
    <t>25FI051.PV</t>
  </si>
  <si>
    <t>25F075</t>
  </si>
  <si>
    <t>VGOL    PRODUCT TO HCC</t>
  </si>
  <si>
    <t>25FC075.PV</t>
  </si>
  <si>
    <t>25FC01</t>
  </si>
  <si>
    <t>25CF001.CV</t>
  </si>
  <si>
    <t>25FC02</t>
  </si>
  <si>
    <t>25CF002.CV</t>
  </si>
  <si>
    <t>25FC03</t>
  </si>
  <si>
    <t>25CF003.CV</t>
  </si>
  <si>
    <t>25FC04</t>
  </si>
  <si>
    <t>25CF004.CV</t>
  </si>
  <si>
    <t>25FC05</t>
  </si>
  <si>
    <t>25CF005.CV</t>
  </si>
  <si>
    <t>25FC06</t>
  </si>
  <si>
    <t>25CF006.CV</t>
  </si>
  <si>
    <t>25FC07</t>
  </si>
  <si>
    <t>25CF007.CV</t>
  </si>
  <si>
    <t>25FC08</t>
  </si>
  <si>
    <t>25CF008.CV</t>
  </si>
  <si>
    <t>25FC09</t>
  </si>
  <si>
    <t>25CF009.CV</t>
  </si>
  <si>
    <t>25FC10</t>
  </si>
  <si>
    <t>25CF010.CV</t>
  </si>
  <si>
    <t>25FC11</t>
  </si>
  <si>
    <t>25CF011.CV</t>
  </si>
  <si>
    <t>25FC12</t>
  </si>
  <si>
    <t>25CF012.CV</t>
  </si>
  <si>
    <t>25FC13</t>
  </si>
  <si>
    <t>25CF013.CV</t>
  </si>
  <si>
    <t>25FC14</t>
  </si>
  <si>
    <t>25CF014.CV</t>
  </si>
  <si>
    <t>25FC15</t>
  </si>
  <si>
    <t>25CF015.CV</t>
  </si>
  <si>
    <t>25FC16</t>
  </si>
  <si>
    <t>25CF016.CV</t>
  </si>
  <si>
    <t>25FC17</t>
  </si>
  <si>
    <t>25CF017.CV</t>
  </si>
  <si>
    <t>25FC18</t>
  </si>
  <si>
    <t>25CF018.CV</t>
  </si>
  <si>
    <t>25FC19</t>
  </si>
  <si>
    <t>25CF019.CV</t>
  </si>
  <si>
    <t>25FC20</t>
  </si>
  <si>
    <t>25CF020.CV</t>
  </si>
  <si>
    <t>25FC21</t>
  </si>
  <si>
    <t>25CF021.CV</t>
  </si>
  <si>
    <t>25FC22</t>
  </si>
  <si>
    <t>25CF022.CV</t>
  </si>
  <si>
    <t>25FC23</t>
  </si>
  <si>
    <t>25CF023.CV</t>
  </si>
  <si>
    <t>25FC24</t>
  </si>
  <si>
    <t>25CF024.CV</t>
  </si>
  <si>
    <t>25FC25</t>
  </si>
  <si>
    <t>25CF025.CV</t>
  </si>
  <si>
    <t>25FC30</t>
  </si>
  <si>
    <t>25CF030.CV</t>
  </si>
  <si>
    <t>25FM039</t>
  </si>
  <si>
    <t>25MF039.MV</t>
  </si>
  <si>
    <t>25L001</t>
  </si>
  <si>
    <t>VACUUM SURGE DRUM 2-5-V03</t>
  </si>
  <si>
    <t>25LC001.PV</t>
  </si>
  <si>
    <t>25L008A</t>
  </si>
  <si>
    <t>VACUUM  TOWER   BOTTOM</t>
  </si>
  <si>
    <t>25LC008.PV</t>
  </si>
  <si>
    <t>25P001</t>
  </si>
  <si>
    <t>2-5-V03 SURGE   DRUM    PRESSURE</t>
  </si>
  <si>
    <t>25PC001.PV</t>
  </si>
  <si>
    <t>25P007</t>
  </si>
  <si>
    <t>VACUUM  TOWER   OVERHEAD PRESS.</t>
  </si>
  <si>
    <t>25PC007.PV</t>
  </si>
  <si>
    <t>25P008</t>
  </si>
  <si>
    <t>VAC. TWR  FLASH   ZONE  PRESSURE</t>
  </si>
  <si>
    <t>25PI008.PV</t>
  </si>
  <si>
    <t>25P014</t>
  </si>
  <si>
    <t>2-5-V05 FUEL GAS  DRUM</t>
  </si>
  <si>
    <t>25PI014.PV</t>
  </si>
  <si>
    <t>25P019</t>
  </si>
  <si>
    <t>25H01 FUEL OIL PRESSURE</t>
  </si>
  <si>
    <t>25PC019.PV</t>
  </si>
  <si>
    <t>25P032</t>
  </si>
  <si>
    <t>25H01 FUEL GAS PRESSURE</t>
  </si>
  <si>
    <t>25PC032.PV</t>
  </si>
  <si>
    <t>25PC001</t>
  </si>
  <si>
    <t>25CP001.CV</t>
  </si>
  <si>
    <t>25QC08</t>
  </si>
  <si>
    <t>25E008.Q</t>
  </si>
  <si>
    <t>25QC09</t>
  </si>
  <si>
    <t>25E009.Q</t>
  </si>
  <si>
    <t>25RC001</t>
  </si>
  <si>
    <t>25CR001.CV</t>
  </si>
  <si>
    <t>25RC002</t>
  </si>
  <si>
    <t>25CR002.CV</t>
  </si>
  <si>
    <t>25RC003</t>
  </si>
  <si>
    <t>25CR003.CV</t>
  </si>
  <si>
    <t>25RC004</t>
  </si>
  <si>
    <t>25CR004.CV</t>
  </si>
  <si>
    <t>25RC005</t>
  </si>
  <si>
    <t>25CR005.CV</t>
  </si>
  <si>
    <t>25RC006</t>
  </si>
  <si>
    <t>25CR006.CV</t>
  </si>
  <si>
    <t>25T101-05</t>
  </si>
  <si>
    <t>2-5-H01 PASS#2 OUTLET</t>
  </si>
  <si>
    <t>25TI167.PV</t>
  </si>
  <si>
    <t>25T101-10</t>
  </si>
  <si>
    <t>2-5-H01 PASS#1  OUTLET</t>
  </si>
  <si>
    <t>25TI166.PV</t>
  </si>
  <si>
    <t>25T101-11</t>
  </si>
  <si>
    <t>2-5-H01 RADIANT SECTION</t>
  </si>
  <si>
    <t>25TI186.PV</t>
  </si>
  <si>
    <t>25T101-12</t>
  </si>
  <si>
    <t>2-5-H01 STACK</t>
  </si>
  <si>
    <t>25TI183.PV</t>
  </si>
  <si>
    <t>25T600</t>
  </si>
  <si>
    <t>VISB.   BOTTOMS FROM    PLANT #1</t>
  </si>
  <si>
    <t>25TI140.PV</t>
  </si>
  <si>
    <t>25T601</t>
  </si>
  <si>
    <t>VISB.   BOTTOMS FROM    2-5-E04</t>
  </si>
  <si>
    <t>25TI138.PV</t>
  </si>
  <si>
    <t>25T602</t>
  </si>
  <si>
    <t>REDUCED CRD TO  2-5-V03</t>
  </si>
  <si>
    <t>25TI112.PV</t>
  </si>
  <si>
    <t>25T603</t>
  </si>
  <si>
    <t>VACUUM  FEED TO 2-5-H01</t>
  </si>
  <si>
    <t>25TI111.PV</t>
  </si>
  <si>
    <t>25T604</t>
  </si>
  <si>
    <t>FEED/RCY   TO   2-5-H01 COMBINED</t>
  </si>
  <si>
    <t>25TI115.PV</t>
  </si>
  <si>
    <t>25T605</t>
  </si>
  <si>
    <t>COMBINED FEED WEST RAD. SECTION</t>
  </si>
  <si>
    <t>25TI182.PV</t>
  </si>
  <si>
    <t>25T606</t>
  </si>
  <si>
    <t>COMBINED FEED EAST RAD. SECTION</t>
  </si>
  <si>
    <t>25TI184.PV</t>
  </si>
  <si>
    <t>25T607</t>
  </si>
  <si>
    <t>2-5-H01 OUTLET  TEMP.</t>
  </si>
  <si>
    <t>25TI117.PV</t>
  </si>
  <si>
    <t>25T608</t>
  </si>
  <si>
    <t>VACUUM RECYCLE TO 2-5-H01</t>
  </si>
  <si>
    <t>25TI118.PV</t>
  </si>
  <si>
    <t>25T609</t>
  </si>
  <si>
    <t>25TI125.PV</t>
  </si>
  <si>
    <t>25T610</t>
  </si>
  <si>
    <t>BLENDED VACUUM BOTTOMS</t>
  </si>
  <si>
    <t>25TI135.PV</t>
  </si>
  <si>
    <t>25T611</t>
  </si>
  <si>
    <t>SYN TWR BTMS TO BLENDING</t>
  </si>
  <si>
    <t>25TI164.PV</t>
  </si>
  <si>
    <t>25T612</t>
  </si>
  <si>
    <t>QUENCH  TO      2-5-T01</t>
  </si>
  <si>
    <t>25TI126.PV</t>
  </si>
  <si>
    <t>25T613</t>
  </si>
  <si>
    <t>VAPOUR  TO WASH SECTION 2-5-T01</t>
  </si>
  <si>
    <t>25TI124.PV</t>
  </si>
  <si>
    <t>25T614</t>
  </si>
  <si>
    <t>VAPOUR  TO VGOH SECTION 2-5-T01</t>
  </si>
  <si>
    <t>25TI122.PV</t>
  </si>
  <si>
    <t>25T615</t>
  </si>
  <si>
    <t>VGOH    DRAW</t>
  </si>
  <si>
    <t>25TI127.PV</t>
  </si>
  <si>
    <t>25T616</t>
  </si>
  <si>
    <t>VGOH P/A  FROM  2-5-E08</t>
  </si>
  <si>
    <t>25TI137.PV</t>
  </si>
  <si>
    <t>25T617</t>
  </si>
  <si>
    <t>VGOH    PRODUCT FROM    2-5-E04</t>
  </si>
  <si>
    <t>25TI142.PV</t>
  </si>
  <si>
    <t>25T618</t>
  </si>
  <si>
    <t>VGOH    PROD.FRM 2-5-E06 TO STOR</t>
  </si>
  <si>
    <t>25TI178.PV</t>
  </si>
  <si>
    <t>25T619</t>
  </si>
  <si>
    <t>VGOH /  VGOL    P/A  TO 2-5-T01</t>
  </si>
  <si>
    <t>25TI128.PV</t>
  </si>
  <si>
    <t>25T620</t>
  </si>
  <si>
    <t>VAPOUR  TO VGOL SECTION 2-5-T01</t>
  </si>
  <si>
    <t>25TI123.PV</t>
  </si>
  <si>
    <t>25T621</t>
  </si>
  <si>
    <t>VGOL    DRAW</t>
  </si>
  <si>
    <t>25TI120.PV</t>
  </si>
  <si>
    <t>25T622</t>
  </si>
  <si>
    <t>VGOL P/A  FROM  2-5-E03</t>
  </si>
  <si>
    <t>25TI144.PV</t>
  </si>
  <si>
    <t>25T623</t>
  </si>
  <si>
    <t>VGOL P/A  FROM  2-5-E05</t>
  </si>
  <si>
    <t>25TI185.PV</t>
  </si>
  <si>
    <t>25T624</t>
  </si>
  <si>
    <t>COMBINED VGOL   P/A  TO 2-5-T01</t>
  </si>
  <si>
    <t>25TI179.PV</t>
  </si>
  <si>
    <t>25T625</t>
  </si>
  <si>
    <t>VAPOUR  TO COND.SECTION 2-5-T01</t>
  </si>
  <si>
    <t>25TI121.PV</t>
  </si>
  <si>
    <t>25T626</t>
  </si>
  <si>
    <t>LVC     DRAW</t>
  </si>
  <si>
    <t>25TI129.PV</t>
  </si>
  <si>
    <t>25T627</t>
  </si>
  <si>
    <t>COND P/A  &amp;  LVC PRD FRM 2-5-E02</t>
  </si>
  <si>
    <t>25TI147.PV</t>
  </si>
  <si>
    <t>25T628</t>
  </si>
  <si>
    <t>2-5-T01 OVERHEAD VAPOUR</t>
  </si>
  <si>
    <t>25TI119.PV</t>
  </si>
  <si>
    <t>25T629</t>
  </si>
  <si>
    <t>2-5-E01A   COND.   TO   2-5-V01</t>
  </si>
  <si>
    <t>25TI152.PV</t>
  </si>
  <si>
    <t>25T630</t>
  </si>
  <si>
    <t>2-5-E01B   COND.   TO   2-5-V01</t>
  </si>
  <si>
    <t>25TI157.PV</t>
  </si>
  <si>
    <t>25T631</t>
  </si>
  <si>
    <t>2-5-E01C   COND.   TO   2-5-V01</t>
  </si>
  <si>
    <t>25TI161.PV</t>
  </si>
  <si>
    <t>25T632</t>
  </si>
  <si>
    <t>CRD FRM 2-5-E09B   TO   2-5-E08</t>
  </si>
  <si>
    <t>25TI133.PV</t>
  </si>
  <si>
    <t>25T633</t>
  </si>
  <si>
    <t>CRD FRM 2-5-E08 TO      2-1-H01</t>
  </si>
  <si>
    <t>25TI141.PV</t>
  </si>
  <si>
    <t>25T634</t>
  </si>
  <si>
    <t>FUEL GAS   FROM 2-5-V05</t>
  </si>
  <si>
    <t>25TI176.PV</t>
  </si>
  <si>
    <t>25T635</t>
  </si>
  <si>
    <t>COMBUSTN AIR TO 2-5-H01</t>
  </si>
  <si>
    <t>25TI177.PV</t>
  </si>
  <si>
    <t>25T636</t>
  </si>
  <si>
    <t>SUPRHEAT  STEAM   COIL  OUTLET</t>
  </si>
  <si>
    <t>25TI116.PV</t>
  </si>
  <si>
    <t>25T637</t>
  </si>
  <si>
    <t>0-3-E01 BOX     COOLER  INLET</t>
  </si>
  <si>
    <t>03TI010.PV</t>
  </si>
  <si>
    <t>25T638</t>
  </si>
  <si>
    <t>0-3-E01 BOX     COOLER  OUTLET</t>
  </si>
  <si>
    <t>03TI012.PV</t>
  </si>
  <si>
    <t>25TC02</t>
  </si>
  <si>
    <t>25CT002.CV</t>
  </si>
  <si>
    <t>25TT001</t>
  </si>
  <si>
    <t>HEATER OUTLET TEMP.</t>
  </si>
  <si>
    <t>25TC001.PV</t>
  </si>
  <si>
    <t>25TT002</t>
  </si>
  <si>
    <t>VACUUM  BOTTOMS</t>
  </si>
  <si>
    <t>25TC002.PV</t>
  </si>
  <si>
    <t>25TT003</t>
  </si>
  <si>
    <t>VGOH P/A FROM   2-5-E08</t>
  </si>
  <si>
    <t>25TC003.PV</t>
  </si>
  <si>
    <t>25TT004</t>
  </si>
  <si>
    <t>VGOH    PRODUCT   FROM  2-5-E06</t>
  </si>
  <si>
    <t>25TC004.PV</t>
  </si>
  <si>
    <t>25TT007</t>
  </si>
  <si>
    <t>CONDENS.  P/A   RETURN</t>
  </si>
  <si>
    <t>25TC007.PV</t>
  </si>
  <si>
    <t>25UA04</t>
  </si>
  <si>
    <t>25E004.UA</t>
  </si>
  <si>
    <t>25UA08</t>
  </si>
  <si>
    <t>25E008.UA</t>
  </si>
  <si>
    <t>25UA09</t>
  </si>
  <si>
    <t>25E009.UA</t>
  </si>
  <si>
    <t>25UC04</t>
  </si>
  <si>
    <t>25E004.U</t>
  </si>
  <si>
    <t>25UC08</t>
  </si>
  <si>
    <t>25E008.U</t>
  </si>
  <si>
    <t>25UC09</t>
  </si>
  <si>
    <t>25E009.U</t>
  </si>
  <si>
    <t>25VGHF</t>
  </si>
  <si>
    <t>25VGOHY.DEN15</t>
  </si>
  <si>
    <t>25VGLJ</t>
  </si>
  <si>
    <t>25VGOLT.DEN15</t>
  </si>
  <si>
    <t>25VTBP</t>
  </si>
  <si>
    <t>25BTMVCTW.DEN15</t>
  </si>
  <si>
    <t>30$C001</t>
  </si>
  <si>
    <t>PLANT 3 OPTIMIZR BENEFIT</t>
  </si>
  <si>
    <t>30CCD001.CV</t>
  </si>
  <si>
    <t>30$C001A</t>
  </si>
  <si>
    <t>P3OPT BENEFIT (ABS VAL)</t>
  </si>
  <si>
    <t>30C$001A.CV</t>
  </si>
  <si>
    <t>30$C002</t>
  </si>
  <si>
    <t>C3/C4 SPLTR C3 TO C4 UPGRADE</t>
  </si>
  <si>
    <t>33C$0002.CV</t>
  </si>
  <si>
    <t>30$COPT</t>
  </si>
  <si>
    <t>30CCDOPT.CV</t>
  </si>
  <si>
    <t>30$M402</t>
  </si>
  <si>
    <t>PROPANE VALUE FOR OBJ FUNCTION</t>
  </si>
  <si>
    <t>04MCD002.CV</t>
  </si>
  <si>
    <t>30$M403</t>
  </si>
  <si>
    <t>VALUE OF STEAM FOR OBJ FCN</t>
  </si>
  <si>
    <t>M$0403.CV</t>
  </si>
  <si>
    <t>30$M404</t>
  </si>
  <si>
    <t>VALUE OF NATL GAS FOR OBJ FCN</t>
  </si>
  <si>
    <t>M$0404.CV</t>
  </si>
  <si>
    <t>30$M405</t>
  </si>
  <si>
    <t>VALUE OF FUEL OIL FOR OBJ FNT</t>
  </si>
  <si>
    <t>30MCD405.CV</t>
  </si>
  <si>
    <t>30AC001</t>
  </si>
  <si>
    <t>30CA001.CV</t>
  </si>
  <si>
    <t>30D401</t>
  </si>
  <si>
    <t>LAST 24 HOURS SOLUTIONS RECIEVE</t>
  </si>
  <si>
    <t>DLR0401.CV</t>
  </si>
  <si>
    <t>30D402</t>
  </si>
  <si>
    <t>CURRENT MONTH SOLUTIONS RECIEVE</t>
  </si>
  <si>
    <t>DCM0402.CV</t>
  </si>
  <si>
    <t>30D403</t>
  </si>
  <si>
    <t>CURRENT MONTH SOLNS IMPLEMENTED</t>
  </si>
  <si>
    <t>DCI0403.CV</t>
  </si>
  <si>
    <t>30D404</t>
  </si>
  <si>
    <t>LAST 24H SOLUTIONS IMPLEMENTED</t>
  </si>
  <si>
    <t>DLI0404.CV</t>
  </si>
  <si>
    <t>30D405</t>
  </si>
  <si>
    <t>STEADY STATE DETECT</t>
  </si>
  <si>
    <t>DSS0405.CV</t>
  </si>
  <si>
    <t>30D406</t>
  </si>
  <si>
    <t>RAMP ON OFF</t>
  </si>
  <si>
    <t>DOF0406.CV</t>
  </si>
  <si>
    <t>30D407</t>
  </si>
  <si>
    <t>LAS MONTH SOLUTIONS RECIEVE</t>
  </si>
  <si>
    <t>DLM0407.CV</t>
  </si>
  <si>
    <t>30D408</t>
  </si>
  <si>
    <t>LAST MONTH SOL IMPLEMENTED</t>
  </si>
  <si>
    <t>DLM0408.CV</t>
  </si>
  <si>
    <t>30FC001</t>
  </si>
  <si>
    <t>30CF001.CV</t>
  </si>
  <si>
    <t>30FC002</t>
  </si>
  <si>
    <t>30CF002.CV</t>
  </si>
  <si>
    <t>30FC019</t>
  </si>
  <si>
    <t>30CF019.CV</t>
  </si>
  <si>
    <t>30FC022</t>
  </si>
  <si>
    <t>30CF022.CV</t>
  </si>
  <si>
    <t>30FC072</t>
  </si>
  <si>
    <t>30CF072.CV</t>
  </si>
  <si>
    <t>30FC075</t>
  </si>
  <si>
    <t>30CF075.CV</t>
  </si>
  <si>
    <t>30FC083</t>
  </si>
  <si>
    <t>30CF083.CV</t>
  </si>
  <si>
    <t>30O002</t>
  </si>
  <si>
    <t>CONTROLLERS IN OPTIMIZATION</t>
  </si>
  <si>
    <t>30ON002.CV</t>
  </si>
  <si>
    <t>30O003</t>
  </si>
  <si>
    <t>NUMBER OF RAMPS</t>
  </si>
  <si>
    <t>30ON003.CV</t>
  </si>
  <si>
    <t>30O004</t>
  </si>
  <si>
    <t>CYCLE TIME</t>
  </si>
  <si>
    <t>30ON004.CV</t>
  </si>
  <si>
    <t>30O006</t>
  </si>
  <si>
    <t>NUMBER OF PARCASES STARTED</t>
  </si>
  <si>
    <t>30ON006.CV</t>
  </si>
  <si>
    <t>30O007</t>
  </si>
  <si>
    <t>PERCENT CASES COMPLETED</t>
  </si>
  <si>
    <t>30ON007.CV</t>
  </si>
  <si>
    <t>30O009</t>
  </si>
  <si>
    <t>PARCASES FINISHED/STARTED</t>
  </si>
  <si>
    <t>30ON009.CV</t>
  </si>
  <si>
    <t>30O011</t>
  </si>
  <si>
    <t>OPTCASES FINISHED/PAR STARTED</t>
  </si>
  <si>
    <t>30ON017.CV</t>
  </si>
  <si>
    <t>30O013</t>
  </si>
  <si>
    <t>SVCCASES FINISHED/PAR STARTED</t>
  </si>
  <si>
    <t>30ON013.CV</t>
  </si>
  <si>
    <t>30O015</t>
  </si>
  <si>
    <t>PVCCASES FINISHED/PAR STARTED</t>
  </si>
  <si>
    <t>30ON015.CV</t>
  </si>
  <si>
    <t>30O017</t>
  </si>
  <si>
    <t>OVCCASES FINISHED/PAR STARTED</t>
  </si>
  <si>
    <t>30O021</t>
  </si>
  <si>
    <t>PERCENT FEASIBLE CASES</t>
  </si>
  <si>
    <t>30ON021.PV</t>
  </si>
  <si>
    <t>30OU001</t>
  </si>
  <si>
    <t>REAL TIME OPTIMIZER UPTIME</t>
  </si>
  <si>
    <t>30OU001.CV</t>
  </si>
  <si>
    <t>30P3FO</t>
  </si>
  <si>
    <t>30GASP3FR.C1</t>
  </si>
  <si>
    <t>30GASP3FR.C2</t>
  </si>
  <si>
    <t>30GASP3FR.C3</t>
  </si>
  <si>
    <t>30GASP3FR.C3A</t>
  </si>
  <si>
    <t>30GASP3FR.C4A</t>
  </si>
  <si>
    <t>30GASP3FR.C5A</t>
  </si>
  <si>
    <t>30GASP3FR.C6B</t>
  </si>
  <si>
    <t>30GASP3FR.CO</t>
  </si>
  <si>
    <t>30GASP3FR.CO2</t>
  </si>
  <si>
    <t>30GASP3FR.H2</t>
  </si>
  <si>
    <t>30GASP3FR.H2S</t>
  </si>
  <si>
    <t>30GASP3FR.IC4</t>
  </si>
  <si>
    <t>30GASP3FR.IC5</t>
  </si>
  <si>
    <t>30GASP3FR.N2</t>
  </si>
  <si>
    <t>30GASP3FR.NC4</t>
  </si>
  <si>
    <t>30GASP3FR.NC5</t>
  </si>
  <si>
    <t>30GASP3FR.O2</t>
  </si>
  <si>
    <t>30S001</t>
  </si>
  <si>
    <t>PLANT 3 TIME AT STEADY STATE</t>
  </si>
  <si>
    <t>30SS001.CV</t>
  </si>
  <si>
    <t>31$C005</t>
  </si>
  <si>
    <t>3-1-R01 WABT DMC BENEFITS</t>
  </si>
  <si>
    <t>31CCD005.CV</t>
  </si>
  <si>
    <t>31$C034</t>
  </si>
  <si>
    <t>3-1-R02 CONVERSION DMC BENEFITS</t>
  </si>
  <si>
    <t>31CCD034.CV</t>
  </si>
  <si>
    <t>31$C041</t>
  </si>
  <si>
    <t>3-1-H01 DMC BENEFITS</t>
  </si>
  <si>
    <t>31CCD041.CV</t>
  </si>
  <si>
    <t>31$C051</t>
  </si>
  <si>
    <t>3-1-H02 DMC BENEFITS</t>
  </si>
  <si>
    <t>31CCD051.CV</t>
  </si>
  <si>
    <t>31$C055</t>
  </si>
  <si>
    <t>3-1-R02 WABT DMC BENEFITS</t>
  </si>
  <si>
    <t>31C$055.CV</t>
  </si>
  <si>
    <t>31$C100</t>
  </si>
  <si>
    <t>HPRT ELECTRICITY SAVINGS</t>
  </si>
  <si>
    <t>31C$100.CV</t>
  </si>
  <si>
    <t>31A010A</t>
  </si>
  <si>
    <t>RECYCLE GAS HYDROGEN %</t>
  </si>
  <si>
    <t>31AI010A.PV</t>
  </si>
  <si>
    <t>31A010B</t>
  </si>
  <si>
    <t>RECYCLE GAS METHANE %</t>
  </si>
  <si>
    <t>31AI010B.PV</t>
  </si>
  <si>
    <t>31A041</t>
  </si>
  <si>
    <t>3-1-H01 O2</t>
  </si>
  <si>
    <t>31AI041.PV</t>
  </si>
  <si>
    <t>31A042</t>
  </si>
  <si>
    <t>COMBUSTIBLES IN STACK H-01</t>
  </si>
  <si>
    <t>31AI042.PV</t>
  </si>
  <si>
    <t>31A051</t>
  </si>
  <si>
    <t>02 IN STACK 3-1-H02</t>
  </si>
  <si>
    <t>31AI051.PV</t>
  </si>
  <si>
    <t>31A052</t>
  </si>
  <si>
    <t>COMBUSTIBLES IN STACK H-02</t>
  </si>
  <si>
    <t>31AI052.PV</t>
  </si>
  <si>
    <t>31AM001</t>
  </si>
  <si>
    <t>3-1-R01 EFFLUENT NITROGEN</t>
  </si>
  <si>
    <t>31MA001.PV</t>
  </si>
  <si>
    <t>31AU033</t>
  </si>
  <si>
    <t>FRAC 5% LOOP UPTIME</t>
  </si>
  <si>
    <t>31AU033.CV</t>
  </si>
  <si>
    <t>31AU041</t>
  </si>
  <si>
    <t>3-1-H01 DMC UPTIME</t>
  </si>
  <si>
    <t>31AU041.CV</t>
  </si>
  <si>
    <t>31CC043</t>
  </si>
  <si>
    <t>3-1-H02 HEATER FUEL COST</t>
  </si>
  <si>
    <t>31CC043.CV</t>
  </si>
  <si>
    <t>31CC044</t>
  </si>
  <si>
    <t>3-1-H01 HEATER FUEL COST</t>
  </si>
  <si>
    <t>31CC044.CV</t>
  </si>
  <si>
    <t>31D326</t>
  </si>
  <si>
    <t>HYC FEED DENSITY @ REF T &amp; P</t>
  </si>
  <si>
    <t>31DI326.PV</t>
  </si>
  <si>
    <t>31F001</t>
  </si>
  <si>
    <t>START UP RECYCLE FROM E-16</t>
  </si>
  <si>
    <t>31FC001.PV</t>
  </si>
  <si>
    <t>31F002</t>
  </si>
  <si>
    <t>COALESCER OUTLET</t>
  </si>
  <si>
    <t>31FI002.PV</t>
  </si>
  <si>
    <t>31F003</t>
  </si>
  <si>
    <t>FRESH FEED PUMP B SPILLBACK</t>
  </si>
  <si>
    <t>31FC003.PV</t>
  </si>
  <si>
    <t>31F005</t>
  </si>
  <si>
    <t>FRESH FEED PUMP A SPILLBACK</t>
  </si>
  <si>
    <t>31FC005.PV</t>
  </si>
  <si>
    <t>31F007</t>
  </si>
  <si>
    <t>FRESH FEED TO E-08</t>
  </si>
  <si>
    <t>31FC007.PV</t>
  </si>
  <si>
    <t>31F009</t>
  </si>
  <si>
    <t>RCY OIL TO E-02</t>
  </si>
  <si>
    <t>31FC009.PV</t>
  </si>
  <si>
    <t>31F011</t>
  </si>
  <si>
    <t>RCY OIL PUMP SPILLBACK</t>
  </si>
  <si>
    <t>31FC011.PV</t>
  </si>
  <si>
    <t>31F013</t>
  </si>
  <si>
    <t>QUENCH GAS TO R-01         X1000</t>
  </si>
  <si>
    <t>31FI013.PV</t>
  </si>
  <si>
    <t>31F016</t>
  </si>
  <si>
    <t>QUENCH GAS TO R-02         X1000</t>
  </si>
  <si>
    <t>31FI016.PV</t>
  </si>
  <si>
    <t>31F018</t>
  </si>
  <si>
    <t>CONDENSATE TO E-11 / E-07</t>
  </si>
  <si>
    <t>31FC018.PV</t>
  </si>
  <si>
    <t>31F022</t>
  </si>
  <si>
    <t>MAKEUP H2 TO COMPR         X1000</t>
  </si>
  <si>
    <t>31FI022.PV</t>
  </si>
  <si>
    <t>31F023</t>
  </si>
  <si>
    <t>REGEN AIR TO MAKEUP COMPR  X1000</t>
  </si>
  <si>
    <t>31FC023.PV</t>
  </si>
  <si>
    <t>31F024</t>
  </si>
  <si>
    <t>SOUR WTR TO SOUR WTR SURGE DRUM</t>
  </si>
  <si>
    <t>31FI024.PV</t>
  </si>
  <si>
    <t>31F025</t>
  </si>
  <si>
    <t>RCY COMPR ANTISURGE BYPASS X1000</t>
  </si>
  <si>
    <t>31FI025.PV</t>
  </si>
  <si>
    <t>31F027</t>
  </si>
  <si>
    <t>RCY COMPR SUCTION CONTROL  X1000</t>
  </si>
  <si>
    <t>31FC027.PV</t>
  </si>
  <si>
    <t>31F028</t>
  </si>
  <si>
    <t>H2 MAKEUP TO HP SEPARATOR  X1000</t>
  </si>
  <si>
    <t>31FI028.PV</t>
  </si>
  <si>
    <t>31F030</t>
  </si>
  <si>
    <t>FUEL GAS FROM HP SEPARATOR X1000</t>
  </si>
  <si>
    <t>31FC030.PV</t>
  </si>
  <si>
    <t>31F031</t>
  </si>
  <si>
    <t>LP SEP OVERHEAD TO FUEL GASX1000</t>
  </si>
  <si>
    <t>31FI031.PV</t>
  </si>
  <si>
    <t>31F032</t>
  </si>
  <si>
    <t>LP SEPARATOR LIQUID TO E-07</t>
  </si>
  <si>
    <t>31FC032.PV</t>
  </si>
  <si>
    <t>31F033</t>
  </si>
  <si>
    <t>RCY OIL TO SURGE DRUM</t>
  </si>
  <si>
    <t>31FC033.PV</t>
  </si>
  <si>
    <t>31F034</t>
  </si>
  <si>
    <t>RCY OIL TO STORAGE-STARTUP</t>
  </si>
  <si>
    <t>31FC034.PV</t>
  </si>
  <si>
    <t>31F035</t>
  </si>
  <si>
    <t>RCY GAS TO H-01 TOTAL      X1000</t>
  </si>
  <si>
    <t>31FC035.PV</t>
  </si>
  <si>
    <t>31F040</t>
  </si>
  <si>
    <t>RCY GAS TO H-02 - TOTAL    X1000</t>
  </si>
  <si>
    <t>31FC040.PV</t>
  </si>
  <si>
    <t>31F043</t>
  </si>
  <si>
    <t>FUEL GAS TO 3-1-H02        X1000</t>
  </si>
  <si>
    <t>31FI043.PV</t>
  </si>
  <si>
    <t>31F044</t>
  </si>
  <si>
    <t>3-1-H01 FUEL GAS           X1000</t>
  </si>
  <si>
    <t>31FI044.PV</t>
  </si>
  <si>
    <t>31F052</t>
  </si>
  <si>
    <t>BFW MAKEUP TO E-17</t>
  </si>
  <si>
    <t>31FI052.PV</t>
  </si>
  <si>
    <t>31F053</t>
  </si>
  <si>
    <t>CAUSTIC INJECT FLOW</t>
  </si>
  <si>
    <t>31FI053.PV</t>
  </si>
  <si>
    <t>31F090</t>
  </si>
  <si>
    <t>18T118 BTMS TO 31V13</t>
  </si>
  <si>
    <t>31FI090.PV</t>
  </si>
  <si>
    <t>31F091</t>
  </si>
  <si>
    <t>HYC OFFPLOT TO 18T118</t>
  </si>
  <si>
    <t>31FI091.PV</t>
  </si>
  <si>
    <t>31FC001</t>
  </si>
  <si>
    <t>THEORETICAL RECYCLE OIL RATE</t>
  </si>
  <si>
    <t>31CF001.CV</t>
  </si>
  <si>
    <t>31FC002</t>
  </si>
  <si>
    <t>TOTAL PLANT 3 FUEL GAS     X1000</t>
  </si>
  <si>
    <t>31CF002.CV</t>
  </si>
  <si>
    <t>31FC003</t>
  </si>
  <si>
    <t>NET HYDROCRACKER FRESH FEED</t>
  </si>
  <si>
    <t>31CF003.CV</t>
  </si>
  <si>
    <t>31FC004</t>
  </si>
  <si>
    <t>31CF004.CV</t>
  </si>
  <si>
    <t>31FC005</t>
  </si>
  <si>
    <t>FEED SURGE DRUM TO FLARE</t>
  </si>
  <si>
    <t>31CF005.CV</t>
  </si>
  <si>
    <t>31FC006</t>
  </si>
  <si>
    <t>31CF006.CV</t>
  </si>
  <si>
    <t>31FC008</t>
  </si>
  <si>
    <t>31CF008.CV</t>
  </si>
  <si>
    <t>31FC009</t>
  </si>
  <si>
    <t>31CF009.CV</t>
  </si>
  <si>
    <t>31FC010</t>
  </si>
  <si>
    <t>31CF010.CV</t>
  </si>
  <si>
    <t>31FC013</t>
  </si>
  <si>
    <t>COMPENSATED Q.G.TO R01     X1000</t>
  </si>
  <si>
    <t>31CF013.CV</t>
  </si>
  <si>
    <t>31FC016</t>
  </si>
  <si>
    <t>COMPENSATED Q.G. TO R02    X1000</t>
  </si>
  <si>
    <t>31CF016.CV</t>
  </si>
  <si>
    <t>31FC028</t>
  </si>
  <si>
    <t>COMPENSTD MK-UP H2 TO HPS  X1000</t>
  </si>
  <si>
    <t>31CF028.CV</t>
  </si>
  <si>
    <t>31FC035</t>
  </si>
  <si>
    <t>COMPENSATED RECY GAS TO H01X1000</t>
  </si>
  <si>
    <t>31CF035.CV</t>
  </si>
  <si>
    <t>31FC040</t>
  </si>
  <si>
    <t>COMPENSATED RECY GAS TO H02X1000</t>
  </si>
  <si>
    <t>31CF040.CV</t>
  </si>
  <si>
    <t>31FC041</t>
  </si>
  <si>
    <t>31CF041.CV</t>
  </si>
  <si>
    <t>31FC043</t>
  </si>
  <si>
    <t>FUEL GAS TO 3-1-H02</t>
  </si>
  <si>
    <t>31CF043.CV</t>
  </si>
  <si>
    <t>31FC044</t>
  </si>
  <si>
    <t>FUEL GAS TO 3-1-H01</t>
  </si>
  <si>
    <t>31CF044.CV</t>
  </si>
  <si>
    <t>31FC045</t>
  </si>
  <si>
    <t>3-1-H01 ENERGY CONSUMPTION</t>
  </si>
  <si>
    <t>31CF045.CV</t>
  </si>
  <si>
    <t>31FC046</t>
  </si>
  <si>
    <t>3-1-H02 ENERGY CONSUMPTION</t>
  </si>
  <si>
    <t>31CF046.CV</t>
  </si>
  <si>
    <t>31FC047</t>
  </si>
  <si>
    <t>31CF047.CV</t>
  </si>
  <si>
    <t>31FCCCO</t>
  </si>
  <si>
    <t>31CF032.CV</t>
  </si>
  <si>
    <t>31FGAS</t>
  </si>
  <si>
    <t>31FUGINH002.C1</t>
  </si>
  <si>
    <t>31FUGINH002.C2</t>
  </si>
  <si>
    <t>31FUGINH002.C3</t>
  </si>
  <si>
    <t>31FUGINH002.C3A</t>
  </si>
  <si>
    <t>31FUGINH002.C4A</t>
  </si>
  <si>
    <t>31FUGINH002.C5A</t>
  </si>
  <si>
    <t>31FUGINH002.C6B</t>
  </si>
  <si>
    <t>31FUGINH002.CO</t>
  </si>
  <si>
    <t>31FUGINH002.CO2</t>
  </si>
  <si>
    <t>31FUGINH002.H2</t>
  </si>
  <si>
    <t>31FUGINH002.IC4</t>
  </si>
  <si>
    <t>31FUGINH002.IC5</t>
  </si>
  <si>
    <t>31FUGINH002.N2</t>
  </si>
  <si>
    <t>31FUGINH002.NC4</t>
  </si>
  <si>
    <t>31FUGINH002.NC5</t>
  </si>
  <si>
    <t>31FUGINH002.O2</t>
  </si>
  <si>
    <t>31FU034</t>
  </si>
  <si>
    <t>3-1-R02 CONVERSION DMC UPTIME</t>
  </si>
  <si>
    <t>31FU034.CV</t>
  </si>
  <si>
    <t>31FV001</t>
  </si>
  <si>
    <t>31FC001.OP</t>
  </si>
  <si>
    <t>31FV003</t>
  </si>
  <si>
    <t>31FC003.OP</t>
  </si>
  <si>
    <t>31FV005</t>
  </si>
  <si>
    <t>31FC005.OP</t>
  </si>
  <si>
    <t>31FV007</t>
  </si>
  <si>
    <t>FRESH FEED TO E-08 FEED</t>
  </si>
  <si>
    <t>31FC007.OP</t>
  </si>
  <si>
    <t>31FV009</t>
  </si>
  <si>
    <t>31FC009.OP</t>
  </si>
  <si>
    <t>31FV011</t>
  </si>
  <si>
    <t>31FC011.OP</t>
  </si>
  <si>
    <t>31FV018</t>
  </si>
  <si>
    <t>CONDENSER TO E-11 E-07</t>
  </si>
  <si>
    <t>31FC018.OP</t>
  </si>
  <si>
    <t>31FV023</t>
  </si>
  <si>
    <t>REGEN AIR MAKEUP COMPRESSOR</t>
  </si>
  <si>
    <t>31FC023.OP</t>
  </si>
  <si>
    <t>31FV027</t>
  </si>
  <si>
    <t>RCY COMPRESSOR SUCTION CONTROL</t>
  </si>
  <si>
    <t>31FC027.OP</t>
  </si>
  <si>
    <t>31FV030</t>
  </si>
  <si>
    <t>FUEL GAS FROM HP.SEP</t>
  </si>
  <si>
    <t>31FC030.OP</t>
  </si>
  <si>
    <t>31FV032</t>
  </si>
  <si>
    <t>LP SEP LIQUID TO E-07</t>
  </si>
  <si>
    <t>31FC032.OP</t>
  </si>
  <si>
    <t>31FV033</t>
  </si>
  <si>
    <t>31FC033.OP</t>
  </si>
  <si>
    <t>31FV034</t>
  </si>
  <si>
    <t>RCY OIL TO STORAGE</t>
  </si>
  <si>
    <t>31FC034.OP</t>
  </si>
  <si>
    <t>31FV035</t>
  </si>
  <si>
    <t>RCY GAS TO H-01 TOTAL</t>
  </si>
  <si>
    <t>31FC035.OP</t>
  </si>
  <si>
    <t>31FV040</t>
  </si>
  <si>
    <t>RCY GAS TO H-02 TOTAL</t>
  </si>
  <si>
    <t>31FC040.OP</t>
  </si>
  <si>
    <t>31FY026</t>
  </si>
  <si>
    <t>RECYCLE COMPR SUCTION      X1000</t>
  </si>
  <si>
    <t>31FY026.PV</t>
  </si>
  <si>
    <t>31GM001</t>
  </si>
  <si>
    <t>HC RECYCLE GAS GRAVITY</t>
  </si>
  <si>
    <t>31MG001.PV</t>
  </si>
  <si>
    <t>31H001</t>
  </si>
  <si>
    <t>QUENCH GAS TO R-02</t>
  </si>
  <si>
    <t>31HC001.OP</t>
  </si>
  <si>
    <t>31H009</t>
  </si>
  <si>
    <t>RCY OIL TO E-16 INLET  RI</t>
  </si>
  <si>
    <t>31HC009.PV</t>
  </si>
  <si>
    <t>31H011</t>
  </si>
  <si>
    <t>3-1-H01 DAMPER</t>
  </si>
  <si>
    <t>31HC011.OP</t>
  </si>
  <si>
    <t>31H012</t>
  </si>
  <si>
    <t>3-1-H02 STACK DAMPER</t>
  </si>
  <si>
    <t>31HC012.OP</t>
  </si>
  <si>
    <t>31H028</t>
  </si>
  <si>
    <t>RCY COMPRESSOR INLET  RI</t>
  </si>
  <si>
    <t>31HC028.PV</t>
  </si>
  <si>
    <t>31HC001</t>
  </si>
  <si>
    <t>31CH001A.CV</t>
  </si>
  <si>
    <t>31HC002</t>
  </si>
  <si>
    <t>31CH002.CV</t>
  </si>
  <si>
    <t>31HC003</t>
  </si>
  <si>
    <t>31CH003.CV</t>
  </si>
  <si>
    <t>31HCRG</t>
  </si>
  <si>
    <t>31GASRYHC.C1</t>
  </si>
  <si>
    <t>31GASRYHC.C2</t>
  </si>
  <si>
    <t>31GASRYHC.C3</t>
  </si>
  <si>
    <t>31GASRYHC.C3A</t>
  </si>
  <si>
    <t>31GASRYHC.C4A</t>
  </si>
  <si>
    <t>31GASRYHC.C5A</t>
  </si>
  <si>
    <t>31GASRYHC.C6B</t>
  </si>
  <si>
    <t>31GASRYHC.CO</t>
  </si>
  <si>
    <t>31GASRYHC.CO2</t>
  </si>
  <si>
    <t>31GASRYHC.H2</t>
  </si>
  <si>
    <t>31GASRYHC.IC4</t>
  </si>
  <si>
    <t>31GASRYHC.IC5</t>
  </si>
  <si>
    <t>31GASRYHC.N2</t>
  </si>
  <si>
    <t>31GASRYHC.NC4</t>
  </si>
  <si>
    <t>31GASRYHC.NC5</t>
  </si>
  <si>
    <t>31GASRYHC.O2</t>
  </si>
  <si>
    <t>31HU051</t>
  </si>
  <si>
    <t>3-1-H02 DMC UPTIME</t>
  </si>
  <si>
    <t>31HU051.CV</t>
  </si>
  <si>
    <t>31I001B</t>
  </si>
  <si>
    <t>RCY COMPR MOTOR</t>
  </si>
  <si>
    <t>31II001B.PV</t>
  </si>
  <si>
    <t>31J100</t>
  </si>
  <si>
    <t>TURBINE GENTR POWER OUTPUT</t>
  </si>
  <si>
    <t>31JI100.PV</t>
  </si>
  <si>
    <t>31L003</t>
  </si>
  <si>
    <t>FEED SURGE DRUM LEVEL</t>
  </si>
  <si>
    <t>31LC003.PV</t>
  </si>
  <si>
    <t>31L014</t>
  </si>
  <si>
    <t>STAGE 1 SUCTION DRUM LEVEL</t>
  </si>
  <si>
    <t>31LI014.PV</t>
  </si>
  <si>
    <t>31L017</t>
  </si>
  <si>
    <t>COMP A STAGE 3 SUCTION DRUM</t>
  </si>
  <si>
    <t>31LI017.PV</t>
  </si>
  <si>
    <t>31L023</t>
  </si>
  <si>
    <t>COMP A STAGE 2 SUCTION DRUM</t>
  </si>
  <si>
    <t>31LI023.PV</t>
  </si>
  <si>
    <t>31L026</t>
  </si>
  <si>
    <t>COMP B STAGE 3 SUCTION DRUM</t>
  </si>
  <si>
    <t>31LI026.PV</t>
  </si>
  <si>
    <t>31L032</t>
  </si>
  <si>
    <t>COMP B STAGE 2 SUCTION DRUM</t>
  </si>
  <si>
    <t>31LI032.PV</t>
  </si>
  <si>
    <t>31L035</t>
  </si>
  <si>
    <t>SOUR WATER FLASH DRM WATER LEVEL</t>
  </si>
  <si>
    <t>31LC035.PV</t>
  </si>
  <si>
    <t>31L038</t>
  </si>
  <si>
    <t>SOUR WATER FLASH DRUM OIL LEVEL</t>
  </si>
  <si>
    <t>31LI038.PV</t>
  </si>
  <si>
    <t>31L041</t>
  </si>
  <si>
    <t>HP SEPARATOR INTERFACE</t>
  </si>
  <si>
    <t>31LC041.PV</t>
  </si>
  <si>
    <t>31L045</t>
  </si>
  <si>
    <t>HP SEPARATOR LIQUID LEVEL</t>
  </si>
  <si>
    <t>31LC045.PV</t>
  </si>
  <si>
    <t>31L046</t>
  </si>
  <si>
    <t>HP SEP. LIQUID LEVEL ALARMS</t>
  </si>
  <si>
    <t>31LI046.PV</t>
  </si>
  <si>
    <t>31L053</t>
  </si>
  <si>
    <t>LP SEPARATOR INTERFACE</t>
  </si>
  <si>
    <t>31LC053.PV</t>
  </si>
  <si>
    <t>31L055</t>
  </si>
  <si>
    <t>RCY OIL SURGE DRUM</t>
  </si>
  <si>
    <t>31LC055.PV</t>
  </si>
  <si>
    <t>31L058</t>
  </si>
  <si>
    <t>LP SEPARATOR LIQUID LEVEL</t>
  </si>
  <si>
    <t>31LC058.PV</t>
  </si>
  <si>
    <t>31L064</t>
  </si>
  <si>
    <t>CONDENSATE SURGE DRUM</t>
  </si>
  <si>
    <t>31LC064.PV</t>
  </si>
  <si>
    <t>31LPSG</t>
  </si>
  <si>
    <t>31FUGLPSP.C1</t>
  </si>
  <si>
    <t>31FUGLPSP.C2</t>
  </si>
  <si>
    <t>31FUGLPSP.C3</t>
  </si>
  <si>
    <t>31FUGLPSP.C3A</t>
  </si>
  <si>
    <t>31FUGLPSP.C4A</t>
  </si>
  <si>
    <t>31FUGLPSP.C5A</t>
  </si>
  <si>
    <t>31FUGLPSP.C6B</t>
  </si>
  <si>
    <t>31FUGLPSP.CO</t>
  </si>
  <si>
    <t>31FUGLPSP.CO2</t>
  </si>
  <si>
    <t>31FUGLPSP.H2</t>
  </si>
  <si>
    <t>31FUGLPSP.IC4</t>
  </si>
  <si>
    <t>31FUGLPSP.IC5</t>
  </si>
  <si>
    <t>31FUGLPSP.N2</t>
  </si>
  <si>
    <t>31FUGLPSP.NC4</t>
  </si>
  <si>
    <t>31FUGLPSP.NC5</t>
  </si>
  <si>
    <t>31FUGLPSP.O2</t>
  </si>
  <si>
    <t>31LU055</t>
  </si>
  <si>
    <t>3-1-R02 WABT DMC UPTIME</t>
  </si>
  <si>
    <t>31LU055.CV</t>
  </si>
  <si>
    <t>31LV003</t>
  </si>
  <si>
    <t>31LC003.OP</t>
  </si>
  <si>
    <t>31LV035</t>
  </si>
  <si>
    <t>SOUR WTR FLASH DRUM WATER LEVEL</t>
  </si>
  <si>
    <t>31LC035.OP</t>
  </si>
  <si>
    <t>31LV041</t>
  </si>
  <si>
    <t>HP.SEP INTERFACE</t>
  </si>
  <si>
    <t>31LC041.OP</t>
  </si>
  <si>
    <t>31LV045</t>
  </si>
  <si>
    <t>HP.SEP LIQUID LEVEL</t>
  </si>
  <si>
    <t>31LC045.OP</t>
  </si>
  <si>
    <t>31LV053</t>
  </si>
  <si>
    <t>LP SEP INTERFACE</t>
  </si>
  <si>
    <t>31LC053.OP</t>
  </si>
  <si>
    <t>31LV058</t>
  </si>
  <si>
    <t>LP SEP LIQUID LEVEL</t>
  </si>
  <si>
    <t>31LC058.OP</t>
  </si>
  <si>
    <t>31LV064</t>
  </si>
  <si>
    <t>CONDENSER SURGE DRUM</t>
  </si>
  <si>
    <t>31LC064.OP</t>
  </si>
  <si>
    <t>31OU001</t>
  </si>
  <si>
    <t>3-1-R01 TIME IN OPTIMIZE MODE</t>
  </si>
  <si>
    <t>31OU001.CV</t>
  </si>
  <si>
    <t>31OU002</t>
  </si>
  <si>
    <t>3-1-R02 TIME IN OPTIMIZE MODE</t>
  </si>
  <si>
    <t>31OU002.CV</t>
  </si>
  <si>
    <t>31OU003</t>
  </si>
  <si>
    <t>EXCHANGERS TIME IN OPTIMIZE MODE</t>
  </si>
  <si>
    <t>31OU003.CV</t>
  </si>
  <si>
    <t>31OU004</t>
  </si>
  <si>
    <t>LP SEP TIME IN OPTIMIZE MODE</t>
  </si>
  <si>
    <t>31OU004.CV</t>
  </si>
  <si>
    <t>31P005</t>
  </si>
  <si>
    <t>FEED SURGE DRUM PRESS CONTROL SR</t>
  </si>
  <si>
    <t>31PC005.PV</t>
  </si>
  <si>
    <t>31P010</t>
  </si>
  <si>
    <t>MAKEUP COMPR SUCTION</t>
  </si>
  <si>
    <t>31PC010.PV</t>
  </si>
  <si>
    <t>31P011</t>
  </si>
  <si>
    <t>COMPRESSOR A STAGE 2 DISCHARGE</t>
  </si>
  <si>
    <t>31PI011.PV</t>
  </si>
  <si>
    <t>31P012</t>
  </si>
  <si>
    <t>COMPRESSOR A STAGE 3 DISCHARGE</t>
  </si>
  <si>
    <t>31PI012.PV</t>
  </si>
  <si>
    <t>31P013</t>
  </si>
  <si>
    <t>COMPRESSOR A STAGE 1 DISCHARGE</t>
  </si>
  <si>
    <t>31PI013.PV</t>
  </si>
  <si>
    <t>31P014</t>
  </si>
  <si>
    <t>COMPRESSOR B STAGE 3 DISCHARGE</t>
  </si>
  <si>
    <t>31PI014.PV</t>
  </si>
  <si>
    <t>31P015</t>
  </si>
  <si>
    <t>COMPRESSOR B STAGE 2 DISCHARGE</t>
  </si>
  <si>
    <t>31PI015.PV</t>
  </si>
  <si>
    <t>31P016</t>
  </si>
  <si>
    <t>COMPRESSOR B STAGE 1 DISCHARGE</t>
  </si>
  <si>
    <t>31PI016.PV</t>
  </si>
  <si>
    <t>31P017</t>
  </si>
  <si>
    <t>SOUR WATER FLASH DRM PRESSURE</t>
  </si>
  <si>
    <t>31PC017.PV</t>
  </si>
  <si>
    <t>31P018</t>
  </si>
  <si>
    <t>RCY COMPR DISCHARGE - RCY GAS</t>
  </si>
  <si>
    <t>31PI018.PV</t>
  </si>
  <si>
    <t>31P019</t>
  </si>
  <si>
    <t>RCY COMPR SUCTION - RCY GAS</t>
  </si>
  <si>
    <t>31PI019.PV</t>
  </si>
  <si>
    <t>31P021</t>
  </si>
  <si>
    <t>HP SEPARATOR OVERHEAD PRESS</t>
  </si>
  <si>
    <t>31PC021.PV</t>
  </si>
  <si>
    <t>31P022</t>
  </si>
  <si>
    <t>HP SEPARATOR OVHD PRESS - REGEN</t>
  </si>
  <si>
    <t>31PC022.PV</t>
  </si>
  <si>
    <t>31P023</t>
  </si>
  <si>
    <t>LP SEPARATOR OVERHEAD</t>
  </si>
  <si>
    <t>31PC023.PV</t>
  </si>
  <si>
    <t>31P024</t>
  </si>
  <si>
    <t>RCY OIL SURGE DRUM INLET</t>
  </si>
  <si>
    <t>31PC024.PV</t>
  </si>
  <si>
    <t>31P025</t>
  </si>
  <si>
    <t>FUEL GAS KO DRUM PRESSURE</t>
  </si>
  <si>
    <t>31PC025.PV</t>
  </si>
  <si>
    <t>31P034</t>
  </si>
  <si>
    <t>FUEL GAS TO H-01</t>
  </si>
  <si>
    <t>31PC034.PV</t>
  </si>
  <si>
    <t>31P035</t>
  </si>
  <si>
    <t>FUEL GAS TO H-02</t>
  </si>
  <si>
    <t>31PC035.PV</t>
  </si>
  <si>
    <t>31P036</t>
  </si>
  <si>
    <t>3-1-H02 DRAFT</t>
  </si>
  <si>
    <t>31PI036.PV</t>
  </si>
  <si>
    <t>31P038</t>
  </si>
  <si>
    <t>3-1-H01 DRAFT</t>
  </si>
  <si>
    <t>31PI038.PV</t>
  </si>
  <si>
    <t>31P628</t>
  </si>
  <si>
    <t>AIR RECEIVER PRESSURE OUTLET</t>
  </si>
  <si>
    <t>31PI628.PV</t>
  </si>
  <si>
    <t>31P631</t>
  </si>
  <si>
    <t>COND TO COND SURGE DRUM</t>
  </si>
  <si>
    <t>31PC631.PV</t>
  </si>
  <si>
    <t>31PC021</t>
  </si>
  <si>
    <t>31CP021.CV</t>
  </si>
  <si>
    <t>31PC023</t>
  </si>
  <si>
    <t>31CP023.CV</t>
  </si>
  <si>
    <t>31PD006</t>
  </si>
  <si>
    <t>R-01 INLET OUTLET DIFP</t>
  </si>
  <si>
    <t>31PDI006.PV</t>
  </si>
  <si>
    <t>31PD007</t>
  </si>
  <si>
    <t>R-01 INLET BED 1 DIFP</t>
  </si>
  <si>
    <t>31PDI007.PV</t>
  </si>
  <si>
    <t>31PD009</t>
  </si>
  <si>
    <t>R-02 INLET BED 1 DIFP</t>
  </si>
  <si>
    <t>31PDI009.PV</t>
  </si>
  <si>
    <t>31PD049</t>
  </si>
  <si>
    <t>R-02 INLET OUTLET DIFP</t>
  </si>
  <si>
    <t>31PDI049.PV</t>
  </si>
  <si>
    <t>31PD060</t>
  </si>
  <si>
    <t>RECYCLE COMPR DIFF PRESS</t>
  </si>
  <si>
    <t>31PDI060.PV</t>
  </si>
  <si>
    <t>31PM001</t>
  </si>
  <si>
    <t>3-1-FS01 DIFF. PRESSURE (PSI)</t>
  </si>
  <si>
    <t>31MP001.PV</t>
  </si>
  <si>
    <t>31PV005</t>
  </si>
  <si>
    <t>FEED SURGE DRUM PRESSURE CONTROL</t>
  </si>
  <si>
    <t>31PC005.OP</t>
  </si>
  <si>
    <t>31PV010</t>
  </si>
  <si>
    <t>MAKEUP COMPRESSOR SUCTION</t>
  </si>
  <si>
    <t>31PC010.OP</t>
  </si>
  <si>
    <t>31PV017</t>
  </si>
  <si>
    <t>SOUR WATER FLASH DRUM PRESSURE</t>
  </si>
  <si>
    <t>31PC017.OP</t>
  </si>
  <si>
    <t>31PV021</t>
  </si>
  <si>
    <t>HP.SEP OVERHEAD PRESSURE</t>
  </si>
  <si>
    <t>31PC021.OP</t>
  </si>
  <si>
    <t>31PV022</t>
  </si>
  <si>
    <t>HP.SEP OVERHEAD PRESSURE REGEN</t>
  </si>
  <si>
    <t>31PC022.OP</t>
  </si>
  <si>
    <t>31PV023</t>
  </si>
  <si>
    <t>LP SEP OVERHEAD</t>
  </si>
  <si>
    <t>31PC023.OP</t>
  </si>
  <si>
    <t>31PV024</t>
  </si>
  <si>
    <t>31PC024.OP</t>
  </si>
  <si>
    <t>31PV025</t>
  </si>
  <si>
    <t>31PC025.OP</t>
  </si>
  <si>
    <t>31PV034</t>
  </si>
  <si>
    <t>31PC034.OP</t>
  </si>
  <si>
    <t>31PV035</t>
  </si>
  <si>
    <t>31PC035.OP</t>
  </si>
  <si>
    <t>31PV631</t>
  </si>
  <si>
    <t>31PC631.OP</t>
  </si>
  <si>
    <t>31RC001</t>
  </si>
  <si>
    <t>3-1-R01 RECYCLE GAS/OIL RATIO</t>
  </si>
  <si>
    <t>31CR001.CV</t>
  </si>
  <si>
    <t>31RC002</t>
  </si>
  <si>
    <t>3-1-R02 RECYCLE GAS/OIL RATIO</t>
  </si>
  <si>
    <t>31CR002.CV</t>
  </si>
  <si>
    <t>31RC003</t>
  </si>
  <si>
    <t>HYDROCRACKER CONVERSION PER PASS</t>
  </si>
  <si>
    <t>31CR003.CV</t>
  </si>
  <si>
    <t>31RC004</t>
  </si>
  <si>
    <t>3-1-R02 BED1/2 TEMP RISE RATIO</t>
  </si>
  <si>
    <t>31CR004.CV</t>
  </si>
  <si>
    <t>31RC005</t>
  </si>
  <si>
    <t>HYCR H2 CONSUMPTION/M3 FEED</t>
  </si>
  <si>
    <t>31CR005.CV</t>
  </si>
  <si>
    <t>31RC006</t>
  </si>
  <si>
    <t>RECYCLE OIL IN 15 TK</t>
  </si>
  <si>
    <t>31CR006.CV</t>
  </si>
  <si>
    <t>31RC009</t>
  </si>
  <si>
    <t>HYC C3 TO JET YIELD</t>
  </si>
  <si>
    <t>31CR009.CV</t>
  </si>
  <si>
    <t>31RC010</t>
  </si>
  <si>
    <t>HYC C4 TO JET YIELD</t>
  </si>
  <si>
    <t>31CR010.CV</t>
  </si>
  <si>
    <t>31RC011</t>
  </si>
  <si>
    <t>HYC C5 TO JET YIELD</t>
  </si>
  <si>
    <t>31CR011.CV</t>
  </si>
  <si>
    <t>31RM003</t>
  </si>
  <si>
    <t>HC TARGET CONVERSION</t>
  </si>
  <si>
    <t>31MR003.PV</t>
  </si>
  <si>
    <t>31SC001</t>
  </si>
  <si>
    <t>31CS001.CV</t>
  </si>
  <si>
    <t>31T001A</t>
  </si>
  <si>
    <t>R-01 INLET CONTROL - START UP</t>
  </si>
  <si>
    <t>31TC001A.PV</t>
  </si>
  <si>
    <t>31T001B</t>
  </si>
  <si>
    <t>R-01 INLET CONTROL</t>
  </si>
  <si>
    <t>31TC001B.PV</t>
  </si>
  <si>
    <t>31T004A</t>
  </si>
  <si>
    <t>R-02 INLET CONTROL - START UP</t>
  </si>
  <si>
    <t>31TC004A.PV</t>
  </si>
  <si>
    <t>31T004B</t>
  </si>
  <si>
    <t>R-02 INLET CONTROL</t>
  </si>
  <si>
    <t>31TC004B.PV</t>
  </si>
  <si>
    <t>31T008</t>
  </si>
  <si>
    <t>E-01 FRESH FEED OUTLET</t>
  </si>
  <si>
    <t>31TC008.PV</t>
  </si>
  <si>
    <t>31T009</t>
  </si>
  <si>
    <t>E-02 RCY OIL COMBINED OUTLET</t>
  </si>
  <si>
    <t>31TC009.PV</t>
  </si>
  <si>
    <t>31T010</t>
  </si>
  <si>
    <t>E-03 RCY GAS OUTLET</t>
  </si>
  <si>
    <t>31TC010.PV</t>
  </si>
  <si>
    <t>31T012</t>
  </si>
  <si>
    <t>E-07 PREFLASH FEED OUTLET</t>
  </si>
  <si>
    <t>31TC012.PV</t>
  </si>
  <si>
    <t>31T013</t>
  </si>
  <si>
    <t>E-11 REACTOR EFFLUENT OUTLET</t>
  </si>
  <si>
    <t>31TC013.PV</t>
  </si>
  <si>
    <t>31T014</t>
  </si>
  <si>
    <t>31TC014.PV</t>
  </si>
  <si>
    <t>31T015</t>
  </si>
  <si>
    <t>E-16 RCY OIL OUTLET</t>
  </si>
  <si>
    <t>31TC015.PV</t>
  </si>
  <si>
    <t>31T045</t>
  </si>
  <si>
    <t>E-05 PREFLASH BOTTOMS OUTLET</t>
  </si>
  <si>
    <t>31TC045.PV</t>
  </si>
  <si>
    <t>31T111</t>
  </si>
  <si>
    <t>FRESH FEED FROM STORAGE</t>
  </si>
  <si>
    <t>31TI111.PV</t>
  </si>
  <si>
    <t>31T116A</t>
  </si>
  <si>
    <t>R-01 BED 1 INLET</t>
  </si>
  <si>
    <t>31TI116A.PV</t>
  </si>
  <si>
    <t>31T116B</t>
  </si>
  <si>
    <t>31TI116B.PV</t>
  </si>
  <si>
    <t>31T116C</t>
  </si>
  <si>
    <t>31TI116C.PV</t>
  </si>
  <si>
    <t>31T117A</t>
  </si>
  <si>
    <t>R-01 BED 1 MID</t>
  </si>
  <si>
    <t>31TI117A.PV</t>
  </si>
  <si>
    <t>31T117B</t>
  </si>
  <si>
    <t>31TI117B.PV</t>
  </si>
  <si>
    <t>31T117C</t>
  </si>
  <si>
    <t>31TI117C.PV</t>
  </si>
  <si>
    <t>31T118A</t>
  </si>
  <si>
    <t>R-01 BED 1 OUTLET</t>
  </si>
  <si>
    <t>31TI118A.PV</t>
  </si>
  <si>
    <t>31T118B</t>
  </si>
  <si>
    <t>31TI118B.PV</t>
  </si>
  <si>
    <t>31T118C</t>
  </si>
  <si>
    <t>31TI118C.PV</t>
  </si>
  <si>
    <t>31T119A</t>
  </si>
  <si>
    <t>R-01 BED 2 INLET - START UP</t>
  </si>
  <si>
    <t>31TC119A.PV</t>
  </si>
  <si>
    <t>31T119B</t>
  </si>
  <si>
    <t>R-01 BED 2 INLET CONTROL</t>
  </si>
  <si>
    <t>31TC119B.PV</t>
  </si>
  <si>
    <t>31T119C</t>
  </si>
  <si>
    <t>R-01 BED 2 INLET</t>
  </si>
  <si>
    <t>31TI119C.PV</t>
  </si>
  <si>
    <t>31T120A</t>
  </si>
  <si>
    <t>R-01 BED 2 MID</t>
  </si>
  <si>
    <t>31TI120A.PV</t>
  </si>
  <si>
    <t>31T120B</t>
  </si>
  <si>
    <t>31TI120B.PV</t>
  </si>
  <si>
    <t>31T120C</t>
  </si>
  <si>
    <t>31TI120C.PV</t>
  </si>
  <si>
    <t>31T121A</t>
  </si>
  <si>
    <t>R-01 BED 2 OUTLET</t>
  </si>
  <si>
    <t>31TI121A.PV</t>
  </si>
  <si>
    <t>31T121B</t>
  </si>
  <si>
    <t>31TI121B.PV</t>
  </si>
  <si>
    <t>31T121C</t>
  </si>
  <si>
    <t>31TI121C.PV</t>
  </si>
  <si>
    <t>31T122A</t>
  </si>
  <si>
    <t>R-01 BED 3 INLET - START UP</t>
  </si>
  <si>
    <t>31TC122A.PV</t>
  </si>
  <si>
    <t>31T122B</t>
  </si>
  <si>
    <t>R-01 BED 3 INLET CONTROL</t>
  </si>
  <si>
    <t>31TC122B.PV</t>
  </si>
  <si>
    <t>31T122C</t>
  </si>
  <si>
    <t>R-01 BED 3 INLET</t>
  </si>
  <si>
    <t>31TI122C.PV</t>
  </si>
  <si>
    <t>31T123A</t>
  </si>
  <si>
    <t>R-01 BED 3 UPPER</t>
  </si>
  <si>
    <t>31TI123A.PV</t>
  </si>
  <si>
    <t>31T123B</t>
  </si>
  <si>
    <t>31TI123B.PV</t>
  </si>
  <si>
    <t>31T123C</t>
  </si>
  <si>
    <t>31TI123C.PV</t>
  </si>
  <si>
    <t>31T124A</t>
  </si>
  <si>
    <t>R-01 BED 3 LOWER</t>
  </si>
  <si>
    <t>31TI124A.PV</t>
  </si>
  <si>
    <t>31T124B</t>
  </si>
  <si>
    <t>31TI124B.PV</t>
  </si>
  <si>
    <t>31T124C</t>
  </si>
  <si>
    <t>31TI124C.PV</t>
  </si>
  <si>
    <t>31T125A</t>
  </si>
  <si>
    <t>R-01 BED 3 OUTLET</t>
  </si>
  <si>
    <t>31TI125A.PV</t>
  </si>
  <si>
    <t>31T125B</t>
  </si>
  <si>
    <t>31TI125B.PV</t>
  </si>
  <si>
    <t>31T125C</t>
  </si>
  <si>
    <t>31TI125C.PV</t>
  </si>
  <si>
    <t>31T126</t>
  </si>
  <si>
    <t>R-01 OUTLET</t>
  </si>
  <si>
    <t>31TI126.PV</t>
  </si>
  <si>
    <t>31T127</t>
  </si>
  <si>
    <t>R-01 EFFLUENT WITH RCY OIL</t>
  </si>
  <si>
    <t>31TI127.PV</t>
  </si>
  <si>
    <t>31T130A</t>
  </si>
  <si>
    <t>R-02 BED 1 INLET</t>
  </si>
  <si>
    <t>31TI130A.PV</t>
  </si>
  <si>
    <t>31T130B</t>
  </si>
  <si>
    <t>31TI130B.PV</t>
  </si>
  <si>
    <t>31T130C</t>
  </si>
  <si>
    <t>31TI130C.PV</t>
  </si>
  <si>
    <t>31T131A</t>
  </si>
  <si>
    <t>R-02 BED 1 CROSS BOTTOM</t>
  </si>
  <si>
    <t>31TI131A.PV</t>
  </si>
  <si>
    <t>31T131B</t>
  </si>
  <si>
    <t>31TI131B.PV</t>
  </si>
  <si>
    <t>31T131C</t>
  </si>
  <si>
    <t>31TI131C.PV</t>
  </si>
  <si>
    <t>31T132A</t>
  </si>
  <si>
    <t>R-02 BED 1 OUTLET</t>
  </si>
  <si>
    <t>31TI132A.PV</t>
  </si>
  <si>
    <t>31T132B</t>
  </si>
  <si>
    <t>31TI132B.PV</t>
  </si>
  <si>
    <t>31T132C</t>
  </si>
  <si>
    <t>31TI132C.PV</t>
  </si>
  <si>
    <t>31T133A</t>
  </si>
  <si>
    <t>R-02 BED 2 INLET - START UP</t>
  </si>
  <si>
    <t>31TC133A.PV</t>
  </si>
  <si>
    <t>31T133B</t>
  </si>
  <si>
    <t>R-02 BED 2 INLET CONTROL</t>
  </si>
  <si>
    <t>31TC133B.PV</t>
  </si>
  <si>
    <t>31T133C</t>
  </si>
  <si>
    <t>R-02 BED 2 INLET</t>
  </si>
  <si>
    <t>31TI133C.PV</t>
  </si>
  <si>
    <t>31T134A</t>
  </si>
  <si>
    <t>R-02 BED 2 CROSS BOTTOM</t>
  </si>
  <si>
    <t>31TI134A.PV</t>
  </si>
  <si>
    <t>31T134B</t>
  </si>
  <si>
    <t>31TI134B.PV</t>
  </si>
  <si>
    <t>31T134C</t>
  </si>
  <si>
    <t>31TI134C.PV</t>
  </si>
  <si>
    <t>31T135A</t>
  </si>
  <si>
    <t>R-02 BED 2 OUTLET</t>
  </si>
  <si>
    <t>31TI135A.PV</t>
  </si>
  <si>
    <t>31T135B</t>
  </si>
  <si>
    <t>31TI135B.PV</t>
  </si>
  <si>
    <t>31T135C</t>
  </si>
  <si>
    <t>31TI135C.PV</t>
  </si>
  <si>
    <t>31T136A</t>
  </si>
  <si>
    <t>R-02 BED 3 INLET - START UP</t>
  </si>
  <si>
    <t>31TC136A.PV</t>
  </si>
  <si>
    <t>31T136B</t>
  </si>
  <si>
    <t>R-02 BED 3 INLET CONTROL</t>
  </si>
  <si>
    <t>31TC136B.PV</t>
  </si>
  <si>
    <t>31T136C</t>
  </si>
  <si>
    <t>R-02 BED 3 INLET</t>
  </si>
  <si>
    <t>31TI136C.PV</t>
  </si>
  <si>
    <t>31T137A</t>
  </si>
  <si>
    <t>R-02 BED 3 CROSS BOTTOM</t>
  </si>
  <si>
    <t>31TI137A.PV</t>
  </si>
  <si>
    <t>31T137B</t>
  </si>
  <si>
    <t>31TI137B.PV</t>
  </si>
  <si>
    <t>31T137C</t>
  </si>
  <si>
    <t>31TI137C.PV</t>
  </si>
  <si>
    <t>31T138A</t>
  </si>
  <si>
    <t>R-02 BED 3 OUTLET</t>
  </si>
  <si>
    <t>31TI138A.PV</t>
  </si>
  <si>
    <t>31T138B</t>
  </si>
  <si>
    <t>31TI138B.PV</t>
  </si>
  <si>
    <t>31T138C</t>
  </si>
  <si>
    <t>31TI138C.PV</t>
  </si>
  <si>
    <t>31T139A</t>
  </si>
  <si>
    <t>R-02 BED 4 INLET - START UP</t>
  </si>
  <si>
    <t>31TC139A.PV</t>
  </si>
  <si>
    <t>31T139B</t>
  </si>
  <si>
    <t>R-02 BED 4 INLET CONTROL</t>
  </si>
  <si>
    <t>31TC139B.PV</t>
  </si>
  <si>
    <t>31T139C</t>
  </si>
  <si>
    <t>R-02 BED 4 INLET</t>
  </si>
  <si>
    <t>31TI139C.PV</t>
  </si>
  <si>
    <t>31T140A</t>
  </si>
  <si>
    <t>R02 BED 4 CROSS BOTTOM</t>
  </si>
  <si>
    <t>31TI140A.PV</t>
  </si>
  <si>
    <t>31T140B</t>
  </si>
  <si>
    <t>31TI140B.PV</t>
  </si>
  <si>
    <t>31T140C</t>
  </si>
  <si>
    <t>31TI140C.PV</t>
  </si>
  <si>
    <t>31T141A</t>
  </si>
  <si>
    <t>R02 BED 4 OUTLET</t>
  </si>
  <si>
    <t>31TI141A.PV</t>
  </si>
  <si>
    <t>31T141B</t>
  </si>
  <si>
    <t>31TI141B.PV</t>
  </si>
  <si>
    <t>31T141C</t>
  </si>
  <si>
    <t>31TI141C.PV</t>
  </si>
  <si>
    <t>31T142</t>
  </si>
  <si>
    <t>R-02 OUTLET</t>
  </si>
  <si>
    <t>31TI142.PV</t>
  </si>
  <si>
    <t>31T143</t>
  </si>
  <si>
    <t>E-01 EFFLUENT OUTLET</t>
  </si>
  <si>
    <t>31TI143.PV</t>
  </si>
  <si>
    <t>31T144</t>
  </si>
  <si>
    <t>E-02 EFFLUENT OUTLET</t>
  </si>
  <si>
    <t>31TI144.PV</t>
  </si>
  <si>
    <t>31T145</t>
  </si>
  <si>
    <t>E-03 EFFLUENT OUTLET</t>
  </si>
  <si>
    <t>31TI145.PV</t>
  </si>
  <si>
    <t>31T146</t>
  </si>
  <si>
    <t>E-04 EFFLUENT OUTLET</t>
  </si>
  <si>
    <t>31TI146.PV</t>
  </si>
  <si>
    <t>31T147</t>
  </si>
  <si>
    <t>E-05 EFFLUENT OUTLET</t>
  </si>
  <si>
    <t>31TI147.PV</t>
  </si>
  <si>
    <t>31T148</t>
  </si>
  <si>
    <t>E-09 EFFLUENT OUTLET</t>
  </si>
  <si>
    <t>31TI148.PV</t>
  </si>
  <si>
    <t>31T149</t>
  </si>
  <si>
    <t>E-08 EFFLUENT OUTLET</t>
  </si>
  <si>
    <t>31TI149.PV</t>
  </si>
  <si>
    <t>31T150</t>
  </si>
  <si>
    <t>E-07 EFFLUENT OUTLET</t>
  </si>
  <si>
    <t>31TI150.PV</t>
  </si>
  <si>
    <t>31T151</t>
  </si>
  <si>
    <t>E-11 EFFLUENT OUTLET</t>
  </si>
  <si>
    <t>31TI151.PV</t>
  </si>
  <si>
    <t>31T152</t>
  </si>
  <si>
    <t>E-12 EFFLUENT INLET</t>
  </si>
  <si>
    <t>31TI152.PV</t>
  </si>
  <si>
    <t>31T153</t>
  </si>
  <si>
    <t>E-12 EFFLUENT OUTLET</t>
  </si>
  <si>
    <t>31TI153.PV</t>
  </si>
  <si>
    <t>31T154</t>
  </si>
  <si>
    <t>E-08 FRESH FEED INLET</t>
  </si>
  <si>
    <t>31TI154.PV</t>
  </si>
  <si>
    <t>31T155</t>
  </si>
  <si>
    <t>E-08 FRESH FEED OUTLET</t>
  </si>
  <si>
    <t>31TI155.PV</t>
  </si>
  <si>
    <t>31T157</t>
  </si>
  <si>
    <t>E-04 FRESH FEED OUTLET</t>
  </si>
  <si>
    <t>31TI157.PV</t>
  </si>
  <si>
    <t>31T158</t>
  </si>
  <si>
    <t>31TI158.PV</t>
  </si>
  <si>
    <t>31T159</t>
  </si>
  <si>
    <t>E-02 RCY OIL INLET</t>
  </si>
  <si>
    <t>31TI159.PV</t>
  </si>
  <si>
    <t>31T160</t>
  </si>
  <si>
    <t>E-02 RCY OIL OUTLET</t>
  </si>
  <si>
    <t>31TI160.PV</t>
  </si>
  <si>
    <t>31T161</t>
  </si>
  <si>
    <t>31TI161.PV</t>
  </si>
  <si>
    <t>31T162</t>
  </si>
  <si>
    <t>31TI162.PV</t>
  </si>
  <si>
    <t>31T163</t>
  </si>
  <si>
    <t>31TI163.PV</t>
  </si>
  <si>
    <t>31T164</t>
  </si>
  <si>
    <t>E-07 PREFLASH FEED INLET</t>
  </si>
  <si>
    <t>31TI164.PV</t>
  </si>
  <si>
    <t>31T165</t>
  </si>
  <si>
    <t>E07 PREFLASH FEED OUTLET</t>
  </si>
  <si>
    <t>31TI165.PV</t>
  </si>
  <si>
    <t>31T166</t>
  </si>
  <si>
    <t>31TI166.PV</t>
  </si>
  <si>
    <t>31T167</t>
  </si>
  <si>
    <t>E-09 RCY GAS OUTLET</t>
  </si>
  <si>
    <t>31TI167.PV</t>
  </si>
  <si>
    <t>31T168</t>
  </si>
  <si>
    <t>31TI168.PV</t>
  </si>
  <si>
    <t>31T169</t>
  </si>
  <si>
    <t>E-03 RCY GAS OUTLET COMBINED</t>
  </si>
  <si>
    <t>31TI169.PV</t>
  </si>
  <si>
    <t>31T181</t>
  </si>
  <si>
    <t>E-17 CONDENSER COOLER OUTLET</t>
  </si>
  <si>
    <t>31TI181.PV</t>
  </si>
  <si>
    <t>31T191</t>
  </si>
  <si>
    <t>COMP A STAGE 2 DISCHARGE</t>
  </si>
  <si>
    <t>31TI191.PV</t>
  </si>
  <si>
    <t>31T202</t>
  </si>
  <si>
    <t>COMP 1 STAGE 3 DISCHARGE</t>
  </si>
  <si>
    <t>31TI202.PV</t>
  </si>
  <si>
    <t>31T203</t>
  </si>
  <si>
    <t>COMP A STAGE 1 DISCHARGE</t>
  </si>
  <si>
    <t>31TI203.PV</t>
  </si>
  <si>
    <t>31T207</t>
  </si>
  <si>
    <t>E-15 DISCHARGE COOLER INLET</t>
  </si>
  <si>
    <t>31TI207.PV</t>
  </si>
  <si>
    <t>31T208</t>
  </si>
  <si>
    <t>E-15 DISCHARGE COOLER OUTLET</t>
  </si>
  <si>
    <t>31TI208.PV</t>
  </si>
  <si>
    <t>31T210</t>
  </si>
  <si>
    <t>COMP B STAGE 2 DISCHARGE</t>
  </si>
  <si>
    <t>31TI210.PV</t>
  </si>
  <si>
    <t>31T221</t>
  </si>
  <si>
    <t>COMP B STAGE 3 DISCHARGE</t>
  </si>
  <si>
    <t>31TI221.PV</t>
  </si>
  <si>
    <t>31T222</t>
  </si>
  <si>
    <t>COMP B STAGE 1 DISCHARGE</t>
  </si>
  <si>
    <t>31TI222.PV</t>
  </si>
  <si>
    <t>31T226A</t>
  </si>
  <si>
    <t>RCY COMP DISCHARGE TEMPERATURE</t>
  </si>
  <si>
    <t>31TI226A.PV</t>
  </si>
  <si>
    <t>31T229</t>
  </si>
  <si>
    <t>HP.SEP OVERHEAD OUTLET</t>
  </si>
  <si>
    <t>31TI229.PV</t>
  </si>
  <si>
    <t>31T230</t>
  </si>
  <si>
    <t>LP SEP OVERHEAD VAPOUR</t>
  </si>
  <si>
    <t>31TI230.PV</t>
  </si>
  <si>
    <t>31T231</t>
  </si>
  <si>
    <t>31TI231.PV</t>
  </si>
  <si>
    <t>31T235</t>
  </si>
  <si>
    <t>E-16 RCY OIL COOLER OUTLET</t>
  </si>
  <si>
    <t>31TI235.PV</t>
  </si>
  <si>
    <t>31T239</t>
  </si>
  <si>
    <t>H-01 OUTLET PASS 2</t>
  </si>
  <si>
    <t>31TI239.PV</t>
  </si>
  <si>
    <t>31T240</t>
  </si>
  <si>
    <t>H-01 OUTLET PASS 1</t>
  </si>
  <si>
    <t>31TI240.PV</t>
  </si>
  <si>
    <t>31T241</t>
  </si>
  <si>
    <t>H-01 STACK</t>
  </si>
  <si>
    <t>31TI241.PV</t>
  </si>
  <si>
    <t>31T255</t>
  </si>
  <si>
    <t>H-02 OUTLET PASS 2</t>
  </si>
  <si>
    <t>31TI255.PV</t>
  </si>
  <si>
    <t>31T256</t>
  </si>
  <si>
    <t>H-02 OUTLET PASS 1</t>
  </si>
  <si>
    <t>31TI256.PV</t>
  </si>
  <si>
    <t>31T257</t>
  </si>
  <si>
    <t>H-02 STACK</t>
  </si>
  <si>
    <t>31TI257.PV</t>
  </si>
  <si>
    <t>31T270</t>
  </si>
  <si>
    <t>FUEL GAS KO DRUM TEMPERATURE</t>
  </si>
  <si>
    <t>31TI270.PV</t>
  </si>
  <si>
    <t>31T271</t>
  </si>
  <si>
    <t>COMP A STAGE 2 SUCTION</t>
  </si>
  <si>
    <t>31TI271.PV</t>
  </si>
  <si>
    <t>31T272</t>
  </si>
  <si>
    <t>MAKEUP COMP STAGE 1 SUCTION</t>
  </si>
  <si>
    <t>31TI272.PV</t>
  </si>
  <si>
    <t>31T273</t>
  </si>
  <si>
    <t>COMP A STAGE 3 SUCTION</t>
  </si>
  <si>
    <t>31TI273.PV</t>
  </si>
  <si>
    <t>31T274</t>
  </si>
  <si>
    <t>COMP B STAGE 2 SUCTION</t>
  </si>
  <si>
    <t>31TI274.PV</t>
  </si>
  <si>
    <t>31T276</t>
  </si>
  <si>
    <t>COMP B STAGE 3 SUCTION</t>
  </si>
  <si>
    <t>31TI276.PV</t>
  </si>
  <si>
    <t>31T283</t>
  </si>
  <si>
    <t>H-01 RCY GAS OUTLET HEADER</t>
  </si>
  <si>
    <t>31TI283.PV</t>
  </si>
  <si>
    <t>31T290</t>
  </si>
  <si>
    <t>H-02 RCY GAS OUTLET HEADER</t>
  </si>
  <si>
    <t>31TI290.PV</t>
  </si>
  <si>
    <t>31T315</t>
  </si>
  <si>
    <t>COMP 1 STAGE 1 CYLINDER TEMP</t>
  </si>
  <si>
    <t>31TI315.PV</t>
  </si>
  <si>
    <t>31T316</t>
  </si>
  <si>
    <t>COMP 1 STAGE 2 CYLINDER TEMP</t>
  </si>
  <si>
    <t>31TI316.PV</t>
  </si>
  <si>
    <t>31T317</t>
  </si>
  <si>
    <t>COMP 1 STAGE 3 CYLINDER TEMP</t>
  </si>
  <si>
    <t>31TI317.PV</t>
  </si>
  <si>
    <t>31T318</t>
  </si>
  <si>
    <t>COMP B STAGE 1 CYLINDER TEMP</t>
  </si>
  <si>
    <t>31TI318.PV</t>
  </si>
  <si>
    <t>31T319</t>
  </si>
  <si>
    <t>COMP B STAGE 2 CYLINDER TEMP</t>
  </si>
  <si>
    <t>31TI319.PV</t>
  </si>
  <si>
    <t>31T320</t>
  </si>
  <si>
    <t>COMP B STAGE 3 CYLINDER TEMP</t>
  </si>
  <si>
    <t>31TI320.PV</t>
  </si>
  <si>
    <t>31T343</t>
  </si>
  <si>
    <t>REACTOR UNIT FLARE TEMP</t>
  </si>
  <si>
    <t>31TI343.PV</t>
  </si>
  <si>
    <t>31TC001</t>
  </si>
  <si>
    <t>3-1-R01 BED 1 TEMP RISE</t>
  </si>
  <si>
    <t>31CT001.CV</t>
  </si>
  <si>
    <t>31TC002</t>
  </si>
  <si>
    <t>3-1-R01 BED 2 TEMP RISE</t>
  </si>
  <si>
    <t>31CT002.CV</t>
  </si>
  <si>
    <t>31TC003</t>
  </si>
  <si>
    <t>3-1-R01 BED 3 TEMP RISE</t>
  </si>
  <si>
    <t>31CT003.CV</t>
  </si>
  <si>
    <t>31TC004</t>
  </si>
  <si>
    <t>3-1-R01 TOTAL TEMP RISE</t>
  </si>
  <si>
    <t>31CT004.CV</t>
  </si>
  <si>
    <t>31TC005</t>
  </si>
  <si>
    <t>3-1-R01 WEIGHTED AVG BED TEMP</t>
  </si>
  <si>
    <t>31CT005.CV</t>
  </si>
  <si>
    <t>31TC006</t>
  </si>
  <si>
    <t>3-1-R02 BED 1 TEMP RISE</t>
  </si>
  <si>
    <t>31CT006.CV</t>
  </si>
  <si>
    <t>31TC007</t>
  </si>
  <si>
    <t>3-1-R02 BED 2 TEMP RISE</t>
  </si>
  <si>
    <t>31CT007.CV</t>
  </si>
  <si>
    <t>31TC008</t>
  </si>
  <si>
    <t>3-1-R02 BED 3 TEMP RISE</t>
  </si>
  <si>
    <t>31CT008.CV</t>
  </si>
  <si>
    <t>31TC009</t>
  </si>
  <si>
    <t>3-1-R02 BED 4 TEMP RISE</t>
  </si>
  <si>
    <t>31CT009.CV</t>
  </si>
  <si>
    <t>31TC01</t>
  </si>
  <si>
    <t>31TC010</t>
  </si>
  <si>
    <t>3-1-R02 TOTAL TEMP RISE</t>
  </si>
  <si>
    <t>31CT010.CV</t>
  </si>
  <si>
    <t>31TC011</t>
  </si>
  <si>
    <t>3-1-R02 WEIGHTED AVG. BED TEMP.</t>
  </si>
  <si>
    <t>31CT011.CV</t>
  </si>
  <si>
    <t>31TC012</t>
  </si>
  <si>
    <t>3-1-E02 / 3-1-R02 DIFF TEMP</t>
  </si>
  <si>
    <t>31CT012.CV</t>
  </si>
  <si>
    <t>31TC013</t>
  </si>
  <si>
    <t>THEORETICAL R01 WABT CHANGE</t>
  </si>
  <si>
    <t>31CT013.CV</t>
  </si>
  <si>
    <t>31TC014</t>
  </si>
  <si>
    <t>THEORETICAL 3-1-R02 WABT CHANGE</t>
  </si>
  <si>
    <t>31CT014.CV</t>
  </si>
  <si>
    <t>31TC015</t>
  </si>
  <si>
    <t>3-1-R01 BED#1 W.A.B.T.</t>
  </si>
  <si>
    <t>31CT015.CV</t>
  </si>
  <si>
    <t>31TC016</t>
  </si>
  <si>
    <t>3-1-R01 BED#2 W.A.B.T.</t>
  </si>
  <si>
    <t>31CT016.CV</t>
  </si>
  <si>
    <t>31TC017</t>
  </si>
  <si>
    <t>3-1-R01 BED#3 W.A.B.T.</t>
  </si>
  <si>
    <t>31CT017.CV</t>
  </si>
  <si>
    <t>31TC018</t>
  </si>
  <si>
    <t>3-1-R02 BED#1 W.A.B.T.</t>
  </si>
  <si>
    <t>31CT018.CV</t>
  </si>
  <si>
    <t>31TC019</t>
  </si>
  <si>
    <t>3-1-R02 BED#2 W.A.B.T.</t>
  </si>
  <si>
    <t>31CT019.CV</t>
  </si>
  <si>
    <t>31TC020</t>
  </si>
  <si>
    <t>3-1-R02 BED#3 W.A.B.T.</t>
  </si>
  <si>
    <t>31CT020.CV</t>
  </si>
  <si>
    <t>31TC021</t>
  </si>
  <si>
    <t>3-1-R02 BED#4 W.A.B.T.</t>
  </si>
  <si>
    <t>31CT021.CV</t>
  </si>
  <si>
    <t>31TC023</t>
  </si>
  <si>
    <t>MAXIMUM BED TEMPERATURE R01</t>
  </si>
  <si>
    <t>31CT023.CV</t>
  </si>
  <si>
    <t>31TC024</t>
  </si>
  <si>
    <t>3-1-R02 MAX BED TEMPERATURE</t>
  </si>
  <si>
    <t>31CT024.CV</t>
  </si>
  <si>
    <t>31TC033</t>
  </si>
  <si>
    <t>RECYCLE OIL 5 % POINT ESTIMATION</t>
  </si>
  <si>
    <t>31CT033.CV</t>
  </si>
  <si>
    <t>31TD290</t>
  </si>
  <si>
    <t>HO2/RO2 DIFF TEMP</t>
  </si>
  <si>
    <t>31TDI290.PV</t>
  </si>
  <si>
    <t>31TD294</t>
  </si>
  <si>
    <t>R01/R02 DIFF TEMP</t>
  </si>
  <si>
    <t>31TDI294.PV</t>
  </si>
  <si>
    <t>31TU005</t>
  </si>
  <si>
    <t>3-1-R01 WABT DMC UPTIME</t>
  </si>
  <si>
    <t>31TU005.CV</t>
  </si>
  <si>
    <t>31TV008</t>
  </si>
  <si>
    <t>31TC008.OP</t>
  </si>
  <si>
    <t>31TV009</t>
  </si>
  <si>
    <t>31TC009.OP</t>
  </si>
  <si>
    <t>31TV010</t>
  </si>
  <si>
    <t>31TC010.OP</t>
  </si>
  <si>
    <t>31TV012</t>
  </si>
  <si>
    <t>31TC012.OP</t>
  </si>
  <si>
    <t>31TV013</t>
  </si>
  <si>
    <t>31TC013.OP</t>
  </si>
  <si>
    <t>31TV014</t>
  </si>
  <si>
    <t>31TC014.OP</t>
  </si>
  <si>
    <t>31TV015</t>
  </si>
  <si>
    <t>31TC015.OP</t>
  </si>
  <si>
    <t>31TV045</t>
  </si>
  <si>
    <t>31TC045.OP</t>
  </si>
  <si>
    <t>31TV119</t>
  </si>
  <si>
    <t>3-1-R01 BED 2 INLET</t>
  </si>
  <si>
    <t>31TC119.OP</t>
  </si>
  <si>
    <t>31TV122</t>
  </si>
  <si>
    <t>3-1-R01 BED 3 INLET</t>
  </si>
  <si>
    <t>31TC122.OP</t>
  </si>
  <si>
    <t>31TV133</t>
  </si>
  <si>
    <t>3-1-R02 BED 2 INLET</t>
  </si>
  <si>
    <t>31TC133.OP</t>
  </si>
  <si>
    <t>31TV136</t>
  </si>
  <si>
    <t>3-1-R02 BED 3 INLET</t>
  </si>
  <si>
    <t>31TC136.OP</t>
  </si>
  <si>
    <t>31TV139</t>
  </si>
  <si>
    <t>3-1-R02 BED 4 INLET</t>
  </si>
  <si>
    <t>31TC139.OP</t>
  </si>
  <si>
    <t>31XM001</t>
  </si>
  <si>
    <t>3-1-C01 COMPRESSOR A LOADING</t>
  </si>
  <si>
    <t>31MX001.PV</t>
  </si>
  <si>
    <t>31XM002</t>
  </si>
  <si>
    <t>3-1-C01 COMPRESSOR B LOADING</t>
  </si>
  <si>
    <t>31MX002.PV</t>
  </si>
  <si>
    <t>32$C001</t>
  </si>
  <si>
    <t>PREFLASH CONTROL BENEFITS</t>
  </si>
  <si>
    <t>32CCD001.CV</t>
  </si>
  <si>
    <t>32$C002</t>
  </si>
  <si>
    <t>MAIN FRAC BENEFIT</t>
  </si>
  <si>
    <t>32C$002.CV</t>
  </si>
  <si>
    <t>32$C003</t>
  </si>
  <si>
    <t>DEBUT BENEFIT</t>
  </si>
  <si>
    <t>32CCD003.CV</t>
  </si>
  <si>
    <t>32$C004</t>
  </si>
  <si>
    <t>C3/C4 SPLITTR CONTROL BNEFITS</t>
  </si>
  <si>
    <t>32CCD004.CV</t>
  </si>
  <si>
    <t>32$C016</t>
  </si>
  <si>
    <t>32CCD016.CV</t>
  </si>
  <si>
    <t>32$C017</t>
  </si>
  <si>
    <t>32CCD017.CV</t>
  </si>
  <si>
    <t>32$C018</t>
  </si>
  <si>
    <t>32CCD018.CV</t>
  </si>
  <si>
    <t>32$C131</t>
  </si>
  <si>
    <t>ABS OVHD C3 RECOVRY BENEFIT</t>
  </si>
  <si>
    <t>32C$131.CV</t>
  </si>
  <si>
    <t>32$C142</t>
  </si>
  <si>
    <t>STRPR C2 TO C3 UPGRADE BENEFIT</t>
  </si>
  <si>
    <t>32C$142.CV</t>
  </si>
  <si>
    <t>32$C143</t>
  </si>
  <si>
    <t>ABS STRP SNOWBALL CNTRL</t>
  </si>
  <si>
    <t>32C$143.CV</t>
  </si>
  <si>
    <t>32$C144</t>
  </si>
  <si>
    <t>ABS/STP TOTAL BENEFIT</t>
  </si>
  <si>
    <t>32CCD144.CV</t>
  </si>
  <si>
    <t>32$C145</t>
  </si>
  <si>
    <t>32CCD145.CV</t>
  </si>
  <si>
    <t>32$C326</t>
  </si>
  <si>
    <t>DIB CONTROLS BENEFIT</t>
  </si>
  <si>
    <t>32CCD326.CV</t>
  </si>
  <si>
    <t>32$C327</t>
  </si>
  <si>
    <t>DIB NC4 TO IC4 UPGRADE-IC4 LOSS</t>
  </si>
  <si>
    <t>32C$327.CV</t>
  </si>
  <si>
    <t>32$C328</t>
  </si>
  <si>
    <t>DIB ENERGY BENEFIT</t>
  </si>
  <si>
    <t>32C$328.CV</t>
  </si>
  <si>
    <t>32$CH01P</t>
  </si>
  <si>
    <t>32CCDH01P.CV</t>
  </si>
  <si>
    <t>32$CH020</t>
  </si>
  <si>
    <t>3-2-H02 ENERGY BENEFIT</t>
  </si>
  <si>
    <t>32C$H020.CV</t>
  </si>
  <si>
    <t>32A111</t>
  </si>
  <si>
    <t>BUTANE IN FRACT OVERHEAD</t>
  </si>
  <si>
    <t>32AR111.PV</t>
  </si>
  <si>
    <t>32A112</t>
  </si>
  <si>
    <t>BENZENE IN FRACT OVERHEAD</t>
  </si>
  <si>
    <t>32AR112.PV</t>
  </si>
  <si>
    <t>32A211</t>
  </si>
  <si>
    <t>ETHANE IN PROPANE PRODUCT</t>
  </si>
  <si>
    <t>32AI211.PV</t>
  </si>
  <si>
    <t>32A212</t>
  </si>
  <si>
    <t>BUTANE IN PROPANE PRODUCT</t>
  </si>
  <si>
    <t>32AI212.PV</t>
  </si>
  <si>
    <t>32A221</t>
  </si>
  <si>
    <t>PROPANE IN I-BUTANE PRODUCT</t>
  </si>
  <si>
    <t>32AI221.PV</t>
  </si>
  <si>
    <t>32A222</t>
  </si>
  <si>
    <t>N-BUTANE IN I-BUTANE PRODUCT</t>
  </si>
  <si>
    <t>32AI222.PV</t>
  </si>
  <si>
    <t>32A311</t>
  </si>
  <si>
    <t>C5 IN PREFLASH OVERHEAD</t>
  </si>
  <si>
    <t>32AI311.PV</t>
  </si>
  <si>
    <t>32A321</t>
  </si>
  <si>
    <t>BUTANE IN PREFLASH BOTTOM</t>
  </si>
  <si>
    <t>32AI321.PV</t>
  </si>
  <si>
    <t>32A331</t>
  </si>
  <si>
    <t>BUTANE IN DEBUT BOTTOM</t>
  </si>
  <si>
    <t>32AI331.PV</t>
  </si>
  <si>
    <t>32A341</t>
  </si>
  <si>
    <t>I-BUTANE IN N-BUTANE PRODUCT</t>
  </si>
  <si>
    <t>32AI341.PV</t>
  </si>
  <si>
    <t>32A342</t>
  </si>
  <si>
    <t>C5 IN N-BUTANE PRODUCT</t>
  </si>
  <si>
    <t>32AI342.PV</t>
  </si>
  <si>
    <t>32A351</t>
  </si>
  <si>
    <t>PROPANE IN OFF GAS</t>
  </si>
  <si>
    <t>32AI351.PV</t>
  </si>
  <si>
    <t>32A410</t>
  </si>
  <si>
    <t>NAPHTHA 95% POINT ANALYZER</t>
  </si>
  <si>
    <t>32AI410.PV</t>
  </si>
  <si>
    <t>32A521</t>
  </si>
  <si>
    <t>02 IN STACK H-01</t>
  </si>
  <si>
    <t>32AI521.PV</t>
  </si>
  <si>
    <t>32A522</t>
  </si>
  <si>
    <t>32AI522.PV</t>
  </si>
  <si>
    <t>32A531</t>
  </si>
  <si>
    <t>02 IN STACK H-02</t>
  </si>
  <si>
    <t>32AI531.PV</t>
  </si>
  <si>
    <t>32A532</t>
  </si>
  <si>
    <t>COMBUST IN STACK H-02</t>
  </si>
  <si>
    <t>32AI532.PV</t>
  </si>
  <si>
    <t>32AU002</t>
  </si>
  <si>
    <t>PREFLASH CONTROLLER UPTIME</t>
  </si>
  <si>
    <t>32AU002.CV</t>
  </si>
  <si>
    <t>32AU008</t>
  </si>
  <si>
    <t>FRAC O/H LOOP UPTIME</t>
  </si>
  <si>
    <t>32AU008.CV</t>
  </si>
  <si>
    <t>32AU211</t>
  </si>
  <si>
    <t>C2 ANALYZER UPTIME</t>
  </si>
  <si>
    <t>32AU211.CV</t>
  </si>
  <si>
    <t>32AU221</t>
  </si>
  <si>
    <t>C3C4 SPLITTER CONTROL UPTIME</t>
  </si>
  <si>
    <t>32AU221.CV</t>
  </si>
  <si>
    <t>32AU321</t>
  </si>
  <si>
    <t>PREFLASH BOTTOMS ANALYSER UPTIME</t>
  </si>
  <si>
    <t>32AU321.CV</t>
  </si>
  <si>
    <t>32AU331</t>
  </si>
  <si>
    <t>DEBUT DMC CONTROL UPTIME</t>
  </si>
  <si>
    <t>32AU331.CV</t>
  </si>
  <si>
    <t>32AU351</t>
  </si>
  <si>
    <t>C3 ANALYZER UPTIME</t>
  </si>
  <si>
    <t>32AU351.CV</t>
  </si>
  <si>
    <t>32AU410</t>
  </si>
  <si>
    <t>MAIN FRAC CONTROL UPTIME</t>
  </si>
  <si>
    <t>32AU410.CV</t>
  </si>
  <si>
    <t>32AU521</t>
  </si>
  <si>
    <t>H01 PREFLASH CONTROLLER UPTIME</t>
  </si>
  <si>
    <t>32AU521.CV</t>
  </si>
  <si>
    <t>32CC033</t>
  </si>
  <si>
    <t>3-2-H02 HEATER FUEL COST</t>
  </si>
  <si>
    <t>32CC033.CV</t>
  </si>
  <si>
    <t>32CC034</t>
  </si>
  <si>
    <t>3-2-H01 HEATER FUEL COST</t>
  </si>
  <si>
    <t>32CC034.CV</t>
  </si>
  <si>
    <t>32CT06STM</t>
  </si>
  <si>
    <t>32CT06STM.CV</t>
  </si>
  <si>
    <t>32DM001</t>
  </si>
  <si>
    <t>32MD001.MV</t>
  </si>
  <si>
    <t>32DM002</t>
  </si>
  <si>
    <t>32MD002.MV</t>
  </si>
  <si>
    <t>32DM003</t>
  </si>
  <si>
    <t>32MD003.MV</t>
  </si>
  <si>
    <t>32DM004</t>
  </si>
  <si>
    <t>32MD004.MV</t>
  </si>
  <si>
    <t>32DM005</t>
  </si>
  <si>
    <t>32MD005.MV</t>
  </si>
  <si>
    <t>32DM006</t>
  </si>
  <si>
    <t>32MD006.MV</t>
  </si>
  <si>
    <t>32F001</t>
  </si>
  <si>
    <t>PREFLASH BOTTOMS TO FRACT</t>
  </si>
  <si>
    <t>32FC001.PV</t>
  </si>
  <si>
    <t>32F002</t>
  </si>
  <si>
    <t>PREFLASH REFLUX</t>
  </si>
  <si>
    <t>32FC002.PV</t>
  </si>
  <si>
    <t>32F003</t>
  </si>
  <si>
    <t>PREFLASH BOTTOMS TO E-05   X1000</t>
  </si>
  <si>
    <t>32FC003.PV</t>
  </si>
  <si>
    <t>32F004</t>
  </si>
  <si>
    <t>PREFLASH OVERHEAD DRUM GAS X1000</t>
  </si>
  <si>
    <t>32FI004.PV</t>
  </si>
  <si>
    <t>32F007</t>
  </si>
  <si>
    <t>STRIPPER RICH OIL FEED</t>
  </si>
  <si>
    <t>32FC007.PV</t>
  </si>
  <si>
    <t>32F008</t>
  </si>
  <si>
    <t>ABSORBER BOTTOMS TO E-02</t>
  </si>
  <si>
    <t>32FC008.PV</t>
  </si>
  <si>
    <t>32F009</t>
  </si>
  <si>
    <t>STRIPPER BOTTOMS TO E-07</t>
  </si>
  <si>
    <t>32FC009.PV</t>
  </si>
  <si>
    <t>32F010</t>
  </si>
  <si>
    <t>MP STEAM TO E-05           X1000</t>
  </si>
  <si>
    <t>32FC010.PV</t>
  </si>
  <si>
    <t>32F011</t>
  </si>
  <si>
    <t>LEAN OIL TO E-04</t>
  </si>
  <si>
    <t>32FC011.PV</t>
  </si>
  <si>
    <t>32F012</t>
  </si>
  <si>
    <t>LEAN OIL TO ABSORBER</t>
  </si>
  <si>
    <t>32FC012.PV</t>
  </si>
  <si>
    <t>32F013</t>
  </si>
  <si>
    <t>PRESATURATOR DRUM OFF GAS  X1000</t>
  </si>
  <si>
    <t>32FI013.PV</t>
  </si>
  <si>
    <t>32F014</t>
  </si>
  <si>
    <t>HP STEAM TO DEBUT REBOILER X1000</t>
  </si>
  <si>
    <t>32FC014.PV</t>
  </si>
  <si>
    <t>32F015</t>
  </si>
  <si>
    <t>DEBUT REFLUX</t>
  </si>
  <si>
    <t>32FC015.PV</t>
  </si>
  <si>
    <t>32F016</t>
  </si>
  <si>
    <t>DEBUT BOTTOMS TO FRACT</t>
  </si>
  <si>
    <t>32FC016.PV</t>
  </si>
  <si>
    <t>32F017</t>
  </si>
  <si>
    <t>LPG TO SPLITTER</t>
  </si>
  <si>
    <t>32FC017.PV</t>
  </si>
  <si>
    <t>32F018</t>
  </si>
  <si>
    <t>FRACT PUMP AROUND</t>
  </si>
  <si>
    <t>32FC018.PV</t>
  </si>
  <si>
    <t>32F019</t>
  </si>
  <si>
    <t>HYCR NAPHTHA TO REFORMER</t>
  </si>
  <si>
    <t>32FI019.PV</t>
  </si>
  <si>
    <t>32F020</t>
  </si>
  <si>
    <t>NAPHTHA RETURN TO FRACT</t>
  </si>
  <si>
    <t>32FC020.PV</t>
  </si>
  <si>
    <t>32F021</t>
  </si>
  <si>
    <t>FRACT OVERHEAD REFLUX</t>
  </si>
  <si>
    <t>32FC021.PV</t>
  </si>
  <si>
    <t>32F022</t>
  </si>
  <si>
    <t>HYC C5/C6 TO STORAGE</t>
  </si>
  <si>
    <t>32FI022.PV</t>
  </si>
  <si>
    <t>32F023</t>
  </si>
  <si>
    <t>H-01 TOTAL CHARGE</t>
  </si>
  <si>
    <t>32FC023.PV</t>
  </si>
  <si>
    <t>32F024</t>
  </si>
  <si>
    <t>H-01 CHARGE PASS 1</t>
  </si>
  <si>
    <t>32FI024.PV</t>
  </si>
  <si>
    <t>32F025</t>
  </si>
  <si>
    <t>H-01 CHARGE PASS 2</t>
  </si>
  <si>
    <t>32FFC025.PV</t>
  </si>
  <si>
    <t>32F026</t>
  </si>
  <si>
    <t>H-01 CHARGE PASS 4</t>
  </si>
  <si>
    <t>32FFC026.PV</t>
  </si>
  <si>
    <t>32F027</t>
  </si>
  <si>
    <t>H-01 CHARGE PASS 3</t>
  </si>
  <si>
    <t>32FFC027.PV</t>
  </si>
  <si>
    <t>32F028</t>
  </si>
  <si>
    <t>H-02 TOTAL CHARGE          X1000</t>
  </si>
  <si>
    <t>32FC028.PV</t>
  </si>
  <si>
    <t>32F029</t>
  </si>
  <si>
    <t>H-02 CHARGE PASS 4</t>
  </si>
  <si>
    <t>32FI029.PV</t>
  </si>
  <si>
    <t>32F030</t>
  </si>
  <si>
    <t>H-02 CHARGE PASS 2</t>
  </si>
  <si>
    <t>32FFC030.PV</t>
  </si>
  <si>
    <t>32F031</t>
  </si>
  <si>
    <t>H-02 CHARGE PASS 1</t>
  </si>
  <si>
    <t>32FFC031.PV</t>
  </si>
  <si>
    <t>32F032</t>
  </si>
  <si>
    <t>H-02 CHARGE PASS 3</t>
  </si>
  <si>
    <t>32FFC032.PV</t>
  </si>
  <si>
    <t>32F033</t>
  </si>
  <si>
    <t>FUEL GAS TO 3-2-H02        X1000</t>
  </si>
  <si>
    <t>32FI033.PV</t>
  </si>
  <si>
    <t>32F034</t>
  </si>
  <si>
    <t>FUEL GAS TO 3-2-H01        X1000</t>
  </si>
  <si>
    <t>32FI034.PV</t>
  </si>
  <si>
    <t>32F035</t>
  </si>
  <si>
    <t>FUEL OIL TO 3-2-H01        X1000</t>
  </si>
  <si>
    <t>32FI035.PV</t>
  </si>
  <si>
    <t>32F036</t>
  </si>
  <si>
    <t>FUEL OIL TO 3-2-H02        X1000</t>
  </si>
  <si>
    <t>32FI036.PV</t>
  </si>
  <si>
    <t>32F067</t>
  </si>
  <si>
    <t>FUEL GAS PURGE</t>
  </si>
  <si>
    <t>32FI067.PV</t>
  </si>
  <si>
    <t>32F068</t>
  </si>
  <si>
    <t>COND PUMP DISCHARGE</t>
  </si>
  <si>
    <t>32FI068.PV</t>
  </si>
  <si>
    <t>32F070</t>
  </si>
  <si>
    <t>SPLITTER REFLUX</t>
  </si>
  <si>
    <t>32FC070.PV</t>
  </si>
  <si>
    <t>32F071</t>
  </si>
  <si>
    <t>LP STM TO SPLITTER REB.    X1000</t>
  </si>
  <si>
    <t>32FC071.PV</t>
  </si>
  <si>
    <t>32F072</t>
  </si>
  <si>
    <t>PROPANE TO SCRUBBER</t>
  </si>
  <si>
    <t>32FC072.PV</t>
  </si>
  <si>
    <t>32F075</t>
  </si>
  <si>
    <t>N-BUTANE PRODUCT TO STORAGE</t>
  </si>
  <si>
    <t>32FI075.PV</t>
  </si>
  <si>
    <t>32F081</t>
  </si>
  <si>
    <t>E-22 CONDENSER TO FLASH DRUM</t>
  </si>
  <si>
    <t>32FI081.PV</t>
  </si>
  <si>
    <t>32F082</t>
  </si>
  <si>
    <t>LP STEAM TO DIB REBOILER   X1000</t>
  </si>
  <si>
    <t>32FC082.PV</t>
  </si>
  <si>
    <t>32F083</t>
  </si>
  <si>
    <t>I-BUTANE PRODUCT TO STORAGE</t>
  </si>
  <si>
    <t>32FI083.PV</t>
  </si>
  <si>
    <t>32F087</t>
  </si>
  <si>
    <t>SPLITTER BOTTOMS TO DIB</t>
  </si>
  <si>
    <t>32FC087.PV</t>
  </si>
  <si>
    <t>32F129</t>
  </si>
  <si>
    <t>PLANT 1 SPLITTER BTMS TO DIB</t>
  </si>
  <si>
    <t>32FC129.PV</t>
  </si>
  <si>
    <t>32FC001</t>
  </si>
  <si>
    <t>TOTAL MAIN FRAC FEED</t>
  </si>
  <si>
    <t>32CF001.CV</t>
  </si>
  <si>
    <t>32FC002</t>
  </si>
  <si>
    <t>TOTAL C4 IN MAIN FRAC FEED</t>
  </si>
  <si>
    <t>32CF002.CV</t>
  </si>
  <si>
    <t>32FC003</t>
  </si>
  <si>
    <t>PROPANE LOSSES</t>
  </si>
  <si>
    <t>32CF003.CV</t>
  </si>
  <si>
    <t>32FC004</t>
  </si>
  <si>
    <t>BENZENE PRECURSOR LOSS IN C5/C6</t>
  </si>
  <si>
    <t>32CF004.CV</t>
  </si>
  <si>
    <t>32FC005</t>
  </si>
  <si>
    <t>ISOBUTANE LOSSES</t>
  </si>
  <si>
    <t>32CF005.CV</t>
  </si>
  <si>
    <t>32FC006</t>
  </si>
  <si>
    <t>STRIPPER HEAT INPUT        X10E6</t>
  </si>
  <si>
    <t>32CF006.CV</t>
  </si>
  <si>
    <t>32FC007</t>
  </si>
  <si>
    <t>DEBUT HEAT INPUT           X10E6</t>
  </si>
  <si>
    <t>32CF007.CV</t>
  </si>
  <si>
    <t>32FC008</t>
  </si>
  <si>
    <t>C3/C4 SPLITTER HEAT INPUT  X10E6</t>
  </si>
  <si>
    <t>32CF008.CV</t>
  </si>
  <si>
    <t>32FC009</t>
  </si>
  <si>
    <t>DIB HEAT INPUT             X10E6</t>
  </si>
  <si>
    <t>32CF009.CV</t>
  </si>
  <si>
    <t>32FC010</t>
  </si>
  <si>
    <t>ABSORBER FEED              X1000</t>
  </si>
  <si>
    <t>32CF010.CV</t>
  </si>
  <si>
    <t>32FC011</t>
  </si>
  <si>
    <t>TOTAL HFO CONSUMED IN PLANT 3</t>
  </si>
  <si>
    <t>32CF011.CV</t>
  </si>
  <si>
    <t>32FC012</t>
  </si>
  <si>
    <t>PLANT 3 LIQUID FUEL</t>
  </si>
  <si>
    <t>32CF012.CV</t>
  </si>
  <si>
    <t>32FC013</t>
  </si>
  <si>
    <t>C3 LOSSES IN PRESAT GAS</t>
  </si>
  <si>
    <t>32CF013.CV</t>
  </si>
  <si>
    <t>32FC014</t>
  </si>
  <si>
    <t>C3 LOSSES IN IC4 PRODUCT</t>
  </si>
  <si>
    <t>32CF014.CV</t>
  </si>
  <si>
    <t>32FC015</t>
  </si>
  <si>
    <t>32CF015.CV</t>
  </si>
  <si>
    <t>32FC016</t>
  </si>
  <si>
    <t>DEBUT OVHD TO FLARE</t>
  </si>
  <si>
    <t>32CF016.CV</t>
  </si>
  <si>
    <t>32FC017</t>
  </si>
  <si>
    <t>MAIN FRAC OVHD TO FLARE</t>
  </si>
  <si>
    <t>32CF017.CV</t>
  </si>
  <si>
    <t>32FC018</t>
  </si>
  <si>
    <t>C3/C4 SPL OVHD TO FLARE</t>
  </si>
  <si>
    <t>32CF018.CV</t>
  </si>
  <si>
    <t>32FC019</t>
  </si>
  <si>
    <t>DIB OVHD TO FLARE</t>
  </si>
  <si>
    <t>32CF019.CV</t>
  </si>
  <si>
    <t>32FC020</t>
  </si>
  <si>
    <t>32CF020.CV</t>
  </si>
  <si>
    <t>32FC021</t>
  </si>
  <si>
    <t>32CF021A.CV</t>
  </si>
  <si>
    <t>32FC022</t>
  </si>
  <si>
    <t>32CF022A.CV</t>
  </si>
  <si>
    <t>32FC023</t>
  </si>
  <si>
    <t>DEBUT OVHD TO FUEL GAS</t>
  </si>
  <si>
    <t>32CF023.CV</t>
  </si>
  <si>
    <t>32FC033</t>
  </si>
  <si>
    <t>FUEL GAS TO 3-2-H02</t>
  </si>
  <si>
    <t>32CF033.CV</t>
  </si>
  <si>
    <t>32FC034</t>
  </si>
  <si>
    <t>FUEL GAS TO 3-2-H01</t>
  </si>
  <si>
    <t>32CF034.CV</t>
  </si>
  <si>
    <t>32FC037</t>
  </si>
  <si>
    <t>3-2-H01 ENERGY CONSUMPTION</t>
  </si>
  <si>
    <t>32CF037.CV</t>
  </si>
  <si>
    <t>32FC038</t>
  </si>
  <si>
    <t>3-2-H02 ENERGY CONSUMPTION</t>
  </si>
  <si>
    <t>32CF038.CV</t>
  </si>
  <si>
    <t>32FC039</t>
  </si>
  <si>
    <t>FRAC STEAM ENERGY CONSUMPTION</t>
  </si>
  <si>
    <t>32CF039.CV</t>
  </si>
  <si>
    <t>32FC041</t>
  </si>
  <si>
    <t>C3/C4 SPLITTER OVHD TO FUEL GAS</t>
  </si>
  <si>
    <t>32CF041.CV</t>
  </si>
  <si>
    <t>32FFV025</t>
  </si>
  <si>
    <t>32FFV025.OP</t>
  </si>
  <si>
    <t>32FFV026</t>
  </si>
  <si>
    <t>32FFV026.OP</t>
  </si>
  <si>
    <t>32FFV027</t>
  </si>
  <si>
    <t>32FFV027.OP</t>
  </si>
  <si>
    <t>32FFV030</t>
  </si>
  <si>
    <t>32FFV030.OP</t>
  </si>
  <si>
    <t>32FFV031</t>
  </si>
  <si>
    <t>32FFV031.OP</t>
  </si>
  <si>
    <t>32FFV032</t>
  </si>
  <si>
    <t>32FFV032.OP</t>
  </si>
  <si>
    <t>32FU034</t>
  </si>
  <si>
    <t>32FU034.PV</t>
  </si>
  <si>
    <t>32FV001</t>
  </si>
  <si>
    <t>32FC001.OP</t>
  </si>
  <si>
    <t>32FV002</t>
  </si>
  <si>
    <t>32FC002.OP</t>
  </si>
  <si>
    <t>32FV003</t>
  </si>
  <si>
    <t>PREFLASH BOTTOMS TO E-05</t>
  </si>
  <si>
    <t>32FC003.OP</t>
  </si>
  <si>
    <t>32FV007</t>
  </si>
  <si>
    <t>32FC007.OP</t>
  </si>
  <si>
    <t>32FV008</t>
  </si>
  <si>
    <t>32FC008.OP</t>
  </si>
  <si>
    <t>32FV009</t>
  </si>
  <si>
    <t>STRIPPER BOTTOM TO E-07</t>
  </si>
  <si>
    <t>32FC009.OP</t>
  </si>
  <si>
    <t>32FV010</t>
  </si>
  <si>
    <t>MP STEAM TO E-05</t>
  </si>
  <si>
    <t>32FC010.OP</t>
  </si>
  <si>
    <t>32FV011</t>
  </si>
  <si>
    <t>32FC011.OP</t>
  </si>
  <si>
    <t>32FV012</t>
  </si>
  <si>
    <t>32FC012.OP</t>
  </si>
  <si>
    <t>32FV014</t>
  </si>
  <si>
    <t>HP STEAM TO DEBUT REBOILER</t>
  </si>
  <si>
    <t>32FC014.OP</t>
  </si>
  <si>
    <t>32FV015</t>
  </si>
  <si>
    <t>32FC015.OP</t>
  </si>
  <si>
    <t>32FV016</t>
  </si>
  <si>
    <t>32FC016.OP</t>
  </si>
  <si>
    <t>32FV017</t>
  </si>
  <si>
    <t>32FC017.OP</t>
  </si>
  <si>
    <t>32FV018</t>
  </si>
  <si>
    <t>32FC018.OP</t>
  </si>
  <si>
    <t>32FV020</t>
  </si>
  <si>
    <t>32FC020.OP</t>
  </si>
  <si>
    <t>32FV021</t>
  </si>
  <si>
    <t>32FC021.OP</t>
  </si>
  <si>
    <t>32FV023</t>
  </si>
  <si>
    <t>32FC023.OP</t>
  </si>
  <si>
    <t>32FV028</t>
  </si>
  <si>
    <t>32FC028.OP</t>
  </si>
  <si>
    <t>32FV070</t>
  </si>
  <si>
    <t>32FC070.OP</t>
  </si>
  <si>
    <t>32FV071</t>
  </si>
  <si>
    <t>LP STEAM TO SPLITTER REBOILER</t>
  </si>
  <si>
    <t>32FC071.OP</t>
  </si>
  <si>
    <t>32FV072</t>
  </si>
  <si>
    <t>32FC072.OP</t>
  </si>
  <si>
    <t>32FV078</t>
  </si>
  <si>
    <t>DIB REFLUX</t>
  </si>
  <si>
    <t>32FC078.OP</t>
  </si>
  <si>
    <t>32FV082</t>
  </si>
  <si>
    <t>LP STEAM TO DIB REBOILER</t>
  </si>
  <si>
    <t>32FC082.OP</t>
  </si>
  <si>
    <t>32FV087</t>
  </si>
  <si>
    <t>32FC087.OP</t>
  </si>
  <si>
    <t>32H000</t>
  </si>
  <si>
    <t>DIB/C3C4 BOTTOMS SWITCH</t>
  </si>
  <si>
    <t>32HC000.PV</t>
  </si>
  <si>
    <t>32H002</t>
  </si>
  <si>
    <t>PREFLASH REFLUX EMERG TRANSFER</t>
  </si>
  <si>
    <t>32HC002.PV</t>
  </si>
  <si>
    <t>32H006</t>
  </si>
  <si>
    <t>H-01 STACK DAMPER</t>
  </si>
  <si>
    <t>32HC006.PV</t>
  </si>
  <si>
    <t>32H008</t>
  </si>
  <si>
    <t>H-02 STACK DAMPER</t>
  </si>
  <si>
    <t>32HC008.OP</t>
  </si>
  <si>
    <t>32HC001</t>
  </si>
  <si>
    <t>32CH001.CV</t>
  </si>
  <si>
    <t>32L001</t>
  </si>
  <si>
    <t>PREFLASH BOTTOM</t>
  </si>
  <si>
    <t>32LC001.PV</t>
  </si>
  <si>
    <t>32L003</t>
  </si>
  <si>
    <t>PREFLASH OVERHEAD DRUM LEVEL</t>
  </si>
  <si>
    <t>32LC003.PV</t>
  </si>
  <si>
    <t>32L006</t>
  </si>
  <si>
    <t>PREFLASH OVERHEAD DRUM BOOT</t>
  </si>
  <si>
    <t>32LI006.PV</t>
  </si>
  <si>
    <t>32L008</t>
  </si>
  <si>
    <t>ABSORBER STRIPPER FEED DRUM</t>
  </si>
  <si>
    <t>32LC008.PV</t>
  </si>
  <si>
    <t>32L012</t>
  </si>
  <si>
    <t>ABSORBER BOTTOM LEVEL</t>
  </si>
  <si>
    <t>32LC012.PV</t>
  </si>
  <si>
    <t>32L016</t>
  </si>
  <si>
    <t>STRIPPER BOTTOM LEVEL</t>
  </si>
  <si>
    <t>32LC016.PV</t>
  </si>
  <si>
    <t>32L020</t>
  </si>
  <si>
    <t>PRESATURATOR DRUM LEVEL</t>
  </si>
  <si>
    <t>32LC020.PV</t>
  </si>
  <si>
    <t>32L026</t>
  </si>
  <si>
    <t>DEBUT BOTTOM LEVEL</t>
  </si>
  <si>
    <t>32LC026.PV</t>
  </si>
  <si>
    <t>32L030</t>
  </si>
  <si>
    <t>DEBUT OVERHEAD DRUM LEVEL</t>
  </si>
  <si>
    <t>32LC030.PV</t>
  </si>
  <si>
    <t>32L032</t>
  </si>
  <si>
    <t>FRACT TOTAL DRAW TRAY</t>
  </si>
  <si>
    <t>32LC032.PV</t>
  </si>
  <si>
    <t>32L034</t>
  </si>
  <si>
    <t>FRACT BOTTOM LEVEL</t>
  </si>
  <si>
    <t>32LC034.PV</t>
  </si>
  <si>
    <t>32L038</t>
  </si>
  <si>
    <t>FRACT OVERHEAD DRUM LEVEL</t>
  </si>
  <si>
    <t>32LC038.PV</t>
  </si>
  <si>
    <t>32L041</t>
  </si>
  <si>
    <t>CONDENSOR FLASH DRUM LEVEL</t>
  </si>
  <si>
    <t>32LC041.PV</t>
  </si>
  <si>
    <t>32L052</t>
  </si>
  <si>
    <t>SPLITTER BOTTOM LEVEL</t>
  </si>
  <si>
    <t>32LC052.PV</t>
  </si>
  <si>
    <t>32L055</t>
  </si>
  <si>
    <t>DIB BOTTOM LEVEL</t>
  </si>
  <si>
    <t>32LC055.PV</t>
  </si>
  <si>
    <t>32L056</t>
  </si>
  <si>
    <t>SPLITTER OVERHEAD DRUM LEVEL</t>
  </si>
  <si>
    <t>32LC056.PV</t>
  </si>
  <si>
    <t>32L059</t>
  </si>
  <si>
    <t>DIB OVERHEAD DRUM LEVEL</t>
  </si>
  <si>
    <t>32LC059.PV</t>
  </si>
  <si>
    <t>32LU020</t>
  </si>
  <si>
    <t>PRESAT LEVEL CONTROL UPTIME</t>
  </si>
  <si>
    <t>32LU020.CV</t>
  </si>
  <si>
    <t>32LU030</t>
  </si>
  <si>
    <t>3-2-V04 DEBUT OVHD LEVEL UPTIME</t>
  </si>
  <si>
    <t>32LU030.CV</t>
  </si>
  <si>
    <t>32LV032</t>
  </si>
  <si>
    <t>32LC032.OP</t>
  </si>
  <si>
    <t>32LV038</t>
  </si>
  <si>
    <t>32LC038.OP</t>
  </si>
  <si>
    <t>32LV041</t>
  </si>
  <si>
    <t>COND FLASH DRUM LEVEL</t>
  </si>
  <si>
    <t>32LC041.OP</t>
  </si>
  <si>
    <t>32LV052</t>
  </si>
  <si>
    <t>32LC052.OP</t>
  </si>
  <si>
    <t>32LV055</t>
  </si>
  <si>
    <t>32LC055.OP</t>
  </si>
  <si>
    <t>32LV059</t>
  </si>
  <si>
    <t>32LC059.OP</t>
  </si>
  <si>
    <t>32OU001</t>
  </si>
  <si>
    <t>PREFLASH TIME IN OPTIMIZE MODE</t>
  </si>
  <si>
    <t>32OU001.CV</t>
  </si>
  <si>
    <t>32OU002</t>
  </si>
  <si>
    <t>MAIN FRAC TIME IN OPTIMIZE MODE</t>
  </si>
  <si>
    <t>32OU002.CV</t>
  </si>
  <si>
    <t>32P001</t>
  </si>
  <si>
    <t>PREFLASH OVERHEAD DRUM PRESS</t>
  </si>
  <si>
    <t>32PC001.PV</t>
  </si>
  <si>
    <t>32P002</t>
  </si>
  <si>
    <t>PRESATURATOR DRUM PRESSURE</t>
  </si>
  <si>
    <t>32PC002.PV</t>
  </si>
  <si>
    <t>32P003</t>
  </si>
  <si>
    <t>DEBUT OVERHEAD PRESSURE</t>
  </si>
  <si>
    <t>32PC003.PV</t>
  </si>
  <si>
    <t>32P005</t>
  </si>
  <si>
    <t>DEBUT OVERHEAD DRUM PRESSURE SR</t>
  </si>
  <si>
    <t>32PC005.PV</t>
  </si>
  <si>
    <t>32P006</t>
  </si>
  <si>
    <t>FRACT OVERHEAD PRESS</t>
  </si>
  <si>
    <t>32PC006.PV</t>
  </si>
  <si>
    <t>32P010</t>
  </si>
  <si>
    <t>32PC010.PV</t>
  </si>
  <si>
    <t>32P011</t>
  </si>
  <si>
    <t>32PC011.PV</t>
  </si>
  <si>
    <t>32P019</t>
  </si>
  <si>
    <t>FUEL OIL TO 3-2-H01</t>
  </si>
  <si>
    <t>32PC019.PV</t>
  </si>
  <si>
    <t>32P022</t>
  </si>
  <si>
    <t>FUEL OIL TO 3-2-H02</t>
  </si>
  <si>
    <t>32PC022.PV</t>
  </si>
  <si>
    <t>32P024</t>
  </si>
  <si>
    <t>H-01 DRAFT</t>
  </si>
  <si>
    <t>32PI024.PV</t>
  </si>
  <si>
    <t>32P025</t>
  </si>
  <si>
    <t>H-02 DRAFT</t>
  </si>
  <si>
    <t>32PI025.PV</t>
  </si>
  <si>
    <t>32P029</t>
  </si>
  <si>
    <t>STRIPPER OVERHEAD PRESSURE</t>
  </si>
  <si>
    <t>32PR029.PV</t>
  </si>
  <si>
    <t>32P032</t>
  </si>
  <si>
    <t>FRACT OVERHEAD DRUM PRESS</t>
  </si>
  <si>
    <t>32PC032.PV</t>
  </si>
  <si>
    <t>32P040</t>
  </si>
  <si>
    <t>SPLITTER OVERHEAD PRESSURE</t>
  </si>
  <si>
    <t>32PC040.PV</t>
  </si>
  <si>
    <t>32P041</t>
  </si>
  <si>
    <t>SPLITTER OVERHEAD DRUM SR</t>
  </si>
  <si>
    <t>32PC041.PV</t>
  </si>
  <si>
    <t>32P045</t>
  </si>
  <si>
    <t>DIB OVERHEAD PRESSURE</t>
  </si>
  <si>
    <t>32PC045.PV</t>
  </si>
  <si>
    <t>32P047</t>
  </si>
  <si>
    <t>DIB OVERHEAD DRUM PRESSURE</t>
  </si>
  <si>
    <t>32PC047.PV</t>
  </si>
  <si>
    <t>32PC002</t>
  </si>
  <si>
    <t>32CP002.CV</t>
  </si>
  <si>
    <t>32PD004</t>
  </si>
  <si>
    <t>DEBUT OVERHEAD E-10 BYPASS</t>
  </si>
  <si>
    <t>32PDC004.PV</t>
  </si>
  <si>
    <t>32PD007</t>
  </si>
  <si>
    <t>FRACT OVERHEAD E-14 BYPASS</t>
  </si>
  <si>
    <t>32PDC007.PV</t>
  </si>
  <si>
    <t>32PD018</t>
  </si>
  <si>
    <t>H-01 STEAM FUEL OIL DIFP</t>
  </si>
  <si>
    <t>32PDI018.PV</t>
  </si>
  <si>
    <t>32PD023</t>
  </si>
  <si>
    <t>H-02 STEAM FUEL OIL DIFP</t>
  </si>
  <si>
    <t>32PDI023.PV</t>
  </si>
  <si>
    <t>32PDV004</t>
  </si>
  <si>
    <t>32PDV004.OP</t>
  </si>
  <si>
    <t>32PDV007</t>
  </si>
  <si>
    <t>32PDV007.OP</t>
  </si>
  <si>
    <t>32PSGA</t>
  </si>
  <si>
    <t>32FUGOHPS.C1</t>
  </si>
  <si>
    <t>32FUGOHPS.C2</t>
  </si>
  <si>
    <t>32FUGOHPS.C3</t>
  </si>
  <si>
    <t>32FUGOHPS.C3A</t>
  </si>
  <si>
    <t>32FUGOHPS.C4A</t>
  </si>
  <si>
    <t>32FUGOHPS.C5A</t>
  </si>
  <si>
    <t>32FUGOHPS.C6B</t>
  </si>
  <si>
    <t>32FUGOHPS.CO</t>
  </si>
  <si>
    <t>32FUGOHPS.CO2</t>
  </si>
  <si>
    <t>32FUGOHPS.H2</t>
  </si>
  <si>
    <t>32FUGOHPS.IC4</t>
  </si>
  <si>
    <t>32FUGOHPS.IC5</t>
  </si>
  <si>
    <t>32FUGOHPS.N2</t>
  </si>
  <si>
    <t>32FUGOHPS.NC4</t>
  </si>
  <si>
    <t>32FUGOHPS.NC5</t>
  </si>
  <si>
    <t>32FUGOHPS.O2</t>
  </si>
  <si>
    <t>32PV001</t>
  </si>
  <si>
    <t>PREFLASH OVERHEAD DRUM PRESSURE</t>
  </si>
  <si>
    <t>32PC001.OP</t>
  </si>
  <si>
    <t>32PV002</t>
  </si>
  <si>
    <t>32PC002.OP</t>
  </si>
  <si>
    <t>32PV003</t>
  </si>
  <si>
    <t>32PC003.OP</t>
  </si>
  <si>
    <t>32PV005</t>
  </si>
  <si>
    <t>DEBUT OVERHEAD DRUM PRESSURE</t>
  </si>
  <si>
    <t>32PC005.OP</t>
  </si>
  <si>
    <t>32PV006</t>
  </si>
  <si>
    <t>FRACT OVERHEAD PRESSURE</t>
  </si>
  <si>
    <t>32PC006.OP</t>
  </si>
  <si>
    <t>32PV010</t>
  </si>
  <si>
    <t>32PC010.OP</t>
  </si>
  <si>
    <t>32PV011</t>
  </si>
  <si>
    <t>32PC011.OP</t>
  </si>
  <si>
    <t>32PV019</t>
  </si>
  <si>
    <t>FUEL OIL TO H-01</t>
  </si>
  <si>
    <t>32PC019.OP</t>
  </si>
  <si>
    <t>32PV022</t>
  </si>
  <si>
    <t>FUEL OIL TO H-02</t>
  </si>
  <si>
    <t>32PC022.OP</t>
  </si>
  <si>
    <t>32PV032</t>
  </si>
  <si>
    <t>FRACT OVERHEAD DRUM PRESSURE</t>
  </si>
  <si>
    <t>32PC032.OP</t>
  </si>
  <si>
    <t>32PV040</t>
  </si>
  <si>
    <t>32PC040.OP</t>
  </si>
  <si>
    <t>32PV041</t>
  </si>
  <si>
    <t>SPLITTER OVERHEAD DRUM</t>
  </si>
  <si>
    <t>32PC041.OP</t>
  </si>
  <si>
    <t>32PV045</t>
  </si>
  <si>
    <t>32PC045.OP</t>
  </si>
  <si>
    <t>32PV047</t>
  </si>
  <si>
    <t>32PC047.OP</t>
  </si>
  <si>
    <t>32RC001</t>
  </si>
  <si>
    <t>PREFLASH REFLUX RATIO</t>
  </si>
  <si>
    <t>32CR001.CV</t>
  </si>
  <si>
    <t>32RC002</t>
  </si>
  <si>
    <t>PREFLASH REFLUX/FEED RATIO</t>
  </si>
  <si>
    <t>32CR002.CV</t>
  </si>
  <si>
    <t>32RC003</t>
  </si>
  <si>
    <t>MAIN FRAC REFLUX RATIO</t>
  </si>
  <si>
    <t>32CR003.CV</t>
  </si>
  <si>
    <t>32RC004</t>
  </si>
  <si>
    <t>MAIN FRAC TOP REFLUX/FEED RATIO</t>
  </si>
  <si>
    <t>32CR004.CV</t>
  </si>
  <si>
    <t>32RC005</t>
  </si>
  <si>
    <t>MAIN FRAC MID REFLUX/FEED RATIO</t>
  </si>
  <si>
    <t>32CR005.CV</t>
  </si>
  <si>
    <t>32RC006</t>
  </si>
  <si>
    <t>DEBUT REFLUX RATIO</t>
  </si>
  <si>
    <t>32CR006.CV</t>
  </si>
  <si>
    <t>32RC007</t>
  </si>
  <si>
    <t>DEBUT REFLUX/FEED RATIO</t>
  </si>
  <si>
    <t>32CR007.CV</t>
  </si>
  <si>
    <t>32RC008</t>
  </si>
  <si>
    <t>C3/C4 SPLITTER REFLUX RATIO</t>
  </si>
  <si>
    <t>32CR008.CV</t>
  </si>
  <si>
    <t>32RC009</t>
  </si>
  <si>
    <t>C3/C4 SPLITTER REFLUX/FEED RATIO</t>
  </si>
  <si>
    <t>32CR009.CV</t>
  </si>
  <si>
    <t>32RC010</t>
  </si>
  <si>
    <t>DIB REFLUX RATIO</t>
  </si>
  <si>
    <t>32CR010.CV</t>
  </si>
  <si>
    <t>32RC011</t>
  </si>
  <si>
    <t>DIB REFLUX/FEED RATIO</t>
  </si>
  <si>
    <t>32CR011.CV</t>
  </si>
  <si>
    <t>32RC012</t>
  </si>
  <si>
    <t>PERCENT FRESH LEAN OIL</t>
  </si>
  <si>
    <t>32CR012.CV</t>
  </si>
  <si>
    <t>32RC013</t>
  </si>
  <si>
    <t>ABSORBER SEMI LEAN/FEED RATIO</t>
  </si>
  <si>
    <t>32CR013.CV</t>
  </si>
  <si>
    <t>32RC014</t>
  </si>
  <si>
    <t>PREFLASH GAS/FEED RATIO</t>
  </si>
  <si>
    <t>32CR014.CV</t>
  </si>
  <si>
    <t>32RC017</t>
  </si>
  <si>
    <t>32CR017.CV</t>
  </si>
  <si>
    <t>32RC917</t>
  </si>
  <si>
    <t>32CR917.CV</t>
  </si>
  <si>
    <t>32S211</t>
  </si>
  <si>
    <t>C2 TARGET FOR PPT CALC 32$C142</t>
  </si>
  <si>
    <t>32SP211.CV</t>
  </si>
  <si>
    <t>32SC001</t>
  </si>
  <si>
    <t>32CS001.CV</t>
  </si>
  <si>
    <t>32SU211</t>
  </si>
  <si>
    <t>TO 32$C143</t>
  </si>
  <si>
    <t>SUM2211.CV</t>
  </si>
  <si>
    <t>32T002</t>
  </si>
  <si>
    <t>E-01 PREFLASH OVERHEAD OUTLET</t>
  </si>
  <si>
    <t>32TC002.PV</t>
  </si>
  <si>
    <t>32T003</t>
  </si>
  <si>
    <t>STRIPPER TRAY 2</t>
  </si>
  <si>
    <t>32TC003.PV</t>
  </si>
  <si>
    <t>32T004</t>
  </si>
  <si>
    <t>DEBUT TRAY 3</t>
  </si>
  <si>
    <t>32TC004.PV</t>
  </si>
  <si>
    <t>32T005</t>
  </si>
  <si>
    <t>E-10 DEBUT OVERHEAD OUTLET</t>
  </si>
  <si>
    <t>32TC005.PV</t>
  </si>
  <si>
    <t>32T006</t>
  </si>
  <si>
    <t>E-08 DEBUT FEED OUTLET</t>
  </si>
  <si>
    <t>32TC006.PV</t>
  </si>
  <si>
    <t>32T007</t>
  </si>
  <si>
    <t>E-12 PUMP AROUND OUTLET</t>
  </si>
  <si>
    <t>32TC007.PV</t>
  </si>
  <si>
    <t>32T008</t>
  </si>
  <si>
    <t>FRACT TRAY 64</t>
  </si>
  <si>
    <t>32TC008.PV</t>
  </si>
  <si>
    <t>32T009</t>
  </si>
  <si>
    <t>E-02 COOLER OUTLET</t>
  </si>
  <si>
    <t>32TC009.PV</t>
  </si>
  <si>
    <t>32T010</t>
  </si>
  <si>
    <t>E-14 FRACT OVERHEAD OUTLET</t>
  </si>
  <si>
    <t>32TC010.PV</t>
  </si>
  <si>
    <t>32T020</t>
  </si>
  <si>
    <t>SPLITTER  FEED TEMP</t>
  </si>
  <si>
    <t>32TC020.PV</t>
  </si>
  <si>
    <t>32T111</t>
  </si>
  <si>
    <t>PREFLASH TRAY 32</t>
  </si>
  <si>
    <t>32TI111.PV</t>
  </si>
  <si>
    <t>32T112</t>
  </si>
  <si>
    <t>PREFLASH TRAY 28</t>
  </si>
  <si>
    <t>32TI112.PV</t>
  </si>
  <si>
    <t>32T113</t>
  </si>
  <si>
    <t>PREFLASH TRAY 3</t>
  </si>
  <si>
    <t>32TI113.PV</t>
  </si>
  <si>
    <t>32T114</t>
  </si>
  <si>
    <t>PREFLASH TRAY 20</t>
  </si>
  <si>
    <t>32TI114.PV</t>
  </si>
  <si>
    <t>32T115</t>
  </si>
  <si>
    <t>PREFLASH TRAY 12</t>
  </si>
  <si>
    <t>32TI115.PV</t>
  </si>
  <si>
    <t>32T116</t>
  </si>
  <si>
    <t>PREFLASH TRAY 8</t>
  </si>
  <si>
    <t>32TI116.PV</t>
  </si>
  <si>
    <t>32T117</t>
  </si>
  <si>
    <t>PREFLASH BOTTOMS REBOILER PUMP</t>
  </si>
  <si>
    <t>32TI117.PV</t>
  </si>
  <si>
    <t>32T118</t>
  </si>
  <si>
    <t>REFLUX PUMP TO PREFLASH</t>
  </si>
  <si>
    <t>32TI118.PV</t>
  </si>
  <si>
    <t>32T122</t>
  </si>
  <si>
    <t>32TI122.PV</t>
  </si>
  <si>
    <t>32T124</t>
  </si>
  <si>
    <t>E-02 COOLER INLET</t>
  </si>
  <si>
    <t>32TI124.PV</t>
  </si>
  <si>
    <t>32T126</t>
  </si>
  <si>
    <t>32TI126.PV</t>
  </si>
  <si>
    <t>32T127</t>
  </si>
  <si>
    <t>STRIPPER OVERHEAD PRODUCT</t>
  </si>
  <si>
    <t>32TI127.PV</t>
  </si>
  <si>
    <t>32T128</t>
  </si>
  <si>
    <t>ABSORBER BOTTOMS PUMP DISCHARGE</t>
  </si>
  <si>
    <t>32TI128.PV</t>
  </si>
  <si>
    <t>32T130</t>
  </si>
  <si>
    <t>ABSORBER TRAY 18</t>
  </si>
  <si>
    <t>32TI130.PV</t>
  </si>
  <si>
    <t>32T131</t>
  </si>
  <si>
    <t>ABSORBER TRAY 6</t>
  </si>
  <si>
    <t>32TI131.PV</t>
  </si>
  <si>
    <t>32T132</t>
  </si>
  <si>
    <t>ABSORBER TRAY 2</t>
  </si>
  <si>
    <t>32TI132.PV</t>
  </si>
  <si>
    <t>32T133</t>
  </si>
  <si>
    <t>ABSORBER OVERHEAD PRODUCT</t>
  </si>
  <si>
    <t>32TI133.PV</t>
  </si>
  <si>
    <t>32T134</t>
  </si>
  <si>
    <t>ABSORBER TRAY 22</t>
  </si>
  <si>
    <t>32TI134.PV</t>
  </si>
  <si>
    <t>32T135</t>
  </si>
  <si>
    <t>ABSORBER TRAY 26</t>
  </si>
  <si>
    <t>32TI135.PV</t>
  </si>
  <si>
    <t>32T136</t>
  </si>
  <si>
    <t>ABSORBER TRAY 10</t>
  </si>
  <si>
    <t>32TI136.PV</t>
  </si>
  <si>
    <t>32T137</t>
  </si>
  <si>
    <t>32TI137.PV</t>
  </si>
  <si>
    <t>32T138</t>
  </si>
  <si>
    <t>32TI138.PV</t>
  </si>
  <si>
    <t>32T139</t>
  </si>
  <si>
    <t>STRIPPER TRAY 22</t>
  </si>
  <si>
    <t>32TI139.PV</t>
  </si>
  <si>
    <t>32T140</t>
  </si>
  <si>
    <t>STRIPPER TRAY 18</t>
  </si>
  <si>
    <t>32TI140.PV</t>
  </si>
  <si>
    <t>32T141</t>
  </si>
  <si>
    <t>STRIPPER TRAY 14</t>
  </si>
  <si>
    <t>32TI141.PV</t>
  </si>
  <si>
    <t>32T142</t>
  </si>
  <si>
    <t>STRIPPER TRAY 7</t>
  </si>
  <si>
    <t>32TI142.PV</t>
  </si>
  <si>
    <t>32T146</t>
  </si>
  <si>
    <t>E-04 LEAN OIL COOLER OUTLET</t>
  </si>
  <si>
    <t>32TI146.PV</t>
  </si>
  <si>
    <t>32T148</t>
  </si>
  <si>
    <t>E-03 PRESAT COOLER INLET</t>
  </si>
  <si>
    <t>32TI148.PV</t>
  </si>
  <si>
    <t>32T149</t>
  </si>
  <si>
    <t>E-03 PRESAT COOLER OUTLET</t>
  </si>
  <si>
    <t>32TI149.PV</t>
  </si>
  <si>
    <t>32T150</t>
  </si>
  <si>
    <t>LEAN OIL PUMP DISCHARGE</t>
  </si>
  <si>
    <t>32TI150.PV</t>
  </si>
  <si>
    <t>32T153</t>
  </si>
  <si>
    <t>DEBUT TRAY 22</t>
  </si>
  <si>
    <t>32TI153.PV</t>
  </si>
  <si>
    <t>32T154</t>
  </si>
  <si>
    <t>DEBUT TRAY 17</t>
  </si>
  <si>
    <t>32TI154.PV</t>
  </si>
  <si>
    <t>32T155</t>
  </si>
  <si>
    <t>DEBUT TRAY 11</t>
  </si>
  <si>
    <t>32TI155.PV</t>
  </si>
  <si>
    <t>32T156</t>
  </si>
  <si>
    <t>32TI156.PV</t>
  </si>
  <si>
    <t>32T157</t>
  </si>
  <si>
    <t>DEBUT TRAY 39</t>
  </si>
  <si>
    <t>32TC157.PV</t>
  </si>
  <si>
    <t>32T158</t>
  </si>
  <si>
    <t>DEBUT TRAY 31</t>
  </si>
  <si>
    <t>32TI158.PV</t>
  </si>
  <si>
    <t>32T160</t>
  </si>
  <si>
    <t>E-07 DEBUT BOTTOMS INLET</t>
  </si>
  <si>
    <t>32TI160.PV</t>
  </si>
  <si>
    <t>32T162</t>
  </si>
  <si>
    <t>E-07 DEBUT BOTTOMS OUTLET</t>
  </si>
  <si>
    <t>32TI162.PV</t>
  </si>
  <si>
    <t>32T163</t>
  </si>
  <si>
    <t>E-07 STRIPPER BOTTOMS INLET</t>
  </si>
  <si>
    <t>32TI163.PV</t>
  </si>
  <si>
    <t>32T164</t>
  </si>
  <si>
    <t>E-07 STRIPPER BOTTOMS OUTLET</t>
  </si>
  <si>
    <t>32TI164.PV</t>
  </si>
  <si>
    <t>32T165</t>
  </si>
  <si>
    <t>32TI165.PV</t>
  </si>
  <si>
    <t>32T168</t>
  </si>
  <si>
    <t>32TI168.PV</t>
  </si>
  <si>
    <t>32T170</t>
  </si>
  <si>
    <t>32TI170.PV</t>
  </si>
  <si>
    <t>32T173</t>
  </si>
  <si>
    <t>E-08 PUMP AROUND OUTLET</t>
  </si>
  <si>
    <t>32TI173.PV</t>
  </si>
  <si>
    <t>32T174</t>
  </si>
  <si>
    <t>32TI174.PV</t>
  </si>
  <si>
    <t>32T175</t>
  </si>
  <si>
    <t>FRACT PUMP AROUND PUMP</t>
  </si>
  <si>
    <t>32TI175.PV</t>
  </si>
  <si>
    <t>32T176</t>
  </si>
  <si>
    <t>FRACT TRAY 33</t>
  </si>
  <si>
    <t>32TI176.PV</t>
  </si>
  <si>
    <t>32T177</t>
  </si>
  <si>
    <t>32TI177.PV</t>
  </si>
  <si>
    <t>32T178</t>
  </si>
  <si>
    <t>FRACT TRAY 59</t>
  </si>
  <si>
    <t>32TI178.PV</t>
  </si>
  <si>
    <t>32T179</t>
  </si>
  <si>
    <t>FRACT TRAY 51</t>
  </si>
  <si>
    <t>32TI179.PV</t>
  </si>
  <si>
    <t>32T180</t>
  </si>
  <si>
    <t>FRACT TRAY 45</t>
  </si>
  <si>
    <t>32TI180.PV</t>
  </si>
  <si>
    <t>32T181</t>
  </si>
  <si>
    <t>FRACT TRAY 41</t>
  </si>
  <si>
    <t>32TI181.PV</t>
  </si>
  <si>
    <t>32T182</t>
  </si>
  <si>
    <t>FRACT TRAY 20</t>
  </si>
  <si>
    <t>32TI182.PV</t>
  </si>
  <si>
    <t>32T183</t>
  </si>
  <si>
    <t>FRACT TRAY 10</t>
  </si>
  <si>
    <t>32TI183.PV</t>
  </si>
  <si>
    <t>32T184</t>
  </si>
  <si>
    <t>FRACT TRAY 4</t>
  </si>
  <si>
    <t>32TI184.PV</t>
  </si>
  <si>
    <t>32T185</t>
  </si>
  <si>
    <t>E-14 FRACT OVERHEAD INLET</t>
  </si>
  <si>
    <t>32TI185.PV</t>
  </si>
  <si>
    <t>32T186</t>
  </si>
  <si>
    <t>32TI186.PV</t>
  </si>
  <si>
    <t>32T193</t>
  </si>
  <si>
    <t>E-13 GASOLINE OUTLET</t>
  </si>
  <si>
    <t>32TI193.PV</t>
  </si>
  <si>
    <t>32T194</t>
  </si>
  <si>
    <t>FRACT OVERHEAD PUMP DISCHARGE</t>
  </si>
  <si>
    <t>32TI194.PV</t>
  </si>
  <si>
    <t>32T196</t>
  </si>
  <si>
    <t>H-01 PREFLASH BOTTOMS INLET</t>
  </si>
  <si>
    <t>32TI196.PV</t>
  </si>
  <si>
    <t>32T198</t>
  </si>
  <si>
    <t>32TI198.PV</t>
  </si>
  <si>
    <t>32T199</t>
  </si>
  <si>
    <t>32TI199.PV</t>
  </si>
  <si>
    <t>32T200</t>
  </si>
  <si>
    <t>H-01 OUTLET PASS 3</t>
  </si>
  <si>
    <t>32TI200.PV</t>
  </si>
  <si>
    <t>32T201</t>
  </si>
  <si>
    <t>H-01 OUTLET PASS 4</t>
  </si>
  <si>
    <t>32TI201.PV</t>
  </si>
  <si>
    <t>32T208</t>
  </si>
  <si>
    <t>32TI208.PV</t>
  </si>
  <si>
    <t>32T225</t>
  </si>
  <si>
    <t>H-01 OUTLET HEADER</t>
  </si>
  <si>
    <t>32TI225.PV</t>
  </si>
  <si>
    <t>32T226</t>
  </si>
  <si>
    <t>32TC226.PV</t>
  </si>
  <si>
    <t>32T230</t>
  </si>
  <si>
    <t>H-02 OUTLET HEADER</t>
  </si>
  <si>
    <t>32TC230.PV</t>
  </si>
  <si>
    <t>32T232</t>
  </si>
  <si>
    <t>32TI232.PV</t>
  </si>
  <si>
    <t>32T236</t>
  </si>
  <si>
    <t>H-02 FRACT BOTTOMS INLET</t>
  </si>
  <si>
    <t>32TI236.PV</t>
  </si>
  <si>
    <t>32T240</t>
  </si>
  <si>
    <t>32TI240.PV</t>
  </si>
  <si>
    <t>32T246</t>
  </si>
  <si>
    <t>32TI246.PV</t>
  </si>
  <si>
    <t>32T247</t>
  </si>
  <si>
    <t>32TI247.PV</t>
  </si>
  <si>
    <t>32T265</t>
  </si>
  <si>
    <t>H-02 OUTLET PASS 3</t>
  </si>
  <si>
    <t>32TI265.PV</t>
  </si>
  <si>
    <t>32T266</t>
  </si>
  <si>
    <t>H-02 OUTLET PASS 4</t>
  </si>
  <si>
    <t>32TI266.PV</t>
  </si>
  <si>
    <t>32T267</t>
  </si>
  <si>
    <t>E-01 PREFLASH OVERHEAD INLET</t>
  </si>
  <si>
    <t>32TI267.PV</t>
  </si>
  <si>
    <t>32T268</t>
  </si>
  <si>
    <t>E-10 DEBUT OVERHEAD INLET</t>
  </si>
  <si>
    <t>32TI268.PV</t>
  </si>
  <si>
    <t>32T270</t>
  </si>
  <si>
    <t>NAPHTHA PUMP DISCHARGE</t>
  </si>
  <si>
    <t>32TI270.PV</t>
  </si>
  <si>
    <t>32T272</t>
  </si>
  <si>
    <t>FRACT BOTTOMS PUMP DISCHARGE</t>
  </si>
  <si>
    <t>32TI272.PV</t>
  </si>
  <si>
    <t>32T300</t>
  </si>
  <si>
    <t>E-16 SPLITTER BOTTOMS INLET</t>
  </si>
  <si>
    <t>32TI300.PV</t>
  </si>
  <si>
    <t>32T301</t>
  </si>
  <si>
    <t>E-16 SPLITTER BOTTOMS OUTLET</t>
  </si>
  <si>
    <t>32TI301.PV</t>
  </si>
  <si>
    <t>32T302</t>
  </si>
  <si>
    <t>E-16 SPLITTER FEED OUTLET</t>
  </si>
  <si>
    <t>32TI302.PV</t>
  </si>
  <si>
    <t>32T303</t>
  </si>
  <si>
    <t>SPLITTER TRAY 35</t>
  </si>
  <si>
    <t>32TI303.PV</t>
  </si>
  <si>
    <t>32T304</t>
  </si>
  <si>
    <t>SPLITTER TRAY 39</t>
  </si>
  <si>
    <t>32TI304.PV</t>
  </si>
  <si>
    <t>32T307</t>
  </si>
  <si>
    <t>SPLITTER TRAY 25</t>
  </si>
  <si>
    <t>32TI307.PV</t>
  </si>
  <si>
    <t>32T308</t>
  </si>
  <si>
    <t>SPLITTER TRAY 10</t>
  </si>
  <si>
    <t>32TI308.PV</t>
  </si>
  <si>
    <t>32T310</t>
  </si>
  <si>
    <t>SPLITTER TRAY 2</t>
  </si>
  <si>
    <t>32TI310.PV</t>
  </si>
  <si>
    <t>32T314</t>
  </si>
  <si>
    <t>E-18 SPLITTER OVERHEAD INLET</t>
  </si>
  <si>
    <t>32TI314.PV</t>
  </si>
  <si>
    <t>32T315</t>
  </si>
  <si>
    <t>E-18 SPLITTER OVERHEAD OUTLET</t>
  </si>
  <si>
    <t>32TI315.PV</t>
  </si>
  <si>
    <t>32T317</t>
  </si>
  <si>
    <t>E-20 PROPANE OUTLET</t>
  </si>
  <si>
    <t>32TI317.PV</t>
  </si>
  <si>
    <t>32T320</t>
  </si>
  <si>
    <t>E-11 N-BUTANE INLET</t>
  </si>
  <si>
    <t>32TI320.PV</t>
  </si>
  <si>
    <t>32T321</t>
  </si>
  <si>
    <t>E-11 N-BUTANE OUTLET</t>
  </si>
  <si>
    <t>32TI321.PV</t>
  </si>
  <si>
    <t>32T322</t>
  </si>
  <si>
    <t>DIB TRAY 63</t>
  </si>
  <si>
    <t>32TI322.PV</t>
  </si>
  <si>
    <t>32T323</t>
  </si>
  <si>
    <t>DIB TRAY 30</t>
  </si>
  <si>
    <t>32TI323.PV</t>
  </si>
  <si>
    <t>32T324</t>
  </si>
  <si>
    <t>DIB TRAY 57</t>
  </si>
  <si>
    <t>32TI324.PV</t>
  </si>
  <si>
    <t>32T328</t>
  </si>
  <si>
    <t>DIB TRAY 5</t>
  </si>
  <si>
    <t>32TI328.PV</t>
  </si>
  <si>
    <t>32T331</t>
  </si>
  <si>
    <t>E-23 DIB OVERHEAD INLET</t>
  </si>
  <si>
    <t>32TI331.PV</t>
  </si>
  <si>
    <t>32T332</t>
  </si>
  <si>
    <t>E-24 I-BUTANE PRODUCT OUTLET</t>
  </si>
  <si>
    <t>32TI332.PV</t>
  </si>
  <si>
    <t>32T336</t>
  </si>
  <si>
    <t>32TI336.PV</t>
  </si>
  <si>
    <t>32T340</t>
  </si>
  <si>
    <t>E-23 DIB OVERHEAD OUTLET</t>
  </si>
  <si>
    <t>32TI340.PV</t>
  </si>
  <si>
    <t>32T343</t>
  </si>
  <si>
    <t>FRACT UNIT FLARE TEMP</t>
  </si>
  <si>
    <t>32TI343.PV</t>
  </si>
  <si>
    <t>32T350</t>
  </si>
  <si>
    <t>OUTSIDE TEMPERATURE</t>
  </si>
  <si>
    <t>32TI350.PV</t>
  </si>
  <si>
    <t>32TM145</t>
  </si>
  <si>
    <t>32MT145.MV</t>
  </si>
  <si>
    <t>32TM195</t>
  </si>
  <si>
    <t>32MT195.MV</t>
  </si>
  <si>
    <t>32TM316</t>
  </si>
  <si>
    <t>32MT316.MV</t>
  </si>
  <si>
    <t>32TM334</t>
  </si>
  <si>
    <t>32MT334.MV</t>
  </si>
  <si>
    <t>32TU041</t>
  </si>
  <si>
    <t>ABSORBER STRIPPER DMC UPTIME</t>
  </si>
  <si>
    <t>32TU041.CV</t>
  </si>
  <si>
    <t>32TU131</t>
  </si>
  <si>
    <t>ABSORBER TEMP CONTROL UPTIME</t>
  </si>
  <si>
    <t>32TU131.CV</t>
  </si>
  <si>
    <t>32TU142</t>
  </si>
  <si>
    <t>STRIPPER TEMP CONTROL UPTIME</t>
  </si>
  <si>
    <t>32TU142.CV</t>
  </si>
  <si>
    <t>32TU222</t>
  </si>
  <si>
    <t>DIB DMC CONTROLLER UPTIME</t>
  </si>
  <si>
    <t>32TU222.CV</t>
  </si>
  <si>
    <t>32TUC001</t>
  </si>
  <si>
    <t>32TUC001.CV</t>
  </si>
  <si>
    <t>32TV002</t>
  </si>
  <si>
    <t>32TC002.OP</t>
  </si>
  <si>
    <t>32TV005</t>
  </si>
  <si>
    <t>32TC005.OP</t>
  </si>
  <si>
    <t>32TV006</t>
  </si>
  <si>
    <t>32TC006.OP</t>
  </si>
  <si>
    <t>32TV007</t>
  </si>
  <si>
    <t>32TC007.OP</t>
  </si>
  <si>
    <t>32TV010</t>
  </si>
  <si>
    <t>32TC010.OP</t>
  </si>
  <si>
    <t>32TV020</t>
  </si>
  <si>
    <t>SPLITTER FEED TEMP POSITION</t>
  </si>
  <si>
    <t>32TC020.OP</t>
  </si>
  <si>
    <t>32UA004</t>
  </si>
  <si>
    <t>32E004.UA</t>
  </si>
  <si>
    <t>32UA011</t>
  </si>
  <si>
    <t>32E011.UA</t>
  </si>
  <si>
    <t>32UA016</t>
  </si>
  <si>
    <t>32E016.UA</t>
  </si>
  <si>
    <t>32UA020</t>
  </si>
  <si>
    <t>32E020.UA</t>
  </si>
  <si>
    <t>32UA13</t>
  </si>
  <si>
    <t>32E013.UA</t>
  </si>
  <si>
    <t>32UC004</t>
  </si>
  <si>
    <t>32E004.U</t>
  </si>
  <si>
    <t>32UC011</t>
  </si>
  <si>
    <t>32E011.U</t>
  </si>
  <si>
    <t>32UC016</t>
  </si>
  <si>
    <t>32E016.U</t>
  </si>
  <si>
    <t>32UC020</t>
  </si>
  <si>
    <t>32E020.U</t>
  </si>
  <si>
    <t>32UC13</t>
  </si>
  <si>
    <t>32E013.U</t>
  </si>
  <si>
    <t>33$C002</t>
  </si>
  <si>
    <t>BENFIELD DMC BENEFITS</t>
  </si>
  <si>
    <t>33CCD002.PV</t>
  </si>
  <si>
    <t>33$C011</t>
  </si>
  <si>
    <t>H2 PLANT - O2 SUB DMC BENEFITS</t>
  </si>
  <si>
    <t>33C$011.CV</t>
  </si>
  <si>
    <t>33$C043</t>
  </si>
  <si>
    <t>H2 PLANT - SMR SUB DMC BENEFITS</t>
  </si>
  <si>
    <t>33CCD043.PV</t>
  </si>
  <si>
    <t>33A011</t>
  </si>
  <si>
    <t>STACK O2 REFORMER S CELL</t>
  </si>
  <si>
    <t>33AI011.PV</t>
  </si>
  <si>
    <t>33A012</t>
  </si>
  <si>
    <t>STACK COMBUST. REFORMER S CELL</t>
  </si>
  <si>
    <t>33AI012.PV</t>
  </si>
  <si>
    <t>33A021</t>
  </si>
  <si>
    <t>STACK O2 REFORMER N CELL</t>
  </si>
  <si>
    <t>33AI021.PV</t>
  </si>
  <si>
    <t>33A022</t>
  </si>
  <si>
    <t>STACK COMBUST. REFORMER N CELL</t>
  </si>
  <si>
    <t>33AI022.PV</t>
  </si>
  <si>
    <t>33A040</t>
  </si>
  <si>
    <t>NA ION IN H.P. STEAM</t>
  </si>
  <si>
    <t>33AI040.PV</t>
  </si>
  <si>
    <t>33A100</t>
  </si>
  <si>
    <t>H2 PURITY TO HYDROCRACKER</t>
  </si>
  <si>
    <t>33AI100.PV</t>
  </si>
  <si>
    <t>33A211</t>
  </si>
  <si>
    <t>CO IN H2 PRODUCT</t>
  </si>
  <si>
    <t>33AI211.PV</t>
  </si>
  <si>
    <t>33A212</t>
  </si>
  <si>
    <t>CO2 IN H2 PRODUCT</t>
  </si>
  <si>
    <t>33AI212.PV</t>
  </si>
  <si>
    <t>33A311</t>
  </si>
  <si>
    <t>METHANE IN REFORMER FEED</t>
  </si>
  <si>
    <t>33AI311.PV</t>
  </si>
  <si>
    <t>33A312</t>
  </si>
  <si>
    <t>ETHANE IN REFORMER FEED</t>
  </si>
  <si>
    <t>33AI312.PV</t>
  </si>
  <si>
    <t>33A313</t>
  </si>
  <si>
    <t>PROPANE IN REFORMER FEED</t>
  </si>
  <si>
    <t>33AI313.PV</t>
  </si>
  <si>
    <t>33A314</t>
  </si>
  <si>
    <t>BUTANE IN REFORMER FEED</t>
  </si>
  <si>
    <t>33AI314.PV</t>
  </si>
  <si>
    <t>33A321</t>
  </si>
  <si>
    <t>METHANE WASTE HEAT EXCH OUTLET</t>
  </si>
  <si>
    <t>33AI321.PV</t>
  </si>
  <si>
    <t>33A331</t>
  </si>
  <si>
    <t>CO IN CO2 ABS OUTLET</t>
  </si>
  <si>
    <t>33AI331.PV</t>
  </si>
  <si>
    <t>33A332</t>
  </si>
  <si>
    <t>CO2 IN CO2 ABS OUTLET</t>
  </si>
  <si>
    <t>33AI332.PV</t>
  </si>
  <si>
    <t>33A341</t>
  </si>
  <si>
    <t>METHANE IN H2 PRODUCT</t>
  </si>
  <si>
    <t>33AI341.PV</t>
  </si>
  <si>
    <t>33AU002</t>
  </si>
  <si>
    <t>BENFIELD DMC UPTIME</t>
  </si>
  <si>
    <t>33AU002.CV</t>
  </si>
  <si>
    <t>33AU011</t>
  </si>
  <si>
    <t>H2 PLANT - O2 SUB DMC UPTIME</t>
  </si>
  <si>
    <t>33AU011.CV</t>
  </si>
  <si>
    <t>33AU043</t>
  </si>
  <si>
    <t>H2 PLANT - SMR SUB DMC UPTIME</t>
  </si>
  <si>
    <t>33AU043.CV</t>
  </si>
  <si>
    <t>33D010</t>
  </si>
  <si>
    <t>HC TO REFORMER             X1000</t>
  </si>
  <si>
    <t>33DI010.PV</t>
  </si>
  <si>
    <t>33D020</t>
  </si>
  <si>
    <t>FUEL GAS TO REFORMER BURNERX1000</t>
  </si>
  <si>
    <t>33DI020.PV</t>
  </si>
  <si>
    <t>33DM001</t>
  </si>
  <si>
    <t>33MD001.MV</t>
  </si>
  <si>
    <t>33DM002</t>
  </si>
  <si>
    <t>33MD002.MV</t>
  </si>
  <si>
    <t>33F005</t>
  </si>
  <si>
    <t>STEAM TO HEADER            X1000</t>
  </si>
  <si>
    <t>33FI005.PV</t>
  </si>
  <si>
    <t>33F012</t>
  </si>
  <si>
    <t>BFW MAKEUP FROM E-04</t>
  </si>
  <si>
    <t>33FC012.PV</t>
  </si>
  <si>
    <t>33F013</t>
  </si>
  <si>
    <t>HP STEAM TO SPRHTR COIL    X1000</t>
  </si>
  <si>
    <t>33FI013.PV</t>
  </si>
  <si>
    <t>33F014</t>
  </si>
  <si>
    <t>BFW PUMP CIRCULATION       X1000</t>
  </si>
  <si>
    <t>33FI014.PV</t>
  </si>
  <si>
    <t>33F019</t>
  </si>
  <si>
    <t>K2CO3 CIRC PUMP DISCHARGE  X1000</t>
  </si>
  <si>
    <t>33FC019.PV</t>
  </si>
  <si>
    <t>33F020</t>
  </si>
  <si>
    <t>WASH WATER TO CO2 ABSORBER</t>
  </si>
  <si>
    <t>33FC020.PV</t>
  </si>
  <si>
    <t>33F021</t>
  </si>
  <si>
    <t>WASH WATER TO REGENERATOR</t>
  </si>
  <si>
    <t>33FC021.PV</t>
  </si>
  <si>
    <t>33F024</t>
  </si>
  <si>
    <t>COOL LEAN TO C02 ABSORBER  X1000</t>
  </si>
  <si>
    <t>33FC024.PV</t>
  </si>
  <si>
    <t>33F025</t>
  </si>
  <si>
    <t>HOT LEAN TO C02 ABSORBER   X1000</t>
  </si>
  <si>
    <t>33FC025.PV</t>
  </si>
  <si>
    <t>33F027</t>
  </si>
  <si>
    <t>H2 PRODUCT FROM KO DRUM    X1000</t>
  </si>
  <si>
    <t>33FI027.PV</t>
  </si>
  <si>
    <t>33F028</t>
  </si>
  <si>
    <t>H2 PRODUCT                 X1000</t>
  </si>
  <si>
    <t>33FI028.PV</t>
  </si>
  <si>
    <t>33F031</t>
  </si>
  <si>
    <t>NAT GAS TO FUEL GAS KO DRUMX1000</t>
  </si>
  <si>
    <t>33FI031.PV</t>
  </si>
  <si>
    <t>33F032</t>
  </si>
  <si>
    <t>FUEL GAS TO S CELL BURNER  X1000</t>
  </si>
  <si>
    <t>33FI032.PV</t>
  </si>
  <si>
    <t>33F034</t>
  </si>
  <si>
    <t>FUEL GAS TO N CELL BURNER  X1000</t>
  </si>
  <si>
    <t>33FI034.PV</t>
  </si>
  <si>
    <t>33F041</t>
  </si>
  <si>
    <t>SOUR GAS FEED              X1000</t>
  </si>
  <si>
    <t>33FI041.PV</t>
  </si>
  <si>
    <t>33F042</t>
  </si>
  <si>
    <t>POWERF OFF GAS TO COOLER   X1000</t>
  </si>
  <si>
    <t>33FC042.PV</t>
  </si>
  <si>
    <t>33F043</t>
  </si>
  <si>
    <t>POWERF OFF GAS TO KO DRUM  X1000</t>
  </si>
  <si>
    <t>33FC043.PV</t>
  </si>
  <si>
    <t>33F044</t>
  </si>
  <si>
    <t>NATURAL GAS FEED H2 UNIT   X1000</t>
  </si>
  <si>
    <t>33FC044.PV</t>
  </si>
  <si>
    <t>33F045</t>
  </si>
  <si>
    <t>H2 FROM MAKEUP COMPRESSOR  X1000</t>
  </si>
  <si>
    <t>33FC045.PV</t>
  </si>
  <si>
    <t>33F047</t>
  </si>
  <si>
    <t>REFORMER FEED CHARGE S CELLX1000</t>
  </si>
  <si>
    <t>33FI047.PV</t>
  </si>
  <si>
    <t>33F048</t>
  </si>
  <si>
    <t>REFORMER FEED CHARGE N CELLX1000</t>
  </si>
  <si>
    <t>33FI048.PV</t>
  </si>
  <si>
    <t>33F049</t>
  </si>
  <si>
    <t>STEAM FEED TO REFORMER     X1000</t>
  </si>
  <si>
    <t>33FC049.PV</t>
  </si>
  <si>
    <t>33F050</t>
  </si>
  <si>
    <t>HC FEED TO REFORMER        X1000</t>
  </si>
  <si>
    <t>33FI050.PV</t>
  </si>
  <si>
    <t>33F051</t>
  </si>
  <si>
    <t>STEAM TO HC RATIO</t>
  </si>
  <si>
    <t>33FFC051.PV</t>
  </si>
  <si>
    <t>33F062</t>
  </si>
  <si>
    <t>H2 TO FUEL GAS HEADER      X1000</t>
  </si>
  <si>
    <t>33FC062.PV</t>
  </si>
  <si>
    <t>33F506</t>
  </si>
  <si>
    <t>ABSORBER FEED DRUM CONDENSER</t>
  </si>
  <si>
    <t>33FI506.PV</t>
  </si>
  <si>
    <t>33F507</t>
  </si>
  <si>
    <t>TREATED WATER TO DEAERATOR</t>
  </si>
  <si>
    <t>33FI507.PV</t>
  </si>
  <si>
    <t>33F509</t>
  </si>
  <si>
    <t>HP STEAM TURBINE BFW CIRC  X1000</t>
  </si>
  <si>
    <t>33FI509.PV</t>
  </si>
  <si>
    <t>33F510</t>
  </si>
  <si>
    <t>LP STEAM TO DEAERATOR      X1000</t>
  </si>
  <si>
    <t>33FI510.PV</t>
  </si>
  <si>
    <t>33F511</t>
  </si>
  <si>
    <t>HP STEAM TURBINE BFW MAKEUPX1000</t>
  </si>
  <si>
    <t>33FI511.PV</t>
  </si>
  <si>
    <t>33F513</t>
  </si>
  <si>
    <t>LP CONDENSER TO DEAERATOR</t>
  </si>
  <si>
    <t>33FI513.PV</t>
  </si>
  <si>
    <t>33F528</t>
  </si>
  <si>
    <t>ATM CONDENSATE TO DEAERATOR</t>
  </si>
  <si>
    <t>33FI528.PV</t>
  </si>
  <si>
    <t>33F536</t>
  </si>
  <si>
    <t>BLOWDOWN TO FEED PREHEATER</t>
  </si>
  <si>
    <t>33FC536.PV</t>
  </si>
  <si>
    <t>33FC001</t>
  </si>
  <si>
    <t>METHANATOR DUMP TO FLARE</t>
  </si>
  <si>
    <t>33CF001.CV</t>
  </si>
  <si>
    <t>33FC002</t>
  </si>
  <si>
    <t>H2 PRODUCT TO FLARE</t>
  </si>
  <si>
    <t>33CF002.CV</t>
  </si>
  <si>
    <t>33FC0038</t>
  </si>
  <si>
    <t>33CF0038.CV</t>
  </si>
  <si>
    <t>33FC004</t>
  </si>
  <si>
    <t>TOTAL CARBON IN FEED</t>
  </si>
  <si>
    <t>33CF004.CV</t>
  </si>
  <si>
    <t>33FC005</t>
  </si>
  <si>
    <t>33CF005.CV</t>
  </si>
  <si>
    <t>33FC006</t>
  </si>
  <si>
    <t>TOTAL STEAM IN FEED</t>
  </si>
  <si>
    <t>33CF006.CV</t>
  </si>
  <si>
    <t>33FC007</t>
  </si>
  <si>
    <t>TOTAL STEAM IN FEED        X1000</t>
  </si>
  <si>
    <t>33CF007.CV</t>
  </si>
  <si>
    <t>33FC008</t>
  </si>
  <si>
    <t>TOTAL CARBONATE TO 3-3-T01 X1000</t>
  </si>
  <si>
    <t>33CF008.CV</t>
  </si>
  <si>
    <t>33FC009</t>
  </si>
  <si>
    <t>CARBONATE FLOW DIFFERENCE  X1000</t>
  </si>
  <si>
    <t>33CF009.CV</t>
  </si>
  <si>
    <t>33FC011</t>
  </si>
  <si>
    <t>CO2 LEAKAGE COMPARED TO DESIGN</t>
  </si>
  <si>
    <t>33CF011.CV</t>
  </si>
  <si>
    <t>33FC012</t>
  </si>
  <si>
    <t>33CF012.CV</t>
  </si>
  <si>
    <t>33FC013</t>
  </si>
  <si>
    <t>PLANT #3 HYDROGEN FLARED   X1000</t>
  </si>
  <si>
    <t>33CF013.CV</t>
  </si>
  <si>
    <t>33FC024</t>
  </si>
  <si>
    <t>COLD LEAN CARBONATE FLOW   X1000</t>
  </si>
  <si>
    <t>33CF024.CV</t>
  </si>
  <si>
    <t>33FC025</t>
  </si>
  <si>
    <t>HOT LEAN CARBONATE FLOW    X1000</t>
  </si>
  <si>
    <t>33CF025.CV</t>
  </si>
  <si>
    <t>33FC032</t>
  </si>
  <si>
    <t>33CF032.CV</t>
  </si>
  <si>
    <t>33FC034</t>
  </si>
  <si>
    <t>33CF034.CV</t>
  </si>
  <si>
    <t>33FC035</t>
  </si>
  <si>
    <t>3-3-H01 ENERGY CONSUMPTION</t>
  </si>
  <si>
    <t>33CF035.CV</t>
  </si>
  <si>
    <t>33FC035A</t>
  </si>
  <si>
    <t>33CF035A.CV</t>
  </si>
  <si>
    <t>33FC036</t>
  </si>
  <si>
    <t>H2 STEAM ENERGY CONSUMPTION</t>
  </si>
  <si>
    <t>33CF036.CV</t>
  </si>
  <si>
    <t>33FC037</t>
  </si>
  <si>
    <t>33CF037.CV</t>
  </si>
  <si>
    <t>33FC038</t>
  </si>
  <si>
    <t>33CF038.CV</t>
  </si>
  <si>
    <t>33FC039</t>
  </si>
  <si>
    <t>33CF039.CV</t>
  </si>
  <si>
    <t>33FC040</t>
  </si>
  <si>
    <t>33CF040.CV</t>
  </si>
  <si>
    <t>33FC041</t>
  </si>
  <si>
    <t>33CF041.CV</t>
  </si>
  <si>
    <t>33FC042</t>
  </si>
  <si>
    <t>33CF042.CV</t>
  </si>
  <si>
    <t>33FFV051</t>
  </si>
  <si>
    <t>HYDROCARBON FEED TO 3-3-H01</t>
  </si>
  <si>
    <t>33FFV051.OP</t>
  </si>
  <si>
    <t>33FM001</t>
  </si>
  <si>
    <t>INPUT FOR S/C MOL RATIO FOR N.G.</t>
  </si>
  <si>
    <t>33MF001.PV</t>
  </si>
  <si>
    <t>33FM002</t>
  </si>
  <si>
    <t>INPUT FOR S/C MOL RATIO FOR P.OG</t>
  </si>
  <si>
    <t>33MF002.PV</t>
  </si>
  <si>
    <t>33FV012</t>
  </si>
  <si>
    <t>33FC012.OP</t>
  </si>
  <si>
    <t>33FV019</t>
  </si>
  <si>
    <t>K2C03 CIRCULATING PUMP DISCHARGE</t>
  </si>
  <si>
    <t>33FC019.OP</t>
  </si>
  <si>
    <t>33FV020</t>
  </si>
  <si>
    <t>WASH WATER TO C02 ABSORBER</t>
  </si>
  <si>
    <t>33FC020.OP</t>
  </si>
  <si>
    <t>33FV021</t>
  </si>
  <si>
    <t>33FC021.OP</t>
  </si>
  <si>
    <t>33FV024</t>
  </si>
  <si>
    <t>COOL LEAN TO C02 ABSORBER</t>
  </si>
  <si>
    <t>33FC024.OP</t>
  </si>
  <si>
    <t>33FV025</t>
  </si>
  <si>
    <t>HOT LEAN TO C02 ABSORBER</t>
  </si>
  <si>
    <t>33FC025.OP</t>
  </si>
  <si>
    <t>33FV042</t>
  </si>
  <si>
    <t>POWERFORMER OFF GAS TO COOLER</t>
  </si>
  <si>
    <t>33FC042.OP</t>
  </si>
  <si>
    <t>33FV043</t>
  </si>
  <si>
    <t>POWERFORMER OFF GAS TO KO DRUM</t>
  </si>
  <si>
    <t>33FC043.OP</t>
  </si>
  <si>
    <t>33FV044</t>
  </si>
  <si>
    <t>NATURAL GAS FEED H2 UNIT</t>
  </si>
  <si>
    <t>33FC044.OP</t>
  </si>
  <si>
    <t>33FV045</t>
  </si>
  <si>
    <t>H2 FROM MAKEUP COMPRESSOR</t>
  </si>
  <si>
    <t>33FC045.OP</t>
  </si>
  <si>
    <t>33FV049</t>
  </si>
  <si>
    <t>STEAM FEED TO REFORMER</t>
  </si>
  <si>
    <t>33FC049.OP</t>
  </si>
  <si>
    <t>33FV536</t>
  </si>
  <si>
    <t>33FC536.OP</t>
  </si>
  <si>
    <t>33H010</t>
  </si>
  <si>
    <t>HC TO CONV SEC INLET</t>
  </si>
  <si>
    <t>33HC010.OP</t>
  </si>
  <si>
    <t>33H012</t>
  </si>
  <si>
    <t>BFW TO REFORMER CONV SEC</t>
  </si>
  <si>
    <t>33HC012.PV</t>
  </si>
  <si>
    <t>33H015</t>
  </si>
  <si>
    <t>SHIFT WASTE HEAT EXCH BYPASS</t>
  </si>
  <si>
    <t>33HC015.PV</t>
  </si>
  <si>
    <t>33H025</t>
  </si>
  <si>
    <t>RICH K2CO3 TO REGENERATOR</t>
  </si>
  <si>
    <t>33HC025.OP</t>
  </si>
  <si>
    <t>33HC001</t>
  </si>
  <si>
    <t>33CH001.CV</t>
  </si>
  <si>
    <t>33HC002</t>
  </si>
  <si>
    <t>33CH002.CV</t>
  </si>
  <si>
    <t>33HCMG</t>
  </si>
  <si>
    <t>33HYDMG.C1</t>
  </si>
  <si>
    <t>33HYDMG.C2</t>
  </si>
  <si>
    <t>33HYDMG.C3</t>
  </si>
  <si>
    <t>33HYDMG.C3A</t>
  </si>
  <si>
    <t>33HYDMG.C4A</t>
  </si>
  <si>
    <t>33HYDMG.C5A</t>
  </si>
  <si>
    <t>33HYDMG.C6B</t>
  </si>
  <si>
    <t>33HYDMG.CO</t>
  </si>
  <si>
    <t>33HYDMG.CO2</t>
  </si>
  <si>
    <t>33HYDMG.H2</t>
  </si>
  <si>
    <t>33HYDMG.IC4</t>
  </si>
  <si>
    <t>33HYDMG.IC5</t>
  </si>
  <si>
    <t>33HYDMG.N2</t>
  </si>
  <si>
    <t>33HYDMG.NC4</t>
  </si>
  <si>
    <t>33HYDMG.NC5</t>
  </si>
  <si>
    <t>33HYDMG.O2</t>
  </si>
  <si>
    <t>33L013</t>
  </si>
  <si>
    <t>STEAM DRUM LEVEL</t>
  </si>
  <si>
    <t>33LC013.PV</t>
  </si>
  <si>
    <t>33L014A</t>
  </si>
  <si>
    <t>33LI014A.PV</t>
  </si>
  <si>
    <t>33L021</t>
  </si>
  <si>
    <t>K2CO3 REBOILER LEVEL</t>
  </si>
  <si>
    <t>33LC021.PV</t>
  </si>
  <si>
    <t>33L021A</t>
  </si>
  <si>
    <t>E-06 K2CO3 REBOILER LEVEL</t>
  </si>
  <si>
    <t>33LR021A.PV</t>
  </si>
  <si>
    <t>33L027</t>
  </si>
  <si>
    <t>C02 ABSORBER LEVEL</t>
  </si>
  <si>
    <t>33LC027.PV</t>
  </si>
  <si>
    <t>33L031</t>
  </si>
  <si>
    <t>ABSORBER FEED DRUM LEVEL</t>
  </si>
  <si>
    <t>33LC031.PV</t>
  </si>
  <si>
    <t>33L037</t>
  </si>
  <si>
    <t>H2 PRODUCT KO DRUM LEVEL</t>
  </si>
  <si>
    <t>33LI037.PV</t>
  </si>
  <si>
    <t>33L507</t>
  </si>
  <si>
    <t>DEAERATOR LEVEL</t>
  </si>
  <si>
    <t>33LC507.PV</t>
  </si>
  <si>
    <t>33L512</t>
  </si>
  <si>
    <t>33LI512.PV</t>
  </si>
  <si>
    <t>33LC001</t>
  </si>
  <si>
    <t>33CL001.CV</t>
  </si>
  <si>
    <t>33LC002</t>
  </si>
  <si>
    <t>33CL002.CV</t>
  </si>
  <si>
    <t>33LC003</t>
  </si>
  <si>
    <t>33CL003.CV</t>
  </si>
  <si>
    <t>33LC004</t>
  </si>
  <si>
    <t>33CL004.CV</t>
  </si>
  <si>
    <t>33LV027</t>
  </si>
  <si>
    <t>33LC027.OP</t>
  </si>
  <si>
    <t>33LV031</t>
  </si>
  <si>
    <t>33LC031.OP</t>
  </si>
  <si>
    <t>33LV507</t>
  </si>
  <si>
    <t>33LC507.OP</t>
  </si>
  <si>
    <t>33P014</t>
  </si>
  <si>
    <t>COMBINED HP STEAM TO HEADER</t>
  </si>
  <si>
    <t>33PC014.PV</t>
  </si>
  <si>
    <t>33P015</t>
  </si>
  <si>
    <t>HC TO REFORMER</t>
  </si>
  <si>
    <t>33PC015.PV</t>
  </si>
  <si>
    <t>33P016</t>
  </si>
  <si>
    <t>REFORMER DRAFT S CELL</t>
  </si>
  <si>
    <t>33PI016.PV</t>
  </si>
  <si>
    <t>33P017</t>
  </si>
  <si>
    <t>REFORMER DRAFT N CELL</t>
  </si>
  <si>
    <t>33PI017.PV</t>
  </si>
  <si>
    <t>33P018</t>
  </si>
  <si>
    <t>REFORMER CONV SEC AIR DAMPER</t>
  </si>
  <si>
    <t>33PC018.PV</t>
  </si>
  <si>
    <t>33P019</t>
  </si>
  <si>
    <t>STEAM DRUM PRESSURE</t>
  </si>
  <si>
    <t>33PI019.PV</t>
  </si>
  <si>
    <t>33P025</t>
  </si>
  <si>
    <t>METHANATOR INLET TO FLARE</t>
  </si>
  <si>
    <t>33PC025.PV</t>
  </si>
  <si>
    <t>33P027</t>
  </si>
  <si>
    <t>H2 PRODUCT FROM KO DRUM</t>
  </si>
  <si>
    <t>33PC027.PV</t>
  </si>
  <si>
    <t>33P028</t>
  </si>
  <si>
    <t>FUEL GAS KNOCK OUT DRUM PRESS SR</t>
  </si>
  <si>
    <t>33PC028.PV</t>
  </si>
  <si>
    <t>33P029</t>
  </si>
  <si>
    <t>FUEL GAS TO S CELL BURNER</t>
  </si>
  <si>
    <t>33PC029.PV</t>
  </si>
  <si>
    <t>33P032</t>
  </si>
  <si>
    <t>FUEL GAS TO N CELL BURNER</t>
  </si>
  <si>
    <t>33PC032.PV</t>
  </si>
  <si>
    <t>33P043</t>
  </si>
  <si>
    <t>H2 FEED TO HYDROCRACKER</t>
  </si>
  <si>
    <t>33PC043.PV</t>
  </si>
  <si>
    <t>33P044</t>
  </si>
  <si>
    <t>ABSORBER FEED TO FLARE</t>
  </si>
  <si>
    <t>33PC044.PV</t>
  </si>
  <si>
    <t>33P051</t>
  </si>
  <si>
    <t>SOUR GAS FEED TO CYL 2</t>
  </si>
  <si>
    <t>33PC051.PV</t>
  </si>
  <si>
    <t>33P053</t>
  </si>
  <si>
    <t>POWERFORMER OFF GAS FEED</t>
  </si>
  <si>
    <t>33PI053.PV</t>
  </si>
  <si>
    <t>33P054</t>
  </si>
  <si>
    <t>33PI054.PV</t>
  </si>
  <si>
    <t>33P055</t>
  </si>
  <si>
    <t>OFF GAS NATURAL GAS TO CYL 1</t>
  </si>
  <si>
    <t>33PC055.PV</t>
  </si>
  <si>
    <t>33P056</t>
  </si>
  <si>
    <t>COMP A CYL 1 DISCHARGE PRESSURE</t>
  </si>
  <si>
    <t>33PI056.PV</t>
  </si>
  <si>
    <t>33P058</t>
  </si>
  <si>
    <t>COMP A CYL 2 DISCHARGE PRESSURE</t>
  </si>
  <si>
    <t>33PI058.PV</t>
  </si>
  <si>
    <t>33P060</t>
  </si>
  <si>
    <t>COMP B CYL 2 DISCHARGE PRESSURE</t>
  </si>
  <si>
    <t>33PI060.PV</t>
  </si>
  <si>
    <t>33P062</t>
  </si>
  <si>
    <t>COMP B CYL 1 DISCHARGE PRESSURE</t>
  </si>
  <si>
    <t>33PI062.PV</t>
  </si>
  <si>
    <t>33P065</t>
  </si>
  <si>
    <t>C02 REGENERATOR</t>
  </si>
  <si>
    <t>33PC065.PV</t>
  </si>
  <si>
    <t>33P066</t>
  </si>
  <si>
    <t>33PI066.PV</t>
  </si>
  <si>
    <t>33P501</t>
  </si>
  <si>
    <t>DEAERATOR PRESSURE</t>
  </si>
  <si>
    <t>33PC501.PV</t>
  </si>
  <si>
    <t>33P509</t>
  </si>
  <si>
    <t>BFW MAKEUP PUMP DISCHARGE</t>
  </si>
  <si>
    <t>33PI509.PV</t>
  </si>
  <si>
    <t>33PC014</t>
  </si>
  <si>
    <t>33CP014.CV</t>
  </si>
  <si>
    <t>33PC027</t>
  </si>
  <si>
    <t>33CP027.CV</t>
  </si>
  <si>
    <t>33PC051</t>
  </si>
  <si>
    <t>33CP051.CV</t>
  </si>
  <si>
    <t>33PC053</t>
  </si>
  <si>
    <t>33CP053.CV</t>
  </si>
  <si>
    <t>33PC054</t>
  </si>
  <si>
    <t>33CP054.CV</t>
  </si>
  <si>
    <t>33PD022</t>
  </si>
  <si>
    <t>K2C03 REGENERATOR DIFP</t>
  </si>
  <si>
    <t>33PDI022.PV</t>
  </si>
  <si>
    <t>33PD024</t>
  </si>
  <si>
    <t>C02 ABSORBER DIFP</t>
  </si>
  <si>
    <t>33PDI024.PV</t>
  </si>
  <si>
    <t>33PV014</t>
  </si>
  <si>
    <t>33PC014.OP</t>
  </si>
  <si>
    <t>33PV015</t>
  </si>
  <si>
    <t>CYL 1 LO SELECT</t>
  </si>
  <si>
    <t>33PC015.OP</t>
  </si>
  <si>
    <t>33PV018</t>
  </si>
  <si>
    <t>33PC018.OP</t>
  </si>
  <si>
    <t>33PV025</t>
  </si>
  <si>
    <t>METHANTOR INLET TO FLARE</t>
  </si>
  <si>
    <t>33PC025.OP</t>
  </si>
  <si>
    <t>33PV027</t>
  </si>
  <si>
    <t>33PC027.OP</t>
  </si>
  <si>
    <t>33PV028</t>
  </si>
  <si>
    <t>33PC028.OP</t>
  </si>
  <si>
    <t>33PV029</t>
  </si>
  <si>
    <t>33PC029.OP</t>
  </si>
  <si>
    <t>33PV032</t>
  </si>
  <si>
    <t>33PC032.OP</t>
  </si>
  <si>
    <t>33PV043</t>
  </si>
  <si>
    <t>CYL 2 LO SELECT</t>
  </si>
  <si>
    <t>33PC043.OP</t>
  </si>
  <si>
    <t>33PV044</t>
  </si>
  <si>
    <t>33PC044.OP</t>
  </si>
  <si>
    <t>33PV065</t>
  </si>
  <si>
    <t>33PC065.OP</t>
  </si>
  <si>
    <t>33PV501</t>
  </si>
  <si>
    <t>33PC501.OP</t>
  </si>
  <si>
    <t>33RC001</t>
  </si>
  <si>
    <t>STM/CARBON MOLAR RATIO (2 FEEDS)</t>
  </si>
  <si>
    <t>33CR001.CV</t>
  </si>
  <si>
    <t>33RC002</t>
  </si>
  <si>
    <t>HOT/COLD CARBONATE TO 3-3-T01</t>
  </si>
  <si>
    <t>33CR002.CV</t>
  </si>
  <si>
    <t>33RC003</t>
  </si>
  <si>
    <t>3-3-H01 EFFICIENCY</t>
  </si>
  <si>
    <t>33CR003.CV</t>
  </si>
  <si>
    <t>33RC004</t>
  </si>
  <si>
    <t>S/C CORREC MOL RATIO</t>
  </si>
  <si>
    <t>33CR004.CV</t>
  </si>
  <si>
    <t>33SC001</t>
  </si>
  <si>
    <t>33CS001.CV</t>
  </si>
  <si>
    <t>33SC002</t>
  </si>
  <si>
    <t>33CS002.CV</t>
  </si>
  <si>
    <t>33T001</t>
  </si>
  <si>
    <t>HC CONV SEC OUTLET</t>
  </si>
  <si>
    <t>33TC001.PV</t>
  </si>
  <si>
    <t>33T002</t>
  </si>
  <si>
    <t>REFORMED GAS OUTLET S CELL</t>
  </si>
  <si>
    <t>33TC002.PV</t>
  </si>
  <si>
    <t>33T003</t>
  </si>
  <si>
    <t>REFORMED GAS OUTLET N CELL</t>
  </si>
  <si>
    <t>33TC003.PV</t>
  </si>
  <si>
    <t>33T004</t>
  </si>
  <si>
    <t>WATSE HEAT EXCH GAS OUTLET  SR</t>
  </si>
  <si>
    <t>33TC004.PV</t>
  </si>
  <si>
    <t>33T005</t>
  </si>
  <si>
    <t>HTS E-04 GAS OUTLET</t>
  </si>
  <si>
    <t>33TC005.PV</t>
  </si>
  <si>
    <t>33T013</t>
  </si>
  <si>
    <t>E-13 K2CO3 SOLUTION OUTLET</t>
  </si>
  <si>
    <t>33TC013.PV</t>
  </si>
  <si>
    <t>33T014</t>
  </si>
  <si>
    <t>METHANATOR GAS INLET  SR</t>
  </si>
  <si>
    <t>33TC014.PV</t>
  </si>
  <si>
    <t>33T017</t>
  </si>
  <si>
    <t>COMBINED HP STEAM TO REFORMER</t>
  </si>
  <si>
    <t>33TC017.PV</t>
  </si>
  <si>
    <t>33T020</t>
  </si>
  <si>
    <t>HYDROGEN UNIT FLARE TEMP</t>
  </si>
  <si>
    <t>33TI020.PV</t>
  </si>
  <si>
    <t>33T021</t>
  </si>
  <si>
    <t>33V11 FLARE TEMP</t>
  </si>
  <si>
    <t>33TI021.PV</t>
  </si>
  <si>
    <t>33T152</t>
  </si>
  <si>
    <t>FEED GAS FROM HYDROGENATOR</t>
  </si>
  <si>
    <t>33TI152.PV</t>
  </si>
  <si>
    <t>33T153</t>
  </si>
  <si>
    <t>SULPHUR ABSORBER A</t>
  </si>
  <si>
    <t>33TI153.PV</t>
  </si>
  <si>
    <t>33T154</t>
  </si>
  <si>
    <t>SULPHUR ABSORBER B</t>
  </si>
  <si>
    <t>33TI154.PV</t>
  </si>
  <si>
    <t>33T155</t>
  </si>
  <si>
    <t>33TI155.PV</t>
  </si>
  <si>
    <t>33T157</t>
  </si>
  <si>
    <t>FEED GAS FROM CONV SEC</t>
  </si>
  <si>
    <t>33TI157.PV</t>
  </si>
  <si>
    <t>33T163</t>
  </si>
  <si>
    <t>BFW TO STEAM DRUM</t>
  </si>
  <si>
    <t>33TI163.PV</t>
  </si>
  <si>
    <t>33T185</t>
  </si>
  <si>
    <t>REFORMER OUTLET S CELL EAST</t>
  </si>
  <si>
    <t>33TI185.PV</t>
  </si>
  <si>
    <t>33T186</t>
  </si>
  <si>
    <t>REFORMER OUTLET S CELL MIDDLE</t>
  </si>
  <si>
    <t>33TI186.PV</t>
  </si>
  <si>
    <t>33T187</t>
  </si>
  <si>
    <t>REFORMER OUTLET N CELL EAST</t>
  </si>
  <si>
    <t>33TI187.PV</t>
  </si>
  <si>
    <t>33T188</t>
  </si>
  <si>
    <t>REFORMER OUTLET N CELL MIDDLE</t>
  </si>
  <si>
    <t>33TI188.PV</t>
  </si>
  <si>
    <t>33T189</t>
  </si>
  <si>
    <t>REFORMER OUTLET N CELL WEST</t>
  </si>
  <si>
    <t>33TI189.PV</t>
  </si>
  <si>
    <t>33T190</t>
  </si>
  <si>
    <t>BFW TO REFORMER</t>
  </si>
  <si>
    <t>33TI190.PV</t>
  </si>
  <si>
    <t>33T191</t>
  </si>
  <si>
    <t>WASTE HEAT EXCHANGER OUTLET</t>
  </si>
  <si>
    <t>33TI191.PV</t>
  </si>
  <si>
    <t>33T192</t>
  </si>
  <si>
    <t>HTS CONVERTER TOP</t>
  </si>
  <si>
    <t>33TI192.PV</t>
  </si>
  <si>
    <t>33T193</t>
  </si>
  <si>
    <t>HTS CONVERTER MID</t>
  </si>
  <si>
    <t>33TI193.PV</t>
  </si>
  <si>
    <t>33T194</t>
  </si>
  <si>
    <t>HTS CONVERTER BOTTOM</t>
  </si>
  <si>
    <t>33TI194.PV</t>
  </si>
  <si>
    <t>33T196</t>
  </si>
  <si>
    <t>HTS CONVERTER OUTLET</t>
  </si>
  <si>
    <t>33TR196.PV</t>
  </si>
  <si>
    <t>33T199</t>
  </si>
  <si>
    <t>SHIFT WASTE HEAT EXCH OUTLET</t>
  </si>
  <si>
    <t>33TI199.PV</t>
  </si>
  <si>
    <t>33T200</t>
  </si>
  <si>
    <t>LTS CONVERTER INLET</t>
  </si>
  <si>
    <t>33TI200.PV</t>
  </si>
  <si>
    <t>33T203</t>
  </si>
  <si>
    <t>E-04 BFW TO REFORMER</t>
  </si>
  <si>
    <t>33TI203.PV</t>
  </si>
  <si>
    <t>33T205</t>
  </si>
  <si>
    <t>E-05 BFW PREHEATER OUTLET</t>
  </si>
  <si>
    <t>33TI205.PV</t>
  </si>
  <si>
    <t>33T206</t>
  </si>
  <si>
    <t>E-05 BFW PREHEATER INLET</t>
  </si>
  <si>
    <t>33TI206.PV</t>
  </si>
  <si>
    <t>33T207</t>
  </si>
  <si>
    <t>LTS CONVERTER TOP</t>
  </si>
  <si>
    <t>33TI207.PV</t>
  </si>
  <si>
    <t>33T208</t>
  </si>
  <si>
    <t>LTS CONVERTER MID</t>
  </si>
  <si>
    <t>33TI208.PV</t>
  </si>
  <si>
    <t>33T209</t>
  </si>
  <si>
    <t>LTS CONVERTER BOTTOM</t>
  </si>
  <si>
    <t>33TI209.PV</t>
  </si>
  <si>
    <t>33T211</t>
  </si>
  <si>
    <t>LTS CONVERTER OUTLET</t>
  </si>
  <si>
    <t>33TR211.PV</t>
  </si>
  <si>
    <t>33T212</t>
  </si>
  <si>
    <t>LTS E-05 GAS OUTLET</t>
  </si>
  <si>
    <t>33TI212.PV</t>
  </si>
  <si>
    <t>33T214</t>
  </si>
  <si>
    <t>ABSORBER KO DRUM OUTLET</t>
  </si>
  <si>
    <t>33TI214.PV</t>
  </si>
  <si>
    <t>33T218</t>
  </si>
  <si>
    <t>REGENERATOR BOTTOM</t>
  </si>
  <si>
    <t>33TI218.PV</t>
  </si>
  <si>
    <t>33T219</t>
  </si>
  <si>
    <t>RICH SOLUTION TO REGENERATOR</t>
  </si>
  <si>
    <t>33TI219.PV</t>
  </si>
  <si>
    <t>33T220</t>
  </si>
  <si>
    <t>C02 REGENERATOR OVERHEAD</t>
  </si>
  <si>
    <t>33TI220.PV</t>
  </si>
  <si>
    <t>33T228</t>
  </si>
  <si>
    <t>E-13 K2C03 SOLUTION OUTLET</t>
  </si>
  <si>
    <t>33TI228.PV</t>
  </si>
  <si>
    <t>33T229</t>
  </si>
  <si>
    <t>K2CO3 SOLUTION C02 ABS BOTTOM</t>
  </si>
  <si>
    <t>33TI229.PV</t>
  </si>
  <si>
    <t>33T230</t>
  </si>
  <si>
    <t>C02 ABSORBER TOWER OVERHEAD</t>
  </si>
  <si>
    <t>33TI230.PV</t>
  </si>
  <si>
    <t>33T231</t>
  </si>
  <si>
    <t>METHANATOR GAS INLET</t>
  </si>
  <si>
    <t>33TI231.PV</t>
  </si>
  <si>
    <t>33T232A</t>
  </si>
  <si>
    <t>METHANATOR BED TEMPERATURE TOP</t>
  </si>
  <si>
    <t>33TI232A.PV</t>
  </si>
  <si>
    <t>33T232C</t>
  </si>
  <si>
    <t>METHANATOR BED TEMPERATURE</t>
  </si>
  <si>
    <t>33TI232C.PV</t>
  </si>
  <si>
    <t>33T232E</t>
  </si>
  <si>
    <t>33TI232E.PV</t>
  </si>
  <si>
    <t>33T232G</t>
  </si>
  <si>
    <t>33TI232G.PV</t>
  </si>
  <si>
    <t>33T232I</t>
  </si>
  <si>
    <t>METHANATOR BED TEMP BOTTOM</t>
  </si>
  <si>
    <t>33TI232I.PV</t>
  </si>
  <si>
    <t>33T234B</t>
  </si>
  <si>
    <t>33TI234B.PV</t>
  </si>
  <si>
    <t>33T234D</t>
  </si>
  <si>
    <t>33TI234D.PV</t>
  </si>
  <si>
    <t>33T234F</t>
  </si>
  <si>
    <t>33TI234F.PV</t>
  </si>
  <si>
    <t>33T234H</t>
  </si>
  <si>
    <t>33TI234H.PV</t>
  </si>
  <si>
    <t>33T238</t>
  </si>
  <si>
    <t>METHANATOR OUTLET</t>
  </si>
  <si>
    <t>33TI238.PV</t>
  </si>
  <si>
    <t>33T239</t>
  </si>
  <si>
    <t>H2 FROM PRODUCT EXCHANGER</t>
  </si>
  <si>
    <t>33TI239.PV</t>
  </si>
  <si>
    <t>33T240</t>
  </si>
  <si>
    <t>E-03 OUTLET TO E-09</t>
  </si>
  <si>
    <t>33TI240.PV</t>
  </si>
  <si>
    <t>33T241</t>
  </si>
  <si>
    <t>E-10 H2 PRODUCT INLET</t>
  </si>
  <si>
    <t>33TI241.PV</t>
  </si>
  <si>
    <t>33T244</t>
  </si>
  <si>
    <t>E-10 H2 PRODUCT OUTLET</t>
  </si>
  <si>
    <t>33TI244.PV</t>
  </si>
  <si>
    <t>33T245</t>
  </si>
  <si>
    <t>H2 PRODUCT</t>
  </si>
  <si>
    <t>33TI245.PV</t>
  </si>
  <si>
    <t>33T248</t>
  </si>
  <si>
    <t>K2C03 SOLUTION STORAGE TANK</t>
  </si>
  <si>
    <t>33TI248.PV</t>
  </si>
  <si>
    <t>33T249</t>
  </si>
  <si>
    <t>C02 ABSORBER TOWER BED 3</t>
  </si>
  <si>
    <t>33TI249.PV</t>
  </si>
  <si>
    <t>33T252</t>
  </si>
  <si>
    <t>FUEL GAS TO BURNER</t>
  </si>
  <si>
    <t>33TI252.PV</t>
  </si>
  <si>
    <t>33T253</t>
  </si>
  <si>
    <t>REFORMER OUTLET S CELL WEST</t>
  </si>
  <si>
    <t>33TI253.PV</t>
  </si>
  <si>
    <t>33T261</t>
  </si>
  <si>
    <t>SOUR GAS FEED</t>
  </si>
  <si>
    <t>33TI261.PV</t>
  </si>
  <si>
    <t>33T262</t>
  </si>
  <si>
    <t>POWERFORMER OFF GAS</t>
  </si>
  <si>
    <t>33TI262.PV</t>
  </si>
  <si>
    <t>33T263</t>
  </si>
  <si>
    <t>33TI263.PV</t>
  </si>
  <si>
    <t>33T265</t>
  </si>
  <si>
    <t>COMP A CYL 1 DISCHARGE</t>
  </si>
  <si>
    <t>33TI265.PV</t>
  </si>
  <si>
    <t>33T270</t>
  </si>
  <si>
    <t>COMP A CYL 2 DISCHARGE</t>
  </si>
  <si>
    <t>33TI270.PV</t>
  </si>
  <si>
    <t>33T276</t>
  </si>
  <si>
    <t>OFF GAS COOLER OUTLET</t>
  </si>
  <si>
    <t>33TI276.PV</t>
  </si>
  <si>
    <t>33T278</t>
  </si>
  <si>
    <t>COMPRESSOR B CYL 2 DISCHARGE</t>
  </si>
  <si>
    <t>33TI278.PV</t>
  </si>
  <si>
    <t>33T283</t>
  </si>
  <si>
    <t>COMPRESSOR B CYL 1 DISCHARGE</t>
  </si>
  <si>
    <t>33TI283.PV</t>
  </si>
  <si>
    <t>33T290</t>
  </si>
  <si>
    <t>FEED PREHEATER COIL INLET</t>
  </si>
  <si>
    <t>33TI290.PV</t>
  </si>
  <si>
    <t>33T291</t>
  </si>
  <si>
    <t>FEED INLET TO S CELL</t>
  </si>
  <si>
    <t>33TI291.PV</t>
  </si>
  <si>
    <t>33T292</t>
  </si>
  <si>
    <t>FEED INLET TO N CELL</t>
  </si>
  <si>
    <t>33TI292.PV</t>
  </si>
  <si>
    <t>33T293</t>
  </si>
  <si>
    <t>HC CONV SEC INLET</t>
  </si>
  <si>
    <t>33TI293.PV</t>
  </si>
  <si>
    <t>33T294</t>
  </si>
  <si>
    <t>E-21 OUTLET WASH WATER</t>
  </si>
  <si>
    <t>33TI294.PV</t>
  </si>
  <si>
    <t>33T296</t>
  </si>
  <si>
    <t>SPRHTD STEAM FROM CONV SEC</t>
  </si>
  <si>
    <t>33TI296.PV</t>
  </si>
  <si>
    <t>33T297</t>
  </si>
  <si>
    <t>SOUR GAS KO DRUM OUTLET</t>
  </si>
  <si>
    <t>33TI297.PV</t>
  </si>
  <si>
    <t>33T298</t>
  </si>
  <si>
    <t>POWERF OFF GAS KO DRUM OUTLET</t>
  </si>
  <si>
    <t>33TI298.PV</t>
  </si>
  <si>
    <t>33T300</t>
  </si>
  <si>
    <t>COMP RECYCLE COOLER OUTLET</t>
  </si>
  <si>
    <t>33TI300.PV</t>
  </si>
  <si>
    <t>33T302</t>
  </si>
  <si>
    <t>33TI302.PV</t>
  </si>
  <si>
    <t>33T306</t>
  </si>
  <si>
    <t>OIL REMOVAL DRUM OUTLET</t>
  </si>
  <si>
    <t>33TI306.PV</t>
  </si>
  <si>
    <t>33T308</t>
  </si>
  <si>
    <t>33TI308.PV</t>
  </si>
  <si>
    <t>33T309</t>
  </si>
  <si>
    <t>E-06 K2C03 TO REGENERATOR</t>
  </si>
  <si>
    <t>33TI309.PV</t>
  </si>
  <si>
    <t>33T310</t>
  </si>
  <si>
    <t>REFORMER CONV SEC DAMPER</t>
  </si>
  <si>
    <t>33TI310.PV</t>
  </si>
  <si>
    <t>33T503</t>
  </si>
  <si>
    <t>DEAERATOR STORAGE TEMPERATURE</t>
  </si>
  <si>
    <t>33TI503.PV</t>
  </si>
  <si>
    <t>33T504</t>
  </si>
  <si>
    <t>33TI504.PV</t>
  </si>
  <si>
    <t>33T525</t>
  </si>
  <si>
    <t>REFORMER PREHEATER COND BLOWDOWN</t>
  </si>
  <si>
    <t>33TI525.PV</t>
  </si>
  <si>
    <t>33T526</t>
  </si>
  <si>
    <t>E-21 INLET WASH WATER</t>
  </si>
  <si>
    <t>33TI526.PV</t>
  </si>
  <si>
    <t>33T527</t>
  </si>
  <si>
    <t>TREATED WATER COND COOLER</t>
  </si>
  <si>
    <t>33TI527.PV</t>
  </si>
  <si>
    <t>33TC001</t>
  </si>
  <si>
    <t>3-3-H01 ARCH DIFF TEMP - SOUTH</t>
  </si>
  <si>
    <t>33CT001.CV</t>
  </si>
  <si>
    <t>33TC002</t>
  </si>
  <si>
    <t>3-3-H01 TUBES DIFF TEMP - SOUTH</t>
  </si>
  <si>
    <t>33CT002.CV</t>
  </si>
  <si>
    <t>33TC003</t>
  </si>
  <si>
    <t>3-3-H01 ARCH DIFF TEMP - NORTH</t>
  </si>
  <si>
    <t>33CT003.CV</t>
  </si>
  <si>
    <t>33TC004</t>
  </si>
  <si>
    <t>3-3-H01 TUBES DIFF TEMP - NORTH</t>
  </si>
  <si>
    <t>33CT004.CV</t>
  </si>
  <si>
    <t>33TC005</t>
  </si>
  <si>
    <t>3-3-R03 DIFF TEMPERATURE</t>
  </si>
  <si>
    <t>33CT005.CV</t>
  </si>
  <si>
    <t>33TC006</t>
  </si>
  <si>
    <t>3-3-R04 DIFF TEMPERATURE</t>
  </si>
  <si>
    <t>33CT006.CV</t>
  </si>
  <si>
    <t>33TC007</t>
  </si>
  <si>
    <t>3-3-RO5 DIFF TEMPERATURE</t>
  </si>
  <si>
    <t>33CT007.CV</t>
  </si>
  <si>
    <t>33TC008</t>
  </si>
  <si>
    <t>3-3-R05 THEORETICAL DIFF TEMP</t>
  </si>
  <si>
    <t>33CT008.CV</t>
  </si>
  <si>
    <t>33TV001</t>
  </si>
  <si>
    <t>33TC001.OP</t>
  </si>
  <si>
    <t>33TV004</t>
  </si>
  <si>
    <t>WASTE HEAT EXCHANGER GAS OUTLET</t>
  </si>
  <si>
    <t>33TC004.OP</t>
  </si>
  <si>
    <t>33TV005</t>
  </si>
  <si>
    <t>HTS E-04 GAS OUTLET E-04</t>
  </si>
  <si>
    <t>33TC005.OP</t>
  </si>
  <si>
    <t>33TV013</t>
  </si>
  <si>
    <t>33TC013.OP</t>
  </si>
  <si>
    <t>33TV014</t>
  </si>
  <si>
    <t>33TV014.OP</t>
  </si>
  <si>
    <t>33TV017</t>
  </si>
  <si>
    <t>33TC017.OP</t>
  </si>
  <si>
    <t>33UA021</t>
  </si>
  <si>
    <t>33E021.UA</t>
  </si>
  <si>
    <t>33UC021</t>
  </si>
  <si>
    <t>33E021.U</t>
  </si>
  <si>
    <t>33UNGA</t>
  </si>
  <si>
    <t>33NGAIN.C1</t>
  </si>
  <si>
    <t>33NGAIN.C2</t>
  </si>
  <si>
    <t>33NGAIN.C3</t>
  </si>
  <si>
    <t>33NGAIN.C3A</t>
  </si>
  <si>
    <t>33NGAIN.C4A</t>
  </si>
  <si>
    <t>33NGAIN.C5A</t>
  </si>
  <si>
    <t>33NGAIN.C6B</t>
  </si>
  <si>
    <t>33NGAIN.CO</t>
  </si>
  <si>
    <t>33NGAIN.CO2</t>
  </si>
  <si>
    <t>33NGAIN.H2</t>
  </si>
  <si>
    <t>33NGAIN.IC4</t>
  </si>
  <si>
    <t>33NGAIN.IC5</t>
  </si>
  <si>
    <t>33NGAIN.N2</t>
  </si>
  <si>
    <t>33NGAIN.NC4</t>
  </si>
  <si>
    <t>33NGAIN.NC5</t>
  </si>
  <si>
    <t>33NGAIN.O2</t>
  </si>
  <si>
    <t>33XM001</t>
  </si>
  <si>
    <t>3-3-C01A CYLINDER 1 LOADING</t>
  </si>
  <si>
    <t>33MX001.PV</t>
  </si>
  <si>
    <t>33XM002</t>
  </si>
  <si>
    <t>3-3-C01B CYLINDER 1 LOADING</t>
  </si>
  <si>
    <t>33MX002.PV</t>
  </si>
  <si>
    <t>33XM003</t>
  </si>
  <si>
    <t>3-3-C01A CYLINDER 2 LOADING</t>
  </si>
  <si>
    <t>33MX003.PV</t>
  </si>
  <si>
    <t>33XM004</t>
  </si>
  <si>
    <t>3-3-CO1B CYLINDER 2 LOADING</t>
  </si>
  <si>
    <t>33MX004.PV</t>
  </si>
  <si>
    <t>34$C002</t>
  </si>
  <si>
    <t>AMIME REGEN DMC CONTROL BENEFITS</t>
  </si>
  <si>
    <t>34CCD002.CV</t>
  </si>
  <si>
    <t>34$C103</t>
  </si>
  <si>
    <t>SWS BENEFIT</t>
  </si>
  <si>
    <t>34C$103.CV</t>
  </si>
  <si>
    <t>34A010</t>
  </si>
  <si>
    <t>H2S IN PROPANE PRODUCT</t>
  </si>
  <si>
    <t>34AR010.PV</t>
  </si>
  <si>
    <t>34A210</t>
  </si>
  <si>
    <t>TRIM AIR TO SRU 1</t>
  </si>
  <si>
    <t>34AI210.PV</t>
  </si>
  <si>
    <t>34A211</t>
  </si>
  <si>
    <t>SRU 1 TAIL GAS H2S</t>
  </si>
  <si>
    <t>34AI211.PV</t>
  </si>
  <si>
    <t>34A212</t>
  </si>
  <si>
    <t>SRU 1 TAIL GAS S02</t>
  </si>
  <si>
    <t>34AI212.PV</t>
  </si>
  <si>
    <t>34A220</t>
  </si>
  <si>
    <t>INCINERATOR O2</t>
  </si>
  <si>
    <t>34AR220.PV</t>
  </si>
  <si>
    <t>34A230</t>
  </si>
  <si>
    <t>INCINERATOR S02</t>
  </si>
  <si>
    <t>34AR230.PV</t>
  </si>
  <si>
    <t>34A310</t>
  </si>
  <si>
    <t>TRIM AIR TO SRU 2</t>
  </si>
  <si>
    <t>34AI310.PV</t>
  </si>
  <si>
    <t>34A311</t>
  </si>
  <si>
    <t>SRU 2 TAIL GAS H2S</t>
  </si>
  <si>
    <t>34AI311.PV</t>
  </si>
  <si>
    <t>34A312</t>
  </si>
  <si>
    <t>SRU 2 TAIL GAS S02</t>
  </si>
  <si>
    <t>34AI312.PV</t>
  </si>
  <si>
    <t>34CC815</t>
  </si>
  <si>
    <t>SULPHUR RECOVERY SRU 1</t>
  </si>
  <si>
    <t>34CC815.CV</t>
  </si>
  <si>
    <t>34CC823</t>
  </si>
  <si>
    <t>SULPHUR RECOVERY SRU 2</t>
  </si>
  <si>
    <t>34CC823.CV</t>
  </si>
  <si>
    <t>34DM001</t>
  </si>
  <si>
    <t>34MD001.MV</t>
  </si>
  <si>
    <t>34DM002</t>
  </si>
  <si>
    <t>34MD002.MV</t>
  </si>
  <si>
    <t>34DM003</t>
  </si>
  <si>
    <t>34MD003.MV</t>
  </si>
  <si>
    <t>34DM004</t>
  </si>
  <si>
    <t>34MD004.MV</t>
  </si>
  <si>
    <t>34DM005</t>
  </si>
  <si>
    <t>34MD005.MV</t>
  </si>
  <si>
    <t>34DM007</t>
  </si>
  <si>
    <t>34MD007.MV</t>
  </si>
  <si>
    <t>34DM008</t>
  </si>
  <si>
    <t>34MD008.MV</t>
  </si>
  <si>
    <t>34F001</t>
  </si>
  <si>
    <t>TREATED FUEL GAS TO HEADER X1000</t>
  </si>
  <si>
    <t>34FI001.PV</t>
  </si>
  <si>
    <t>34F002</t>
  </si>
  <si>
    <t>SOUR GAS TO FG SCRUBBER</t>
  </si>
  <si>
    <t>34FI002.PV</t>
  </si>
  <si>
    <t>34F003</t>
  </si>
  <si>
    <t>AMINE TO FUEL GAS SCRUBBER</t>
  </si>
  <si>
    <t>34FC003.PV</t>
  </si>
  <si>
    <t>34F004</t>
  </si>
  <si>
    <t>AMINE TO PROPANE SCRUBBER</t>
  </si>
  <si>
    <t>34FC004.PV</t>
  </si>
  <si>
    <t>34F009</t>
  </si>
  <si>
    <t>RICH AMINE TO REGENERATOR</t>
  </si>
  <si>
    <t>34FC009.PV</t>
  </si>
  <si>
    <t>34F013</t>
  </si>
  <si>
    <t>STEAM TO AMINE REBOILER    X1000</t>
  </si>
  <si>
    <t>34FC013.PV</t>
  </si>
  <si>
    <t>34F014</t>
  </si>
  <si>
    <t>AMINE REGENERATOR REFLUX</t>
  </si>
  <si>
    <t>34FI014.PV</t>
  </si>
  <si>
    <t>34F016</t>
  </si>
  <si>
    <t>STEAM TO AMINE RECLAIMER   X1000</t>
  </si>
  <si>
    <t>34FC016.PV</t>
  </si>
  <si>
    <t>34F027</t>
  </si>
  <si>
    <t>NATURAL GAS TO PROPANE REGEN</t>
  </si>
  <si>
    <t>34FI027.PV</t>
  </si>
  <si>
    <t>34F028</t>
  </si>
  <si>
    <t>WATER TO WASH DRUM</t>
  </si>
  <si>
    <t>34FI028.PV</t>
  </si>
  <si>
    <t>34F031</t>
  </si>
  <si>
    <t>TREATED PROPANE PRODUCT</t>
  </si>
  <si>
    <t>34FI031.PV</t>
  </si>
  <si>
    <t>34F036</t>
  </si>
  <si>
    <t>LEAN AMINE TO PLANT 1</t>
  </si>
  <si>
    <t>34FI036.PV</t>
  </si>
  <si>
    <t>34F102</t>
  </si>
  <si>
    <t>SOUR WATER FEED TO STRIPPER</t>
  </si>
  <si>
    <t>34FC102.PV</t>
  </si>
  <si>
    <t>34F103</t>
  </si>
  <si>
    <t>STEAM TO STRIPPER REBOILER X1000</t>
  </si>
  <si>
    <t>34FC103.PV</t>
  </si>
  <si>
    <t>34F106</t>
  </si>
  <si>
    <t>SOUR WATER STRIPPER REFLUX</t>
  </si>
  <si>
    <t>34FI106.PV</t>
  </si>
  <si>
    <t>34F201</t>
  </si>
  <si>
    <t>AMINE ACID GAS TO SRU 1</t>
  </si>
  <si>
    <t>34FC201.PV</t>
  </si>
  <si>
    <t>34F201A</t>
  </si>
  <si>
    <t>AMINE ACID GAS TO SRU 1    X1000</t>
  </si>
  <si>
    <t>34FI201A.PV</t>
  </si>
  <si>
    <t>34F201B</t>
  </si>
  <si>
    <t>34FI201B.PV</t>
  </si>
  <si>
    <t>34F202</t>
  </si>
  <si>
    <t>AMINE ACID GAS TO SRU 2</t>
  </si>
  <si>
    <t>34FC202.PV</t>
  </si>
  <si>
    <t>34F202A</t>
  </si>
  <si>
    <t>AMINE ACID GAS TO SRU 2    X1000</t>
  </si>
  <si>
    <t>34FI202A.PV</t>
  </si>
  <si>
    <t>34F202B</t>
  </si>
  <si>
    <t>34FI202B.PV</t>
  </si>
  <si>
    <t>34F203</t>
  </si>
  <si>
    <t>SOUR WATER SOUR GAS TO SRU 1</t>
  </si>
  <si>
    <t>34FC203.PV</t>
  </si>
  <si>
    <t>34F203A</t>
  </si>
  <si>
    <t>S/WTR SOUR GAS TO SRU 1    X1000</t>
  </si>
  <si>
    <t>34FI203A.PV</t>
  </si>
  <si>
    <t>34F203B</t>
  </si>
  <si>
    <t>SOUR WTR SOUR GAS TO SRU 1 X1000</t>
  </si>
  <si>
    <t>34FI203B.PV</t>
  </si>
  <si>
    <t>34F204</t>
  </si>
  <si>
    <t>SOUR WATER SOUR GAS TO SRU 2</t>
  </si>
  <si>
    <t>34FC204.PV</t>
  </si>
  <si>
    <t>34F204A</t>
  </si>
  <si>
    <t>SOUR WTR SOUR GAS TO SRU 2 X1000</t>
  </si>
  <si>
    <t>34FI204A.PV</t>
  </si>
  <si>
    <t>34F204B</t>
  </si>
  <si>
    <t>34FI204B.PV</t>
  </si>
  <si>
    <t>34F205</t>
  </si>
  <si>
    <t>MIXED GAS TO SRU 1</t>
  </si>
  <si>
    <t>34FC205.PV</t>
  </si>
  <si>
    <t>34F205A</t>
  </si>
  <si>
    <t>MIXED GAS TO SRU 1         X1000</t>
  </si>
  <si>
    <t>34FI205A.PV</t>
  </si>
  <si>
    <t>34F205B</t>
  </si>
  <si>
    <t>34FI205B.PV</t>
  </si>
  <si>
    <t>34F206</t>
  </si>
  <si>
    <t>MIXED GAS TO SRU 2</t>
  </si>
  <si>
    <t>34FC206.PV</t>
  </si>
  <si>
    <t>34F206A</t>
  </si>
  <si>
    <t>MIXED GAS TO SRU 2         X1000</t>
  </si>
  <si>
    <t>34FI206A.PV</t>
  </si>
  <si>
    <t>34F206B</t>
  </si>
  <si>
    <t>34FI206B.PV</t>
  </si>
  <si>
    <t>34F207</t>
  </si>
  <si>
    <t>COMB AIR TO SRU 1</t>
  </si>
  <si>
    <t>34FC207.PV</t>
  </si>
  <si>
    <t>34F207A</t>
  </si>
  <si>
    <t>COMB AIR TO SRU 1          X1000</t>
  </si>
  <si>
    <t>34FI207A.PV</t>
  </si>
  <si>
    <t>34F207B</t>
  </si>
  <si>
    <t>34FI207B.PV</t>
  </si>
  <si>
    <t>34F208</t>
  </si>
  <si>
    <t>34FC208.PV</t>
  </si>
  <si>
    <t>34F209</t>
  </si>
  <si>
    <t>COMB AIR TO SRU 2</t>
  </si>
  <si>
    <t>34FC209.PV</t>
  </si>
  <si>
    <t>34F209A</t>
  </si>
  <si>
    <t>COMB AIR TO SRU 2          X1000</t>
  </si>
  <si>
    <t>34FI209A.PV</t>
  </si>
  <si>
    <t>34F209B</t>
  </si>
  <si>
    <t>34FI209B.PV</t>
  </si>
  <si>
    <t>34F211</t>
  </si>
  <si>
    <t>34FC211.PV</t>
  </si>
  <si>
    <t>34F214</t>
  </si>
  <si>
    <t>NATURAL GAS TO SRU 1 RXN FURNACE</t>
  </si>
  <si>
    <t>34FC214.PV</t>
  </si>
  <si>
    <t>34F215</t>
  </si>
  <si>
    <t>STEAM FROM SRU 1           X1000</t>
  </si>
  <si>
    <t>34FI215.PV</t>
  </si>
  <si>
    <t>34F217A</t>
  </si>
  <si>
    <t>COMB AIR TO BURN 1 SRU 1</t>
  </si>
  <si>
    <t>34FI217A.PV</t>
  </si>
  <si>
    <t>34F218</t>
  </si>
  <si>
    <t>ACID GAS TO BURN 1 SRU 1</t>
  </si>
  <si>
    <t>34FFC218.PV</t>
  </si>
  <si>
    <t>34F221A</t>
  </si>
  <si>
    <t>COMB AIR TO BURN 2 SRU 1</t>
  </si>
  <si>
    <t>34FI221A.PV</t>
  </si>
  <si>
    <t>34F222</t>
  </si>
  <si>
    <t>ACID GAS TO BURN 2 SRU 1</t>
  </si>
  <si>
    <t>34FFC222.PV</t>
  </si>
  <si>
    <t>34F223</t>
  </si>
  <si>
    <t>NAT/ACID GAS TO BURN 3 SRU 1</t>
  </si>
  <si>
    <t>34FFC223.PV</t>
  </si>
  <si>
    <t>34F224A</t>
  </si>
  <si>
    <t>COMB AIR TO BURN 3 SRU 1</t>
  </si>
  <si>
    <t>34FI224A.PV</t>
  </si>
  <si>
    <t>34F229</t>
  </si>
  <si>
    <t>FUEL GAS TO INCINERATOR</t>
  </si>
  <si>
    <t>34FI229.PV</t>
  </si>
  <si>
    <t>34F241</t>
  </si>
  <si>
    <t>INCINERATOR STACK GAS FLOW X1000</t>
  </si>
  <si>
    <t>34FI241.PV</t>
  </si>
  <si>
    <t>34F242</t>
  </si>
  <si>
    <t>INCINERATOR STACK GAS S02</t>
  </si>
  <si>
    <t>34FI242.PV</t>
  </si>
  <si>
    <t>34F301</t>
  </si>
  <si>
    <t>NATURAL GAS TO SRU 2 RXN FURNACE</t>
  </si>
  <si>
    <t>34FC301.PV</t>
  </si>
  <si>
    <t>34F302</t>
  </si>
  <si>
    <t>STEAM FROM SRU 2           X1000</t>
  </si>
  <si>
    <t>34FI302.PV</t>
  </si>
  <si>
    <t>34F304A</t>
  </si>
  <si>
    <t>COMB AIR TO BURN 1 SRU 2</t>
  </si>
  <si>
    <t>34FI304A.PV</t>
  </si>
  <si>
    <t>34F305</t>
  </si>
  <si>
    <t>ACID GAS TO BURN 1 SRU 2</t>
  </si>
  <si>
    <t>34FFC305.PV</t>
  </si>
  <si>
    <t>34F307A</t>
  </si>
  <si>
    <t>COMB AIR TO BURN 2 SRU 2</t>
  </si>
  <si>
    <t>34FI307A.PV</t>
  </si>
  <si>
    <t>34F308</t>
  </si>
  <si>
    <t>ACID GAS TO BURN 2 SRU 2</t>
  </si>
  <si>
    <t>34FFC308.PV</t>
  </si>
  <si>
    <t>34F309</t>
  </si>
  <si>
    <t>NAT/ACID GAS TO BURN 3 SRU 2</t>
  </si>
  <si>
    <t>34FFC309.PV</t>
  </si>
  <si>
    <t>34F311A</t>
  </si>
  <si>
    <t>COMB AIR TO BURN 3 SRU 2</t>
  </si>
  <si>
    <t>34FI311A.PV</t>
  </si>
  <si>
    <t>34F401</t>
  </si>
  <si>
    <t>STEAM MAKEUP               X1000</t>
  </si>
  <si>
    <t>34FI401.PV</t>
  </si>
  <si>
    <t>34F402</t>
  </si>
  <si>
    <t>BFW TO SRU 1 SRU 2</t>
  </si>
  <si>
    <t>34FI402.PV</t>
  </si>
  <si>
    <t>34FC001</t>
  </si>
  <si>
    <t>34CF001.CV</t>
  </si>
  <si>
    <t>34FC004</t>
  </si>
  <si>
    <t>SWEET FUEL GAS TO FLARE</t>
  </si>
  <si>
    <t>34CF004.CV</t>
  </si>
  <si>
    <t>34FC005</t>
  </si>
  <si>
    <t>SRF/FLARE ENERGY CONSUMPTION</t>
  </si>
  <si>
    <t>34CF005.CV</t>
  </si>
  <si>
    <t>34FC006</t>
  </si>
  <si>
    <t>SRF STEAM ENERGY CONSUMPTION</t>
  </si>
  <si>
    <t>34CF006.CV</t>
  </si>
  <si>
    <t>34FC007</t>
  </si>
  <si>
    <t>34CF007.CV</t>
  </si>
  <si>
    <t>34FC013</t>
  </si>
  <si>
    <t>3-4-E03 STEAM RATE         X1000</t>
  </si>
  <si>
    <t>34CF013.CV</t>
  </si>
  <si>
    <t>34FC103</t>
  </si>
  <si>
    <t>SWS 3-4-E12 STEAM</t>
  </si>
  <si>
    <t>34CF103.CV</t>
  </si>
  <si>
    <t>34FC105</t>
  </si>
  <si>
    <t>SULPHUR FROM SWS TO A.G.F. X1000</t>
  </si>
  <si>
    <t>34CF105.CV</t>
  </si>
  <si>
    <t>34FC201</t>
  </si>
  <si>
    <t>CALC MEA A.G. RATE SRU 1   X1000</t>
  </si>
  <si>
    <t>34CF201.CV</t>
  </si>
  <si>
    <t>34FC202</t>
  </si>
  <si>
    <t>CALC MEA A.G. RATE SRU 2   X1000</t>
  </si>
  <si>
    <t>34CF202.CV</t>
  </si>
  <si>
    <t>34FC203</t>
  </si>
  <si>
    <t>CALC S.W. A.G. RATE SRU 1  X1000</t>
  </si>
  <si>
    <t>34CF203.CV</t>
  </si>
  <si>
    <t>34FC204</t>
  </si>
  <si>
    <t>CALC S.W. A.G. RATE SRU 2  X1000</t>
  </si>
  <si>
    <t>34CF204.CV</t>
  </si>
  <si>
    <t>34FC207</t>
  </si>
  <si>
    <t>CORRECTED AIR FLOW TO SRU1 X1000</t>
  </si>
  <si>
    <t>34CF207.CV</t>
  </si>
  <si>
    <t>34FC208</t>
  </si>
  <si>
    <t>CORRECTED TRIM AIR RATE SRU 1</t>
  </si>
  <si>
    <t>34CF208.CV</t>
  </si>
  <si>
    <t>34FC209</t>
  </si>
  <si>
    <t>CORRECTED AIR FLOW TO SRU2 X1000</t>
  </si>
  <si>
    <t>34CF209.CV</t>
  </si>
  <si>
    <t>34FC211</t>
  </si>
  <si>
    <t>CORREC TRIM AIR RATE TO SRU 2</t>
  </si>
  <si>
    <t>34CF211.CV</t>
  </si>
  <si>
    <t>34FC214</t>
  </si>
  <si>
    <t>CALC N.G. FLOW TO 34H21 @ 0% EXC</t>
  </si>
  <si>
    <t>34CF214.CV</t>
  </si>
  <si>
    <t>34FC216</t>
  </si>
  <si>
    <t>CALC N.G. FLOW TO 34H22 @ 0% EXC</t>
  </si>
  <si>
    <t>34CF216.CV</t>
  </si>
  <si>
    <t>34FC217A</t>
  </si>
  <si>
    <t>CORRECTED AIR FLOW TO 3-4-H22</t>
  </si>
  <si>
    <t>34CF217A.CV</t>
  </si>
  <si>
    <t>34FC219</t>
  </si>
  <si>
    <t>CALC N.G. FLOW TO 34H23 @ 0% EXC</t>
  </si>
  <si>
    <t>34CF219.CV</t>
  </si>
  <si>
    <t>34FC221A</t>
  </si>
  <si>
    <t>CORRECTED AIR FLOW TO 3-4-H23</t>
  </si>
  <si>
    <t>34CF221A.CV</t>
  </si>
  <si>
    <t>34FC223</t>
  </si>
  <si>
    <t>CALC N.G. FLOW TO 34H24 @ 0% EXC</t>
  </si>
  <si>
    <t>34CF223.CV</t>
  </si>
  <si>
    <t>34FC224</t>
  </si>
  <si>
    <t>CORRECTED AIR FLOW TO 3-4-H24</t>
  </si>
  <si>
    <t>34CF224.CV</t>
  </si>
  <si>
    <t>34FC224A</t>
  </si>
  <si>
    <t>34CF224A.CV</t>
  </si>
  <si>
    <t>34FC242</t>
  </si>
  <si>
    <t>34CF242.CV</t>
  </si>
  <si>
    <t>34FC301</t>
  </si>
  <si>
    <t>CALC N.G. FLOW TO 3-4-H31</t>
  </si>
  <si>
    <t>34CF301.CV</t>
  </si>
  <si>
    <t>34FC303</t>
  </si>
  <si>
    <t>CALC N.G. FLOW TO 3-4-H32</t>
  </si>
  <si>
    <t>34CF303.CV</t>
  </si>
  <si>
    <t>34FC304A</t>
  </si>
  <si>
    <t>CORRECTED AIR FLOW TO 3-4-H32</t>
  </si>
  <si>
    <t>34CF304A.CV</t>
  </si>
  <si>
    <t>34FC306</t>
  </si>
  <si>
    <t>CALC N.G. FLOW TO 3-4-H33</t>
  </si>
  <si>
    <t>34CF306.CV</t>
  </si>
  <si>
    <t>34FC307A</t>
  </si>
  <si>
    <t>CORRECTED AIR FLOW TO 3-4-H33</t>
  </si>
  <si>
    <t>34CF307A.CV</t>
  </si>
  <si>
    <t>34FC309</t>
  </si>
  <si>
    <t>CALC N.G. FLOW TO 3-4-H34</t>
  </si>
  <si>
    <t>34CF309.CV</t>
  </si>
  <si>
    <t>34FC311</t>
  </si>
  <si>
    <t>CORRECTED AIR FLOW TO 3-4-H34</t>
  </si>
  <si>
    <t>34CF311.CV</t>
  </si>
  <si>
    <t>34FC311A</t>
  </si>
  <si>
    <t>34CF311A.CV</t>
  </si>
  <si>
    <t>34FC800</t>
  </si>
  <si>
    <t>METER SETING N.G. TO 34H21</t>
  </si>
  <si>
    <t>34CF800.CV</t>
  </si>
  <si>
    <t>34FC801</t>
  </si>
  <si>
    <t>METER SET N.G. TO 34H22 @ 0% EXC</t>
  </si>
  <si>
    <t>34CF801.CV</t>
  </si>
  <si>
    <t>34FC802</t>
  </si>
  <si>
    <t>METER SET N.G. TO 34H23 @ 0% EXC</t>
  </si>
  <si>
    <t>34CF802.CV</t>
  </si>
  <si>
    <t>34FC803</t>
  </si>
  <si>
    <t>METER SET N.G. TO 34H24 @ 0% EXC</t>
  </si>
  <si>
    <t>34CF803.CV</t>
  </si>
  <si>
    <t>34FC804</t>
  </si>
  <si>
    <t>METER SET N.G. TO 34H31 @ 0% EXC</t>
  </si>
  <si>
    <t>34CF804.CV</t>
  </si>
  <si>
    <t>34FC805</t>
  </si>
  <si>
    <t>METER SET N.G. TO 34H32 @ 0% EXC</t>
  </si>
  <si>
    <t>34CF805.CV</t>
  </si>
  <si>
    <t>34FC806</t>
  </si>
  <si>
    <t>METER SET N.G. TO 34H33 @ 0% EXC</t>
  </si>
  <si>
    <t>34CF806.CV</t>
  </si>
  <si>
    <t>34FC807</t>
  </si>
  <si>
    <t>METER SET N.G. TO 34H34 @ 0% EXC</t>
  </si>
  <si>
    <t>34CF807.CV</t>
  </si>
  <si>
    <t>34FC808</t>
  </si>
  <si>
    <t>CORR MEA A.G. RATE SRU1    X1000</t>
  </si>
  <si>
    <t>34CF808.CV</t>
  </si>
  <si>
    <t>34FC809</t>
  </si>
  <si>
    <t>CORR. S.W. A.G. RATE SRU 1 X1000</t>
  </si>
  <si>
    <t>34CF809.CV</t>
  </si>
  <si>
    <t>34FC810</t>
  </si>
  <si>
    <t>CORRECTED N.G. RATE TO 3-4-H24</t>
  </si>
  <si>
    <t>34CF810.CV</t>
  </si>
  <si>
    <t>34FC811</t>
  </si>
  <si>
    <t>TOTAL AIR, A.G. AND N.G. TO SRU1</t>
  </si>
  <si>
    <t>34CF811.CV</t>
  </si>
  <si>
    <t>34FC816</t>
  </si>
  <si>
    <t>CORR. MEA A.G. RATE SRU 2  X1000</t>
  </si>
  <si>
    <t>34CF816.CV</t>
  </si>
  <si>
    <t>34FC817</t>
  </si>
  <si>
    <t>CORR. S.W. A.G. RATE SRU 2 X1000</t>
  </si>
  <si>
    <t>34CF817.CV</t>
  </si>
  <si>
    <t>34FC818</t>
  </si>
  <si>
    <t>CORRECTED N.G. RATE TO 3-4-H34</t>
  </si>
  <si>
    <t>34CF818.CV</t>
  </si>
  <si>
    <t>34FC819</t>
  </si>
  <si>
    <t>TOTAL AIR,ACID GAS &amp; NG TO SRU 2</t>
  </si>
  <si>
    <t>34CF819.CV</t>
  </si>
  <si>
    <t>34FC820</t>
  </si>
  <si>
    <t>TOTAL SULPHUR ACCUMULATION X1000</t>
  </si>
  <si>
    <t>34CF820.CV</t>
  </si>
  <si>
    <t>34FFV218</t>
  </si>
  <si>
    <t>34FFV218.OP</t>
  </si>
  <si>
    <t>34FFV222</t>
  </si>
  <si>
    <t>ACID GAS BURN 2 SRU 1</t>
  </si>
  <si>
    <t>34FFV222.OP</t>
  </si>
  <si>
    <t>34FFV223</t>
  </si>
  <si>
    <t>34FFV223.OP</t>
  </si>
  <si>
    <t>34FFV305</t>
  </si>
  <si>
    <t>ACID GAS BURN 1 SRU 2</t>
  </si>
  <si>
    <t>34FFV305.OP</t>
  </si>
  <si>
    <t>34FFV308</t>
  </si>
  <si>
    <t>34FFV308.OP</t>
  </si>
  <si>
    <t>34FFV309</t>
  </si>
  <si>
    <t>34FFV309.OP</t>
  </si>
  <si>
    <t>34FU002</t>
  </si>
  <si>
    <t>AMINE REGEN DMC CONTROL UPTIME</t>
  </si>
  <si>
    <t>34FU002.CV</t>
  </si>
  <si>
    <t>34FU103</t>
  </si>
  <si>
    <t>SWS RATIO CONTROL UPTIME</t>
  </si>
  <si>
    <t>34FU103.CV</t>
  </si>
  <si>
    <t>34FV003</t>
  </si>
  <si>
    <t>34FC003.OP</t>
  </si>
  <si>
    <t>34FV004</t>
  </si>
  <si>
    <t>34FC004.OP</t>
  </si>
  <si>
    <t>34FV009</t>
  </si>
  <si>
    <t>34FC009.OP</t>
  </si>
  <si>
    <t>34FV013</t>
  </si>
  <si>
    <t>STEAM TO AMINE REBOILER</t>
  </si>
  <si>
    <t>34FC013.OP</t>
  </si>
  <si>
    <t>34FV016</t>
  </si>
  <si>
    <t>STEAM TO AMINE RECLAIMER</t>
  </si>
  <si>
    <t>34FC016.OP</t>
  </si>
  <si>
    <t>34FV102</t>
  </si>
  <si>
    <t>34FC102.OP</t>
  </si>
  <si>
    <t>34FV103</t>
  </si>
  <si>
    <t>STEAM TO STRIPPER REBOILER</t>
  </si>
  <si>
    <t>34FC103.OP</t>
  </si>
  <si>
    <t>34FV201</t>
  </si>
  <si>
    <t>34FC201.OP</t>
  </si>
  <si>
    <t>34FV202</t>
  </si>
  <si>
    <t>34FC202.OP</t>
  </si>
  <si>
    <t>34FV203</t>
  </si>
  <si>
    <t>34FC203.OP</t>
  </si>
  <si>
    <t>34FV204</t>
  </si>
  <si>
    <t>34FC204.OP</t>
  </si>
  <si>
    <t>34FV205</t>
  </si>
  <si>
    <t>34FC205.OP</t>
  </si>
  <si>
    <t>34FV206</t>
  </si>
  <si>
    <t>34FC206.OP</t>
  </si>
  <si>
    <t>34FV207</t>
  </si>
  <si>
    <t>34FC207.OP</t>
  </si>
  <si>
    <t>34FV208</t>
  </si>
  <si>
    <t>34FC208.OP</t>
  </si>
  <si>
    <t>34FV209</t>
  </si>
  <si>
    <t>34FC209.OP</t>
  </si>
  <si>
    <t>34FV211</t>
  </si>
  <si>
    <t>34FC211.OP</t>
  </si>
  <si>
    <t>34FV214</t>
  </si>
  <si>
    <t>34FC214.OP</t>
  </si>
  <si>
    <t>34FV301</t>
  </si>
  <si>
    <t>34FC301.OP</t>
  </si>
  <si>
    <t>34FY201B</t>
  </si>
  <si>
    <t>34FY201B.OP</t>
  </si>
  <si>
    <t>34FY202B</t>
  </si>
  <si>
    <t>34FY202B.OP</t>
  </si>
  <si>
    <t>34FY203C</t>
  </si>
  <si>
    <t>34FY203C.OP</t>
  </si>
  <si>
    <t>34FY204C</t>
  </si>
  <si>
    <t>34FY204C.OP</t>
  </si>
  <si>
    <t>34FY207C</t>
  </si>
  <si>
    <t>COMB AIR FLOW TO SRU 1</t>
  </si>
  <si>
    <t>34FY207C.OP</t>
  </si>
  <si>
    <t>34FY209C</t>
  </si>
  <si>
    <t>COMB AIR FLOW TO SRU 2</t>
  </si>
  <si>
    <t>34FY209C.OP</t>
  </si>
  <si>
    <t>34FY214B</t>
  </si>
  <si>
    <t>34FY214B.OP</t>
  </si>
  <si>
    <t>34FY301B</t>
  </si>
  <si>
    <t>34FY301B.OP</t>
  </si>
  <si>
    <t>34GC813</t>
  </si>
  <si>
    <t>CALCULATED TAIL GAS RATE SRU 1</t>
  </si>
  <si>
    <t>34CG813.CV</t>
  </si>
  <si>
    <t>34GC821</t>
  </si>
  <si>
    <t>CALCULATED TAILGAS RATE SRU 2</t>
  </si>
  <si>
    <t>34CG821.CV</t>
  </si>
  <si>
    <t>34H210</t>
  </si>
  <si>
    <t>SRU1/SRU2 FLOW PRESSURE SELECT</t>
  </si>
  <si>
    <t>34HC210.OP</t>
  </si>
  <si>
    <t>34H220</t>
  </si>
  <si>
    <t>SRU1 HILO SELECT</t>
  </si>
  <si>
    <t>34HC220.OP</t>
  </si>
  <si>
    <t>34H230</t>
  </si>
  <si>
    <t>SRU2 HILO SELECT</t>
  </si>
  <si>
    <t>34HC230.OP</t>
  </si>
  <si>
    <t>34HC001</t>
  </si>
  <si>
    <t>34CH001.CV</t>
  </si>
  <si>
    <t>34L001</t>
  </si>
  <si>
    <t>GAS FILTER LEVEL</t>
  </si>
  <si>
    <t>34LI001.PV</t>
  </si>
  <si>
    <t>34L003</t>
  </si>
  <si>
    <t>GAS FILTER SEPARATOR LEVEL</t>
  </si>
  <si>
    <t>34LI003.PV</t>
  </si>
  <si>
    <t>34L006</t>
  </si>
  <si>
    <t>FUEL GAS SCRUBBER LEVEL</t>
  </si>
  <si>
    <t>34LC006.PV</t>
  </si>
  <si>
    <t>34L008</t>
  </si>
  <si>
    <t>FUEL GAS SCRUBBER OVHD KO DRUM</t>
  </si>
  <si>
    <t>34LI008.PV</t>
  </si>
  <si>
    <t>34L011</t>
  </si>
  <si>
    <t>PROPANE SCRUBBER LEVEL</t>
  </si>
  <si>
    <t>34LC011.PV</t>
  </si>
  <si>
    <t>34L013</t>
  </si>
  <si>
    <t>PROPANE WASH DRUM LEVEL</t>
  </si>
  <si>
    <t>34LI013.PV</t>
  </si>
  <si>
    <t>34L016</t>
  </si>
  <si>
    <t>RICH AMINE FLASH DRUM LEVEL</t>
  </si>
  <si>
    <t>34LC016.PV</t>
  </si>
  <si>
    <t>34L018</t>
  </si>
  <si>
    <t>AMINE REGENERATOR LEVEL</t>
  </si>
  <si>
    <t>34LC018.PV</t>
  </si>
  <si>
    <t>34L026</t>
  </si>
  <si>
    <t>AMINE ACID GAS KO DRUM LEVEL</t>
  </si>
  <si>
    <t>34LI026.PV</t>
  </si>
  <si>
    <t>34L032</t>
  </si>
  <si>
    <t>AMINE RECLAIMER LEVEL</t>
  </si>
  <si>
    <t>34LI032.PV</t>
  </si>
  <si>
    <t>34L036</t>
  </si>
  <si>
    <t>AMINE STORAGE TANK LEVEL</t>
  </si>
  <si>
    <t>34LI036.PV</t>
  </si>
  <si>
    <t>34L043</t>
  </si>
  <si>
    <t>AMINE SUMP LEVEL</t>
  </si>
  <si>
    <t>34LI043.PV</t>
  </si>
  <si>
    <t>34L045</t>
  </si>
  <si>
    <t>REGEN GAS KO DRUM LEVEL</t>
  </si>
  <si>
    <t>34LI045.PV</t>
  </si>
  <si>
    <t>34L056</t>
  </si>
  <si>
    <t>PROPANE COALESCER LEVEL</t>
  </si>
  <si>
    <t>34LI056.PV</t>
  </si>
  <si>
    <t>34L059</t>
  </si>
  <si>
    <t>34LI059.PV</t>
  </si>
  <si>
    <t>34L101</t>
  </si>
  <si>
    <t>SOUR WATER SURGE DRUM HC LEVEL</t>
  </si>
  <si>
    <t>34LI101.PV</t>
  </si>
  <si>
    <t>34L103</t>
  </si>
  <si>
    <t>SOUR WTR SURGE DRUM WATER LEVEL</t>
  </si>
  <si>
    <t>34LC103.PV</t>
  </si>
  <si>
    <t>34L105</t>
  </si>
  <si>
    <t>SOUR WATER FEED TANK LEVEL</t>
  </si>
  <si>
    <t>34LI105.PV</t>
  </si>
  <si>
    <t>34L106</t>
  </si>
  <si>
    <t>SOUR WATER STRIPPER LEVEL</t>
  </si>
  <si>
    <t>34LC106.PV</t>
  </si>
  <si>
    <t>34L111</t>
  </si>
  <si>
    <t>SWS REFLUX DRUM</t>
  </si>
  <si>
    <t>34LC111.PV</t>
  </si>
  <si>
    <t>34L114</t>
  </si>
  <si>
    <t>SOUR WTR SOUR GAS KO DRUM LEVEL</t>
  </si>
  <si>
    <t>34LI114.PV</t>
  </si>
  <si>
    <t>34L119</t>
  </si>
  <si>
    <t>SOUR WATER SUMP LEVEL</t>
  </si>
  <si>
    <t>34LI119.PV</t>
  </si>
  <si>
    <t>34L204</t>
  </si>
  <si>
    <t>SRU 1 STEAM DRUM LEVEL</t>
  </si>
  <si>
    <t>34LC204.PV</t>
  </si>
  <si>
    <t>34L205</t>
  </si>
  <si>
    <t>SRU 1 SULPHUR PIT LEVEL</t>
  </si>
  <si>
    <t>34LI205.PV</t>
  </si>
  <si>
    <t>34L206</t>
  </si>
  <si>
    <t>ACID GAS FLARE KO DRUM</t>
  </si>
  <si>
    <t>34LI206.PV</t>
  </si>
  <si>
    <t>34L304</t>
  </si>
  <si>
    <t>SRU 2 STEAM DRUM LEVEL</t>
  </si>
  <si>
    <t>34LC304.PV</t>
  </si>
  <si>
    <t>34L305</t>
  </si>
  <si>
    <t>SRU 2 SULPHUR PIT LEVEL</t>
  </si>
  <si>
    <t>34LI305.PV</t>
  </si>
  <si>
    <t>34LC205</t>
  </si>
  <si>
    <t>SULPHUR PIT - SRU1</t>
  </si>
  <si>
    <t>34CL205.CV</t>
  </si>
  <si>
    <t>34LC305</t>
  </si>
  <si>
    <t>SULPHUR PIT - SRU2</t>
  </si>
  <si>
    <t>34CL305.CV</t>
  </si>
  <si>
    <t>34LV006</t>
  </si>
  <si>
    <t>34LC006.OP</t>
  </si>
  <si>
    <t>34LV011</t>
  </si>
  <si>
    <t>34LC011.OP</t>
  </si>
  <si>
    <t>34LV018</t>
  </si>
  <si>
    <t>34LC018.OP</t>
  </si>
  <si>
    <t>34LV103</t>
  </si>
  <si>
    <t>34LC103.OP</t>
  </si>
  <si>
    <t>34LV106</t>
  </si>
  <si>
    <t>34LC106.OP</t>
  </si>
  <si>
    <t>34LV111</t>
  </si>
  <si>
    <t>SWS REFLUX DRUM LEVEL</t>
  </si>
  <si>
    <t>34LC111.OP</t>
  </si>
  <si>
    <t>34LV204</t>
  </si>
  <si>
    <t>34LC204.OP</t>
  </si>
  <si>
    <t>34LV304</t>
  </si>
  <si>
    <t>34LC304.OP</t>
  </si>
  <si>
    <t>34P004</t>
  </si>
  <si>
    <t>FUEL GAS SCRUBBER PRESSURE  SR</t>
  </si>
  <si>
    <t>34PC004.PV</t>
  </si>
  <si>
    <t>34P007</t>
  </si>
  <si>
    <t>RICH AMINE FLASH DRUM  SR</t>
  </si>
  <si>
    <t>34PI007.PV</t>
  </si>
  <si>
    <t>34P011</t>
  </si>
  <si>
    <t>AMINE REGENERATOR TOP PRESSURE</t>
  </si>
  <si>
    <t>34PI011.PV</t>
  </si>
  <si>
    <t>34P012</t>
  </si>
  <si>
    <t>AMINE ACID GAS KO DRUM PRESSURE</t>
  </si>
  <si>
    <t>34PC012.PV</t>
  </si>
  <si>
    <t>34P024</t>
  </si>
  <si>
    <t>34PI024.PV</t>
  </si>
  <si>
    <t>34P025</t>
  </si>
  <si>
    <t>REGENERATOR GAS KO DRUM</t>
  </si>
  <si>
    <t>34PI025.PV</t>
  </si>
  <si>
    <t>34P105</t>
  </si>
  <si>
    <t>SOUR WTR SOUR GAS KO DRUM PRESS</t>
  </si>
  <si>
    <t>34PC105.PV</t>
  </si>
  <si>
    <t>34P201</t>
  </si>
  <si>
    <t>AMINE ACID GAS PRESSURE</t>
  </si>
  <si>
    <t>34PC201.PV</t>
  </si>
  <si>
    <t>34P202</t>
  </si>
  <si>
    <t>SOUR WATER SOUR GAS PRESSURE</t>
  </si>
  <si>
    <t>34PC202.PV</t>
  </si>
  <si>
    <t>34P209</t>
  </si>
  <si>
    <t>34PI209.PV</t>
  </si>
  <si>
    <t>34P216</t>
  </si>
  <si>
    <t>SRU 1 RXN FURNACE PRESSURE</t>
  </si>
  <si>
    <t>34PC216.PV</t>
  </si>
  <si>
    <t>34P217</t>
  </si>
  <si>
    <t>RXN FURN COMB AIR BLOWER PRESS</t>
  </si>
  <si>
    <t>34PI217.PV</t>
  </si>
  <si>
    <t>34P305</t>
  </si>
  <si>
    <t>SRU 2 RXN FURNACE PRESSURE</t>
  </si>
  <si>
    <t>34PC305.PV</t>
  </si>
  <si>
    <t>34PC002</t>
  </si>
  <si>
    <t>34CP002.CV</t>
  </si>
  <si>
    <t>34PD005</t>
  </si>
  <si>
    <t>FUEL GAS SCRUBBER</t>
  </si>
  <si>
    <t>34PDI005.PV</t>
  </si>
  <si>
    <t>34PD009</t>
  </si>
  <si>
    <t>AMINE REGENERATOR UPPER DIFP</t>
  </si>
  <si>
    <t>34PDI009.PV</t>
  </si>
  <si>
    <t>34PD011</t>
  </si>
  <si>
    <t>AMINE REGENERATOR LOWER DIFP</t>
  </si>
  <si>
    <t>34PDI011.PV</t>
  </si>
  <si>
    <t>34PM039</t>
  </si>
  <si>
    <t>NAT GAS AFTER LETDOWN STATION</t>
  </si>
  <si>
    <t>34MP039.PV</t>
  </si>
  <si>
    <t>34PV004</t>
  </si>
  <si>
    <t>FUEL GAS SCRUBBER PRESSURE</t>
  </si>
  <si>
    <t>34PC004.OP</t>
  </si>
  <si>
    <t>34PV012</t>
  </si>
  <si>
    <t>34PC012.OP</t>
  </si>
  <si>
    <t>34PV105</t>
  </si>
  <si>
    <t>34PC105.OP</t>
  </si>
  <si>
    <t>34PY216</t>
  </si>
  <si>
    <t>SRU 1 PRESSURE SELECT</t>
  </si>
  <si>
    <t>34PY216.OP</t>
  </si>
  <si>
    <t>34PY305</t>
  </si>
  <si>
    <t>SRU 2 PRESSURE SELECT</t>
  </si>
  <si>
    <t>34PY305.OP</t>
  </si>
  <si>
    <t>34RC001</t>
  </si>
  <si>
    <t>RICH MEA H2S LOADING</t>
  </si>
  <si>
    <t>34CR001.CV</t>
  </si>
  <si>
    <t>34RC102</t>
  </si>
  <si>
    <t>SWS STEAM/FEED RATIO</t>
  </si>
  <si>
    <t>34CR102.PV</t>
  </si>
  <si>
    <t>34SC001</t>
  </si>
  <si>
    <t>34CS001.CV</t>
  </si>
  <si>
    <t>34SC205</t>
  </si>
  <si>
    <t>SULPHUR AVAIL. FOR SHIPPING SRU1</t>
  </si>
  <si>
    <t>34CS205.CV</t>
  </si>
  <si>
    <t>34SC305</t>
  </si>
  <si>
    <t>SULPHUR AVAIL. FOR SHIPPING SRU2</t>
  </si>
  <si>
    <t>34CS305.CV</t>
  </si>
  <si>
    <t>34SC812</t>
  </si>
  <si>
    <t>SULPHUR ACCUMULATION/DAY SRU 1</t>
  </si>
  <si>
    <t>34CS812.CV</t>
  </si>
  <si>
    <t>34SC814</t>
  </si>
  <si>
    <t>QUANT OF SULPHUR IN TAILGAS SRU1</t>
  </si>
  <si>
    <t>34CS814.CV</t>
  </si>
  <si>
    <t>34SC820</t>
  </si>
  <si>
    <t>SULPHUR ACCUMULATION/DAY SRU 2</t>
  </si>
  <si>
    <t>34CS820.CV</t>
  </si>
  <si>
    <t>34SC822</t>
  </si>
  <si>
    <t>QUANT OF SULPHUR IN TAILGAS SRU2</t>
  </si>
  <si>
    <t>34CS822.CV</t>
  </si>
  <si>
    <t>34SC823</t>
  </si>
  <si>
    <t>34CS823.CV</t>
  </si>
  <si>
    <t>34SC824</t>
  </si>
  <si>
    <t>TOTAL REMAINING STORAGE AVAIL.</t>
  </si>
  <si>
    <t>34CS824.CV</t>
  </si>
  <si>
    <t>34SWFG</t>
  </si>
  <si>
    <t>34FUGSW.C1</t>
  </si>
  <si>
    <t>34FUGSW.C2</t>
  </si>
  <si>
    <t>34FUGSW.C3</t>
  </si>
  <si>
    <t>34FUGSW.C3A</t>
  </si>
  <si>
    <t>34FUGSW.C4A</t>
  </si>
  <si>
    <t>34FUGSW.C5A</t>
  </si>
  <si>
    <t>34FUGSW.C6B</t>
  </si>
  <si>
    <t>34FUGSW.CO</t>
  </si>
  <si>
    <t>34FUGSW.CO2</t>
  </si>
  <si>
    <t>34FUGSW.H2</t>
  </si>
  <si>
    <t>34FUGSW.IC4</t>
  </si>
  <si>
    <t>34FUGSW.IC5</t>
  </si>
  <si>
    <t>34FUGSW.N2</t>
  </si>
  <si>
    <t>34FUGSW.NC4</t>
  </si>
  <si>
    <t>34FUGSW.NC5</t>
  </si>
  <si>
    <t>34FUGSW.O2</t>
  </si>
  <si>
    <t>34T001</t>
  </si>
  <si>
    <t>FUEL GAS TO SCRUBBER FEED TEMP</t>
  </si>
  <si>
    <t>34TI001.PV</t>
  </si>
  <si>
    <t>34T002</t>
  </si>
  <si>
    <t>TREATED FUEL GAS TO HEADER</t>
  </si>
  <si>
    <t>34TI002.PV</t>
  </si>
  <si>
    <t>34T004</t>
  </si>
  <si>
    <t>FUEL GAS SCRUBBER TRAY 24</t>
  </si>
  <si>
    <t>34TI004.PV</t>
  </si>
  <si>
    <t>34T005</t>
  </si>
  <si>
    <t>FUEL GAS SCRUBBER TRAY 4</t>
  </si>
  <si>
    <t>34TI005.PV</t>
  </si>
  <si>
    <t>34T007</t>
  </si>
  <si>
    <t>FUEL GAS SCRUBBER BOTTOMS TEMP</t>
  </si>
  <si>
    <t>34TI007.PV</t>
  </si>
  <si>
    <t>34T013</t>
  </si>
  <si>
    <t>34TI013.PV</t>
  </si>
  <si>
    <t>34T015</t>
  </si>
  <si>
    <t>PROPANE SCRUBBER BOTTOMS TEMP</t>
  </si>
  <si>
    <t>34TI015.PV</t>
  </si>
  <si>
    <t>34T017</t>
  </si>
  <si>
    <t>PROPANE SCRUBBER BED TEMP</t>
  </si>
  <si>
    <t>34TI017.PV</t>
  </si>
  <si>
    <t>34T019</t>
  </si>
  <si>
    <t>PROPANE SCRUBBER OVERHEAD TEMP</t>
  </si>
  <si>
    <t>34TI019.PV</t>
  </si>
  <si>
    <t>34T021</t>
  </si>
  <si>
    <t>PROPANE TO PROPANE SCRUBBER</t>
  </si>
  <si>
    <t>34TI021.PV</t>
  </si>
  <si>
    <t>34T022</t>
  </si>
  <si>
    <t>RICH AMINE FLASH DRUM</t>
  </si>
  <si>
    <t>34TI022.PV</t>
  </si>
  <si>
    <t>34T033</t>
  </si>
  <si>
    <t>AMINE FROM AMINE REBOILER</t>
  </si>
  <si>
    <t>34TI033.PV</t>
  </si>
  <si>
    <t>34T035</t>
  </si>
  <si>
    <t>AMINE TO AMINE REBOILER</t>
  </si>
  <si>
    <t>34TI035.PV</t>
  </si>
  <si>
    <t>34T037</t>
  </si>
  <si>
    <t>AMINE REFLUX TO COOLER</t>
  </si>
  <si>
    <t>34TI037.PV</t>
  </si>
  <si>
    <t>34T042</t>
  </si>
  <si>
    <t>AMINE REFLUX FROM COOLER REFLUX</t>
  </si>
  <si>
    <t>34TI042.PV</t>
  </si>
  <si>
    <t>34T043</t>
  </si>
  <si>
    <t>AMINE ACID GAS KO DRUM TEMP</t>
  </si>
  <si>
    <t>34TI043.PV</t>
  </si>
  <si>
    <t>34T046</t>
  </si>
  <si>
    <t>34TI046.PV</t>
  </si>
  <si>
    <t>34T047</t>
  </si>
  <si>
    <t>LEAN AMINE FROM RECLAIMER</t>
  </si>
  <si>
    <t>34TI047.PV</t>
  </si>
  <si>
    <t>34T049</t>
  </si>
  <si>
    <t>LEAN AMINE TO EXCHANGER</t>
  </si>
  <si>
    <t>34TI049.PV</t>
  </si>
  <si>
    <t>34T051</t>
  </si>
  <si>
    <t>RICH AMINE FROM EXCHANGER</t>
  </si>
  <si>
    <t>34TI051.PV</t>
  </si>
  <si>
    <t>34T054</t>
  </si>
  <si>
    <t>RICH AMINE TO EXCHANGER</t>
  </si>
  <si>
    <t>34TI054.PV</t>
  </si>
  <si>
    <t>34T057</t>
  </si>
  <si>
    <t>LEAN AMINE FROM EXCHANGER</t>
  </si>
  <si>
    <t>34TI057.PV</t>
  </si>
  <si>
    <t>34T059</t>
  </si>
  <si>
    <t>34TI059.PV</t>
  </si>
  <si>
    <t>34T062</t>
  </si>
  <si>
    <t>LEAN AMINE TO COOLER</t>
  </si>
  <si>
    <t>34TI062.PV</t>
  </si>
  <si>
    <t>34T063</t>
  </si>
  <si>
    <t>LEAN AMINE FROM COOLER</t>
  </si>
  <si>
    <t>34TC063.PV</t>
  </si>
  <si>
    <t>34T075</t>
  </si>
  <si>
    <t>REGENERATOR GAS TO KO DRUM</t>
  </si>
  <si>
    <t>34TI075.PV</t>
  </si>
  <si>
    <t>34T093</t>
  </si>
  <si>
    <t>REGEN GAS HEATER OUTLET</t>
  </si>
  <si>
    <t>34TC093.PV</t>
  </si>
  <si>
    <t>34T096</t>
  </si>
  <si>
    <t>34TI096.PV</t>
  </si>
  <si>
    <t>34T097</t>
  </si>
  <si>
    <t>AMINE MAKEUP TANK</t>
  </si>
  <si>
    <t>34TI097.PV</t>
  </si>
  <si>
    <t>34T101</t>
  </si>
  <si>
    <t>SOUR WATER FEED TANK</t>
  </si>
  <si>
    <t>34TI101.PV</t>
  </si>
  <si>
    <t>34T103</t>
  </si>
  <si>
    <t>34TI103.PV</t>
  </si>
  <si>
    <t>34T105</t>
  </si>
  <si>
    <t>SOUR WATER STRIPPER BOTTOM TEMP</t>
  </si>
  <si>
    <t>34TI105.PV</t>
  </si>
  <si>
    <t>34T106</t>
  </si>
  <si>
    <t>SOUR WATER TO SEWER</t>
  </si>
  <si>
    <t>34TI106.PV</t>
  </si>
  <si>
    <t>34T107</t>
  </si>
  <si>
    <t>SOUR WATER STRIPPER TRAY 35</t>
  </si>
  <si>
    <t>34TI107.PV</t>
  </si>
  <si>
    <t>34T111</t>
  </si>
  <si>
    <t>SOUR WATER STRIPPER OVERHEAD</t>
  </si>
  <si>
    <t>34TI111.PV</t>
  </si>
  <si>
    <t>34T112</t>
  </si>
  <si>
    <t>SOUR WATER STRIPPER FROM REBLR</t>
  </si>
  <si>
    <t>34TI112.PV</t>
  </si>
  <si>
    <t>34T113</t>
  </si>
  <si>
    <t>SOUR WATER STRIPPER TO REBOILER</t>
  </si>
  <si>
    <t>34TI113.PV</t>
  </si>
  <si>
    <t>34T119</t>
  </si>
  <si>
    <t>SOUR WATER STRIPPER OVHD COND</t>
  </si>
  <si>
    <t>34TC119.PV</t>
  </si>
  <si>
    <t>34T122</t>
  </si>
  <si>
    <t>SOUR WATER SOUR GAS KO DRUM</t>
  </si>
  <si>
    <t>34TI122.PV</t>
  </si>
  <si>
    <t>34T124</t>
  </si>
  <si>
    <t>SOUR WTR STRIPPER OVHD CONDENSER</t>
  </si>
  <si>
    <t>34TI124.PV</t>
  </si>
  <si>
    <t>34T203</t>
  </si>
  <si>
    <t>SRU 1 AUXILIARY BURN 1 OUTLET</t>
  </si>
  <si>
    <t>34TI203.PV</t>
  </si>
  <si>
    <t>34T204</t>
  </si>
  <si>
    <t>34TC204.PV</t>
  </si>
  <si>
    <t>34T206</t>
  </si>
  <si>
    <t>SRU 1 RXN FURN OUTLET</t>
  </si>
  <si>
    <t>34TI206.PV</t>
  </si>
  <si>
    <t>34T207</t>
  </si>
  <si>
    <t>SRU 1 STAGE 1 CONDENSER OUTLET</t>
  </si>
  <si>
    <t>34TI207.PV</t>
  </si>
  <si>
    <t>34T211</t>
  </si>
  <si>
    <t>SRU 1 STAGE 1 CONVERTER LOWER</t>
  </si>
  <si>
    <t>34TI211.PV</t>
  </si>
  <si>
    <t>34T213</t>
  </si>
  <si>
    <t>SRU 1 STAGE 1 CONVERTER UPPER</t>
  </si>
  <si>
    <t>34TI213.PV</t>
  </si>
  <si>
    <t>34T216</t>
  </si>
  <si>
    <t>SRU 1 AUXILIARY BURN 2 OUTLET</t>
  </si>
  <si>
    <t>34TI216.PV</t>
  </si>
  <si>
    <t>34T217</t>
  </si>
  <si>
    <t>34TC217.PV</t>
  </si>
  <si>
    <t>34T219</t>
  </si>
  <si>
    <t>SRU 1 STAGE 2 CONDENSER OUTLET</t>
  </si>
  <si>
    <t>34TI219.PV</t>
  </si>
  <si>
    <t>34T223</t>
  </si>
  <si>
    <t>SRU 1 STAGE 2 CONVERTER LOWER</t>
  </si>
  <si>
    <t>34TI223.PV</t>
  </si>
  <si>
    <t>34T225</t>
  </si>
  <si>
    <t>SRU 1 STAGE 2 CONVERTER UPPER</t>
  </si>
  <si>
    <t>34TI225.PV</t>
  </si>
  <si>
    <t>34T231</t>
  </si>
  <si>
    <t>SRU 1 STAGE 3 CONVERTER LOWER</t>
  </si>
  <si>
    <t>34TI231.PV</t>
  </si>
  <si>
    <t>34T233</t>
  </si>
  <si>
    <t>SRU 1 STAGE 3 CONVERTER UPPER</t>
  </si>
  <si>
    <t>34TI233.PV</t>
  </si>
  <si>
    <t>34T237</t>
  </si>
  <si>
    <t>SRU 1 AUXILIARY BURN 3 OUTLET</t>
  </si>
  <si>
    <t>34TI237.PV</t>
  </si>
  <si>
    <t>34T238</t>
  </si>
  <si>
    <t>34TC238.PV</t>
  </si>
  <si>
    <t>34T239</t>
  </si>
  <si>
    <t>SRU 1 STAGE 3 CONDENSER OUTLET</t>
  </si>
  <si>
    <t>34TI239.PV</t>
  </si>
  <si>
    <t>34T242</t>
  </si>
  <si>
    <t>SRU 1 STAGE 4 CONDENSER OUTLET</t>
  </si>
  <si>
    <t>34TC242.PV</t>
  </si>
  <si>
    <t>34T243</t>
  </si>
  <si>
    <t>34TI243.PV</t>
  </si>
  <si>
    <t>34T245</t>
  </si>
  <si>
    <t>BFW FROM BFW HEATER</t>
  </si>
  <si>
    <t>34TI245.PV</t>
  </si>
  <si>
    <t>34T249</t>
  </si>
  <si>
    <t>INCINERATOR OUTLET TEMPERATURE</t>
  </si>
  <si>
    <t>34TI249.PV</t>
  </si>
  <si>
    <t>34T252</t>
  </si>
  <si>
    <t>INCINERATOR TEMPERATURE</t>
  </si>
  <si>
    <t>34TI252.PV</t>
  </si>
  <si>
    <t>34T253</t>
  </si>
  <si>
    <t>34TC253.PV</t>
  </si>
  <si>
    <t>34T257</t>
  </si>
  <si>
    <t>SRU 1 STAGE 4 CONDENSER BFW</t>
  </si>
  <si>
    <t>34TI257.PV</t>
  </si>
  <si>
    <t>34T259</t>
  </si>
  <si>
    <t>COMB AIR TO RXN FURNACE</t>
  </si>
  <si>
    <t>34TI259.PV</t>
  </si>
  <si>
    <t>34T271</t>
  </si>
  <si>
    <t>SRU1 REACTION FURNACE FIREBOX</t>
  </si>
  <si>
    <t>34TI271.PV</t>
  </si>
  <si>
    <t>34T301</t>
  </si>
  <si>
    <t>SRU 2 AUXILIARY BURN 1 OUTLET</t>
  </si>
  <si>
    <t>34TI301.PV</t>
  </si>
  <si>
    <t>34T302</t>
  </si>
  <si>
    <t>34TC302.PV</t>
  </si>
  <si>
    <t>34T304</t>
  </si>
  <si>
    <t>SRU 2 RXN FURN OUTLET</t>
  </si>
  <si>
    <t>34TI304.PV</t>
  </si>
  <si>
    <t>34T305</t>
  </si>
  <si>
    <t>SRU 2 STAGE 1 CONDENSOR OUTLET</t>
  </si>
  <si>
    <t>34TI305.PV</t>
  </si>
  <si>
    <t>34T308</t>
  </si>
  <si>
    <t>SRU 2 STAGE 1 CONVERTER LOWER</t>
  </si>
  <si>
    <t>34TI308.PV</t>
  </si>
  <si>
    <t>34T311</t>
  </si>
  <si>
    <t>SRU 2 STAGE 1 CONVERTER UPPER</t>
  </si>
  <si>
    <t>34TI311.PV</t>
  </si>
  <si>
    <t>34T314</t>
  </si>
  <si>
    <t>SRU 2 AUXILIARY BURN 2 OUTLET</t>
  </si>
  <si>
    <t>34TI314.PV</t>
  </si>
  <si>
    <t>34T315</t>
  </si>
  <si>
    <t>34TC315.PV</t>
  </si>
  <si>
    <t>34T317</t>
  </si>
  <si>
    <t>SRU 2 STAGE 2 CONDENSOR OUTLET</t>
  </si>
  <si>
    <t>34TI317.PV</t>
  </si>
  <si>
    <t>34T321</t>
  </si>
  <si>
    <t>SRU 2 STAGE 2 CONVERTER LOWER</t>
  </si>
  <si>
    <t>34TI321.PV</t>
  </si>
  <si>
    <t>34T323</t>
  </si>
  <si>
    <t>SRU 2 STAGE 2 CONVERTER UPPER</t>
  </si>
  <si>
    <t>34TI323.PV</t>
  </si>
  <si>
    <t>34T328</t>
  </si>
  <si>
    <t>34TI328.PV</t>
  </si>
  <si>
    <t>34T331</t>
  </si>
  <si>
    <t>34TI331.PV</t>
  </si>
  <si>
    <t>34T335</t>
  </si>
  <si>
    <t>SRU 2 AUXILIARY BURN 3 OUTLET</t>
  </si>
  <si>
    <t>34TI335.PV</t>
  </si>
  <si>
    <t>34T336</t>
  </si>
  <si>
    <t>SRU 2 AUX BURN 3 OUTLET</t>
  </si>
  <si>
    <t>34TC336.PV</t>
  </si>
  <si>
    <t>34T337</t>
  </si>
  <si>
    <t>SRU 2 STAGE 3 CONDENSOR OUTLET</t>
  </si>
  <si>
    <t>34TI337.PV</t>
  </si>
  <si>
    <t>34T339</t>
  </si>
  <si>
    <t>SRU 2 STAGE 4 CONDENSER OUTLET</t>
  </si>
  <si>
    <t>34TC339.PV</t>
  </si>
  <si>
    <t>34T341</t>
  </si>
  <si>
    <t>34TI341.PV</t>
  </si>
  <si>
    <t>34T344</t>
  </si>
  <si>
    <t>SRU 2 STAGE 4 CONDENSOR BFW</t>
  </si>
  <si>
    <t>34TI344.PV</t>
  </si>
  <si>
    <t>34T371</t>
  </si>
  <si>
    <t>SRU2 REACTION FURNACE FIREBOX</t>
  </si>
  <si>
    <t>34TI371.PV</t>
  </si>
  <si>
    <t>34T403</t>
  </si>
  <si>
    <t>SULPHUR UNIT FLARE TEMP</t>
  </si>
  <si>
    <t>34TI403.PV</t>
  </si>
  <si>
    <t>34TM012</t>
  </si>
  <si>
    <t>34MT012.MV</t>
  </si>
  <si>
    <t>34TM039</t>
  </si>
  <si>
    <t>34MT039.MV</t>
  </si>
  <si>
    <t>34TM058</t>
  </si>
  <si>
    <t>34MT058.MV</t>
  </si>
  <si>
    <t>34TM104</t>
  </si>
  <si>
    <t>34MT104.MV</t>
  </si>
  <si>
    <t>34TM214</t>
  </si>
  <si>
    <t>34MT214.PV</t>
  </si>
  <si>
    <t>34TV063</t>
  </si>
  <si>
    <t>34TC063.OP</t>
  </si>
  <si>
    <t>34TV093</t>
  </si>
  <si>
    <t>34TC093.OP</t>
  </si>
  <si>
    <t>34TV119</t>
  </si>
  <si>
    <t>34TC119.OP</t>
  </si>
  <si>
    <t>34TV204</t>
  </si>
  <si>
    <t>SRU 1 AUX BURN 1 OUTLET</t>
  </si>
  <si>
    <t>34TC204.OP</t>
  </si>
  <si>
    <t>34TV217</t>
  </si>
  <si>
    <t>34TC217.OP</t>
  </si>
  <si>
    <t>34TV238</t>
  </si>
  <si>
    <t>SRU 1 AUX BURN 3 OUTLET</t>
  </si>
  <si>
    <t>34TC238.OP</t>
  </si>
  <si>
    <t>34TV242</t>
  </si>
  <si>
    <t>34TC242.OP</t>
  </si>
  <si>
    <t>34TV253</t>
  </si>
  <si>
    <t>34TC253.OP</t>
  </si>
  <si>
    <t>34TV302</t>
  </si>
  <si>
    <t>SRU 2 AUX BURN 1 OUTLET</t>
  </si>
  <si>
    <t>34TC302.OP</t>
  </si>
  <si>
    <t>34TV315</t>
  </si>
  <si>
    <t>SRU 2 AUX BURN 2 OUTLET</t>
  </si>
  <si>
    <t>34TC315.OP</t>
  </si>
  <si>
    <t>34TV336</t>
  </si>
  <si>
    <t>34TC336.OP</t>
  </si>
  <si>
    <t>34TV339</t>
  </si>
  <si>
    <t>34TC339.OP</t>
  </si>
  <si>
    <t>34UA01</t>
  </si>
  <si>
    <t>34E001.UA</t>
  </si>
  <si>
    <t>34UA011</t>
  </si>
  <si>
    <t>34E011.UA</t>
  </si>
  <si>
    <t>34UA02</t>
  </si>
  <si>
    <t>34E002.UA</t>
  </si>
  <si>
    <t>34UA05</t>
  </si>
  <si>
    <t>34E005.UA</t>
  </si>
  <si>
    <t>34UA07</t>
  </si>
  <si>
    <t>34E007.UA</t>
  </si>
  <si>
    <t>34UC01</t>
  </si>
  <si>
    <t>34E001.U</t>
  </si>
  <si>
    <t>34UC011</t>
  </si>
  <si>
    <t>34E011.U</t>
  </si>
  <si>
    <t>34UC02</t>
  </si>
  <si>
    <t>34E002.U</t>
  </si>
  <si>
    <t>34UC05</t>
  </si>
  <si>
    <t>34E005.U</t>
  </si>
  <si>
    <t>34UC07</t>
  </si>
  <si>
    <t>34E007.U</t>
  </si>
  <si>
    <t>38A103B</t>
  </si>
  <si>
    <t>PLANT #1 C3/C4 BTMS C3</t>
  </si>
  <si>
    <t>38AI103B.CV</t>
  </si>
  <si>
    <t>50$C001</t>
  </si>
  <si>
    <t>ABS OVHD C3 RECOVERY</t>
  </si>
  <si>
    <t>35C$0001.CV</t>
  </si>
  <si>
    <t>50$C002</t>
  </si>
  <si>
    <t>3-1-R02 INCREASED THRUPUT</t>
  </si>
  <si>
    <t>35C$0002.CV</t>
  </si>
  <si>
    <t>50$C003</t>
  </si>
  <si>
    <t>STPR C2 TO C3 UPGRADE</t>
  </si>
  <si>
    <t>35C$0003.CV</t>
  </si>
  <si>
    <t>50$C004</t>
  </si>
  <si>
    <t>INCREASED REFORMATE PROD</t>
  </si>
  <si>
    <t>35C$0004.CV</t>
  </si>
  <si>
    <t>50$C005</t>
  </si>
  <si>
    <t>35C$0005.CV</t>
  </si>
  <si>
    <t>50$C006</t>
  </si>
  <si>
    <t>DIB NC4 TO IC4 UPGRADE</t>
  </si>
  <si>
    <t>35C$0006.CV</t>
  </si>
  <si>
    <t>50$C007</t>
  </si>
  <si>
    <t>DIB NC4 LOSS</t>
  </si>
  <si>
    <t>35C$0007.CV</t>
  </si>
  <si>
    <t>50$C008</t>
  </si>
  <si>
    <t>35C$0008.CV</t>
  </si>
  <si>
    <t>50$C009</t>
  </si>
  <si>
    <t>35C$0009.CV</t>
  </si>
  <si>
    <t>60$C001</t>
  </si>
  <si>
    <t>36C$0001.CV</t>
  </si>
  <si>
    <t>60$C002</t>
  </si>
  <si>
    <t>36C$0002.CV</t>
  </si>
  <si>
    <t>60$C003</t>
  </si>
  <si>
    <t>36C$0003.CV</t>
  </si>
  <si>
    <t>60$C004</t>
  </si>
  <si>
    <t>36C$0004.CV</t>
  </si>
  <si>
    <t>60$C005</t>
  </si>
  <si>
    <t>36C$0005.CV</t>
  </si>
  <si>
    <t>60$C006</t>
  </si>
  <si>
    <t>C3/C4 SPLTR ENERGY BENEFIT</t>
  </si>
  <si>
    <t>36C$0006.CV</t>
  </si>
  <si>
    <t>60$C007</t>
  </si>
  <si>
    <t>36C$0007.CV</t>
  </si>
  <si>
    <t>60$C008</t>
  </si>
  <si>
    <t>36C$0008.CV</t>
  </si>
  <si>
    <t>70$C001</t>
  </si>
  <si>
    <t>37CCD0001.CV</t>
  </si>
  <si>
    <t>70$C002</t>
  </si>
  <si>
    <t>37CCD0002.CV</t>
  </si>
  <si>
    <t>DMACS-HCC</t>
  </si>
  <si>
    <t>HEARTBEAT TO VAX</t>
  </si>
  <si>
    <t>HCC_HTB.PV</t>
  </si>
  <si>
    <t>TK49HF</t>
  </si>
  <si>
    <t>03TK049.ESXRAV</t>
  </si>
  <si>
    <t>ZAPMAN</t>
  </si>
  <si>
    <t>ZAPMAN.CV</t>
  </si>
  <si>
    <t>SnapShot</t>
  </si>
  <si>
    <t>Average</t>
  </si>
  <si>
    <t>Now</t>
  </si>
  <si>
    <t>1 Sec</t>
  </si>
  <si>
    <t>Empty</t>
  </si>
  <si>
    <t>Extract Data</t>
  </si>
  <si>
    <t>Raw</t>
  </si>
  <si>
    <t>Now-:00:30</t>
  </si>
  <si>
    <t>2 Sec</t>
  </si>
  <si>
    <t>Data Sheet</t>
  </si>
  <si>
    <t>Now-:1</t>
  </si>
  <si>
    <t>5 Sec</t>
  </si>
  <si>
    <t>NULL</t>
  </si>
  <si>
    <t>Now-:12</t>
  </si>
  <si>
    <t>6 Sec</t>
  </si>
  <si>
    <t>BAD</t>
  </si>
  <si>
    <t>Now-1</t>
  </si>
  <si>
    <t>10 Sec</t>
  </si>
  <si>
    <t>#######</t>
  </si>
  <si>
    <t>Yesterday</t>
  </si>
  <si>
    <t>15 Sec</t>
  </si>
  <si>
    <t>**********</t>
  </si>
  <si>
    <t>Today</t>
  </si>
  <si>
    <t>20 Sec</t>
  </si>
  <si>
    <t>%%%%</t>
  </si>
  <si>
    <t>30 Sec</t>
  </si>
  <si>
    <t>&amp;&amp;&amp;&amp;&amp;&amp;</t>
  </si>
  <si>
    <t>1 Min</t>
  </si>
  <si>
    <t>2 Min</t>
  </si>
  <si>
    <t>5 Min</t>
  </si>
  <si>
    <t>10 Min</t>
  </si>
  <si>
    <t>1 hour</t>
  </si>
  <si>
    <t>4 hours</t>
  </si>
  <si>
    <t>8 hours</t>
  </si>
  <si>
    <t>12 hours</t>
  </si>
  <si>
    <t>1 day</t>
  </si>
  <si>
    <t>2 days</t>
  </si>
  <si>
    <t>1 Week</t>
  </si>
  <si>
    <t>10 days</t>
  </si>
  <si>
    <t>30 days</t>
  </si>
  <si>
    <t>For HLOOKUP formula:</t>
  </si>
  <si>
    <t>Agreement #</t>
  </si>
  <si>
    <t>Agreement Type:</t>
  </si>
  <si>
    <t>Product Code</t>
  </si>
  <si>
    <t>KERO</t>
  </si>
  <si>
    <t>NATGAS</t>
  </si>
  <si>
    <t>DIESEL</t>
  </si>
  <si>
    <t>&lt;-- CURTIS THIS IS THE PRODUCT CODE</t>
  </si>
  <si>
    <t>Company Name:</t>
  </si>
  <si>
    <t>SHELL</t>
  </si>
  <si>
    <t>Company Number:</t>
  </si>
  <si>
    <t>Contract Contact:</t>
  </si>
  <si>
    <t>Custody Meter Owner:</t>
  </si>
  <si>
    <t>SAP Movement</t>
  </si>
  <si>
    <t>SAP Valuation Type:</t>
  </si>
  <si>
    <t>&lt;-- ABDULLAH THIS IS VALUATION TYPE</t>
  </si>
  <si>
    <t>Purchase Order #</t>
  </si>
  <si>
    <t>Purchase Order Line#</t>
  </si>
  <si>
    <t>COMPANY</t>
  </si>
  <si>
    <t>Day</t>
  </si>
  <si>
    <t>Date</t>
  </si>
  <si>
    <t>Shell ULSS Consumption</t>
  </si>
  <si>
    <t>Shell #1 net prodn</t>
  </si>
  <si>
    <t>Shell DHT feed net prodn</t>
  </si>
  <si>
    <t>Shell Diesel #2 net prodn</t>
  </si>
  <si>
    <t>Shell H2 Net Prodn</t>
  </si>
  <si>
    <t>Shell Fuel Net Prodn</t>
  </si>
  <si>
    <t>MTD</t>
  </si>
  <si>
    <t>TOTAL</t>
  </si>
  <si>
    <t>Key Requirements</t>
  </si>
  <si>
    <t>ULSD file should remain somewhere in Azure directory until replaced (it will remain if edited)</t>
  </si>
  <si>
    <t>Filename will always be PHD Sarnia ULSD Processing - Month Year</t>
  </si>
  <si>
    <t>Any NPUpld files dropped into Immediatescan should only be processed if the quantity / volume fields in ULSD for the product codes are populated (not blank)</t>
  </si>
  <si>
    <t>When NPUPld file processes, any product codes matching product codes in ULSD should be split into 3 lines - SHELL (valtype taken from ULSD) Suncor (valtaype taken from TagMap) and PRESPLIT (defaulted)</t>
  </si>
  <si>
    <t>Shell quantity is quantity in ULSD against product code</t>
  </si>
  <si>
    <t>Suncor quantity is quantity in Npupld net yield field-quantity in ULSD excel file against same product code</t>
  </si>
  <si>
    <t>Record with valtype of PRESPLIT created, using only original data from NPUPld</t>
  </si>
  <si>
    <t>Other product codes not on ULSD treated as usual</t>
  </si>
  <si>
    <t>Checks</t>
  </si>
  <si>
    <t>Check to see if ULSD file has same symbol (+/-) as Net Yield after the Input / Output sign change</t>
  </si>
  <si>
    <t>Remove this check</t>
  </si>
  <si>
    <t>Ensure Shell quantity is not greater than total quantity against the line item in the NPUPld file</t>
  </si>
  <si>
    <t>Path for ULSD</t>
  </si>
  <si>
    <t>\\pbidevarmsta001.file.core.windows.net\sap-iot-data\CP03\ulsd</t>
  </si>
  <si>
    <t>Next Steps</t>
  </si>
  <si>
    <t>Shell Suncor retroactive adjustment to excel file… does it resurrect NPUpld from archived or does user have to rerun NPUpld?</t>
  </si>
  <si>
    <t>Retiring excel spreadsheet sitting in holding if it’s past current date. Rather than user deleting file?</t>
  </si>
  <si>
    <t>Any other topics / scenarios</t>
  </si>
  <si>
    <t>&lt;&lt;NP UPLOAD FILE&gt;&gt;</t>
  </si>
  <si>
    <t>&lt;&lt;DEFAULTS&gt;&gt;</t>
  </si>
  <si>
    <t>DATEFORMAT</t>
  </si>
  <si>
    <t>DD/MM/YYYY</t>
  </si>
  <si>
    <t>DATETIMEFORMAT</t>
  </si>
  <si>
    <t>DD/MM/YYYY HH24:MI:SS</t>
  </si>
  <si>
    <t>&lt;&lt;END DEFAULTS&gt;&gt;</t>
  </si>
  <si>
    <t>ACCOUNT_DATE</t>
  </si>
  <si>
    <t>16/03/2021 00:59:00</t>
  </si>
  <si>
    <t>&lt;&lt;START BALANCE REC&gt;&gt;</t>
  </si>
  <si>
    <t>BALANCE_GROUP_NAME</t>
  </si>
  <si>
    <t>REFINERY</t>
  </si>
  <si>
    <t>&lt;&lt;START PRODUCT REC&gt;&gt;</t>
  </si>
  <si>
    <t>PRODUCT_CODE</t>
  </si>
  <si>
    <t>OPENING_INVENTORY</t>
  </si>
  <si>
    <t>CLOSING_INVENTORY</t>
  </si>
  <si>
    <t>NET_INVENTORY</t>
  </si>
  <si>
    <t>RECEIPT_QUANTITY</t>
  </si>
  <si>
    <t>RECEIPT_LITRES_SAP</t>
  </si>
  <si>
    <t>SHIP_QUANTITY</t>
  </si>
  <si>
    <t>SHIP_LITRES_SAP</t>
  </si>
  <si>
    <t>NET_CONSUMPTION</t>
  </si>
  <si>
    <t>NET_YIELD</t>
  </si>
  <si>
    <t>&lt;&lt;END PRODUCT REC&gt;&gt;</t>
  </si>
  <si>
    <t>&lt;&lt;END BALANCE REC&gt;&gt;</t>
  </si>
  <si>
    <t>REFINERY_GAIN_LOSS</t>
  </si>
  <si>
    <t>&lt;&lt;END NP UPLOAD FILE&gt;&gt;</t>
  </si>
  <si>
    <t>Run Logic</t>
  </si>
  <si>
    <t>1. This file should function like TagMap (upload it, however it does not become .processed)</t>
  </si>
  <si>
    <t>2. Once the file is uploaded to a folder, any future NPUPld files should refer to this file for the split logic</t>
  </si>
  <si>
    <t xml:space="preserve">3. Once we upload this file to the folder, the system should resend previously sent split records with the same product code and date </t>
  </si>
  <si>
    <t>4. NPUPld file should not process if ULSD file is not present, or if no record for the NPUPld date exists in the ULSD (quantity fields are blank)</t>
  </si>
  <si>
    <t>5. Data will be taken from "Production" tab</t>
  </si>
  <si>
    <t>6. Working on the 22nd file, case is balanced, generated npupld, don't have excel file, today if they made a correction to 22nd and make a correction in honeywell, 2 files now, goes into queue which should process first</t>
  </si>
  <si>
    <t>7. If the file is sitting in a queue with another file that has the same date, use the one with the later upload date</t>
  </si>
  <si>
    <t>8. If past the 10th of the month or past today's date (in the future), and file has a date of previous month, move file to rejected with error message in PIM - if currentdate.txt is present in system with a date on or earlier than the 10th of the current month. All of this applies only to NPUPld.</t>
  </si>
  <si>
    <t>9. Records in ULSD will be ignored based on 10 day logic</t>
  </si>
  <si>
    <t>10. On march 5th, have both excel spreadsheet for march 2nd and npupld for march 2nd and they get processed and npupld gets processed on march 24</t>
  </si>
  <si>
    <t>11. NPUPld will get uploaded to Holding folder if no ULSD is available</t>
  </si>
  <si>
    <t>12. File for previous month moves to archived once 10th of current month is passed ULSD</t>
  </si>
  <si>
    <t>13. Duplicate files should get rejected with a different message</t>
  </si>
  <si>
    <t>Transformation</t>
  </si>
  <si>
    <t>1. Production Volumes will sit in columns C to M</t>
  </si>
  <si>
    <t>2. Product Code can be picked up from Cells C7-M7</t>
  </si>
  <si>
    <t>3. Valuation Type of line item can be picked up from row C13-M13</t>
  </si>
  <si>
    <t>4. When an NPUPld file is deposited into immediatescan, the date on the file should be matched to a date within the ULSD Production tab</t>
  </si>
  <si>
    <t>5. Any NPUPld line items matching a product code in Row 7 will be stored in Azure with "PRESPLIT" as the valuation type (no JSON required)</t>
  </si>
  <si>
    <t>6. Create a line item with the same data as the NPUPld line item with a matching product code, but populate the JSON quantity as the value against the date in the ULSD file and the Valuation Type as Valtype from Row 13 - should be sent as a JSON</t>
  </si>
  <si>
    <r>
      <rPr>
        <sz val="10"/>
        <rFont val="Arial"/>
        <charset val="134"/>
      </rPr>
      <t xml:space="preserve">7. Calculate </t>
    </r>
    <r>
      <rPr>
        <b/>
        <sz val="10"/>
        <rFont val="Arial"/>
        <charset val="134"/>
      </rPr>
      <t>NUPld Net Yield (after Input/Output adj.)-Shell split quantity from ULSD file</t>
    </r>
    <r>
      <rPr>
        <sz val="10"/>
        <rFont val="Arial"/>
        <charset val="134"/>
      </rPr>
      <t>, and create a new copy of the original NPUPld file line item with the resulting value as the quantity and the TagMap valuation type as the valtype - should be sent as JSON</t>
    </r>
  </si>
  <si>
    <t>8. Process other records not on ULSD like usual</t>
  </si>
  <si>
    <t>9. Date will come from cells B20-B51</t>
  </si>
  <si>
    <t>Error handling</t>
  </si>
  <si>
    <t>1. Check to see if ULSD file has same symbol (+/-) as Net Yield after the Input / Output sign change</t>
  </si>
  <si>
    <t>2. Ensure Shell quantity is not greater than total quantity against the line item in the NPUPld file</t>
  </si>
  <si>
    <t>ULSD uploaded</t>
  </si>
  <si>
    <t>Npupld file uploaded</t>
  </si>
  <si>
    <t>Npupld date compared to ULSD, ULSD file(s) has records for that date that are not blank</t>
  </si>
  <si>
    <t>Npupld records turned into JSONs, including splits (original parent records for splits not sent)</t>
  </si>
  <si>
    <t>Opening</t>
  </si>
  <si>
    <t>Closing</t>
  </si>
  <si>
    <t>Net Yield</t>
  </si>
  <si>
    <t>DHT Feed SHELL</t>
  </si>
  <si>
    <t>DHT Feed Suncor</t>
  </si>
  <si>
    <t>Intentional - no reupload of npupld</t>
  </si>
  <si>
    <t>1. Upload current date with a date of march  10</t>
  </si>
  <si>
    <t>2. upload ULSD file</t>
  </si>
  <si>
    <t>3. upon upload, the currentdate.txt becomes .processed and the jsons get resent</t>
  </si>
  <si>
    <t>Intentional - reupload of npupld</t>
  </si>
  <si>
    <t>3. Re-upload the NPUPld</t>
  </si>
  <si>
    <t>4. upon upload, the currentdate.txt becomes .processed and the jsons get resent</t>
  </si>
  <si>
    <t>Unintentional - no NPUPld reupload</t>
  </si>
  <si>
    <t>1. Accidentally upload ULSD for feb.</t>
  </si>
  <si>
    <t>2. No currentdate.txt present, no records resent</t>
  </si>
  <si>
    <t>3. If currentdate.txt is present, records will be resent</t>
  </si>
  <si>
    <t>Unintentional - NPUPld reupload</t>
  </si>
  <si>
    <t>2. No NPUPld / currentdate.txt present, no records resent</t>
  </si>
  <si>
    <t>3. Records will only be resent if NPUPld is reuploaded</t>
  </si>
  <si>
    <t>Key Decision Points</t>
  </si>
  <si>
    <t>On correction of ULSD, should we reupload NPUPld or should it retrigger jsons using stored records</t>
  </si>
  <si>
    <t>Start Time:</t>
  </si>
  <si>
    <t>Frequency:</t>
  </si>
  <si>
    <t>Send To Sheet</t>
  </si>
  <si>
    <t>***NOTE - this data pull reports data for the 24 hrs prior to the time stamp (eg. 2018-11-02 00:00:00 data is for the 24 hours PRIOR to Nov 2 @ 00:00:00; ie. average of Nov 1st)</t>
  </si>
  <si>
    <t>End Time:</t>
  </si>
  <si>
    <t>Method:</t>
  </si>
  <si>
    <t>Minimum Confidence:</t>
  </si>
  <si>
    <t>Null Value:</t>
  </si>
  <si>
    <t>Enter PHD tags in B4-&gt;IV4</t>
  </si>
  <si>
    <t>TimeStamp</t>
  </si>
  <si>
    <t>03FI278.PV</t>
  </si>
  <si>
    <t>03FI276.PV</t>
  </si>
  <si>
    <t>03FQ279.PV</t>
  </si>
  <si>
    <t>03FC279.PV</t>
  </si>
  <si>
    <t>03FC276.PV</t>
  </si>
  <si>
    <t>03FI068.PV</t>
  </si>
  <si>
    <t>03fi294.pv</t>
  </si>
  <si>
    <t>03FI212.PV</t>
  </si>
  <si>
    <t>Offsites-Shell Light Distillate Feed Flow  M3/D</t>
  </si>
  <si>
    <t>DHT FEED FROM SHELL  M3/D</t>
  </si>
  <si>
    <t>OFFSITES-#2 ULSD PRODUCT TO SHELL TOTALIZER  M3</t>
  </si>
  <si>
    <t>Offsites-#2 ULSD Product Flow to Shell  M3/D</t>
  </si>
  <si>
    <t>Offsites-TK070 Feed from Shell  M3/D</t>
  </si>
  <si>
    <t>NOVA RSD TO DHT  M3/D</t>
  </si>
  <si>
    <t>NOVA DHT FEED  M3/D</t>
  </si>
  <si>
    <t>DIST TO/FROM NOVA 9FT210  M3/D</t>
  </si>
  <si>
    <t>C6-C8</t>
  </si>
  <si>
    <t>T/X</t>
  </si>
  <si>
    <t>C9-200</t>
  </si>
  <si>
    <t>Raffinate</t>
  </si>
  <si>
    <t>FUEL OIL #2</t>
  </si>
  <si>
    <t>Naphtha</t>
  </si>
  <si>
    <t>Naphtha to Nova</t>
  </si>
  <si>
    <t>BUTANE - ISO</t>
  </si>
  <si>
    <t>Today's Date:</t>
  </si>
  <si>
    <t xml:space="preserve">IF YOU CHANGE AN AGREEMENT - ensure the contract is in SAP TMS contract mapping table with mode 10 (ZSDR_TMS_MAINT-&gt;ZSD_XREF_ZVLCT)
</t>
  </si>
  <si>
    <t xml:space="preserve">132-420 </t>
  </si>
  <si>
    <t>132-420</t>
  </si>
  <si>
    <t>Refinery Sales</t>
  </si>
  <si>
    <t>192-6012</t>
  </si>
  <si>
    <t>111-606B / 192-620A</t>
  </si>
  <si>
    <t>192-6029</t>
  </si>
  <si>
    <t>192-6025</t>
  </si>
  <si>
    <t>192-844</t>
  </si>
  <si>
    <t>193-6083</t>
  </si>
  <si>
    <t>193-5030</t>
  </si>
  <si>
    <t>192-6038</t>
  </si>
  <si>
    <t>133-646</t>
  </si>
  <si>
    <t>Processing Purchase</t>
  </si>
  <si>
    <t>Processing Sale</t>
  </si>
  <si>
    <t>Line Fill</t>
  </si>
  <si>
    <t>Sale</t>
  </si>
  <si>
    <t>Purchase</t>
  </si>
  <si>
    <t>Purchase (Long or Short Term)</t>
  </si>
  <si>
    <t>Borrow-Loan</t>
  </si>
  <si>
    <t>Borrow Purchase FLUSH</t>
  </si>
  <si>
    <t>LARGE SALE</t>
  </si>
  <si>
    <t>Sale FLUSH</t>
  </si>
  <si>
    <t>SAP Material #</t>
  </si>
  <si>
    <t>NOVA</t>
  </si>
  <si>
    <t>SUNCOR</t>
  </si>
  <si>
    <t>P4010</t>
  </si>
  <si>
    <t>Elpidio.Guillermo-Jr@shell.com</t>
  </si>
  <si>
    <t xml:space="preserve">guhamel@suncor.com </t>
  </si>
  <si>
    <t xml:space="preserve">Guylaine Hamel </t>
  </si>
  <si>
    <t>Kim.DuChene@novachem.com</t>
  </si>
  <si>
    <t>craig.balliant@shell.com</t>
  </si>
  <si>
    <t>Receipt (MIGO)</t>
  </si>
  <si>
    <t>Receipt + Vol Gain (MIGO)</t>
  </si>
  <si>
    <t>Shipment (ZMBOL)</t>
  </si>
  <si>
    <t>Receipt - Use Intertek Meter</t>
  </si>
  <si>
    <t>Shipment (ZMBOL) - Use Nova Meter</t>
  </si>
  <si>
    <t>Receipt</t>
  </si>
  <si>
    <t>SAP Batch:</t>
  </si>
  <si>
    <t>LIGHT DISTILLATE (ULSS)</t>
  </si>
  <si>
    <t>DHT FEED</t>
  </si>
  <si>
    <t>ULSD TO SHELL</t>
  </si>
  <si>
    <t>#2 ULSD - Shell to Suncor</t>
  </si>
  <si>
    <t>ULSD to Nova</t>
  </si>
  <si>
    <t>ULSD from Nova</t>
  </si>
  <si>
    <t>HFO to Nova 
Nova Meter</t>
  </si>
  <si>
    <t>Variance 
(m3)</t>
  </si>
  <si>
    <t>HAGO 
(m3)</t>
  </si>
  <si>
    <t>T/X
(m3)</t>
  </si>
  <si>
    <t>C9-200
(m3)</t>
  </si>
  <si>
    <t>VGO              (m3)</t>
  </si>
  <si>
    <t>Flush - FUEL OIL #2 (m3)</t>
  </si>
  <si>
    <t>Naphtha to Suncor (m3)</t>
  </si>
  <si>
    <t>Naphtha to Nova (m3)</t>
  </si>
  <si>
    <t>Raffinate (m3) to Suncor</t>
  </si>
  <si>
    <t>Shell #2 ULSD to crude</t>
  </si>
  <si>
    <t>TOTAL excl meter noise</t>
  </si>
  <si>
    <t>Volumetric Gain (%)</t>
  </si>
  <si>
    <t>Volumetric Gain (m3)</t>
  </si>
  <si>
    <t>TOTAL w/ GAIN (m3)</t>
  </si>
  <si>
    <t>Name in PB/BusFlex</t>
  </si>
  <si>
    <t>ULSS_SHELL</t>
  </si>
  <si>
    <t>SHELL_DHT_FD</t>
  </si>
  <si>
    <t>DIESEL_#2_ULSD</t>
  </si>
  <si>
    <t>NOVA_DHT_FD</t>
  </si>
  <si>
    <t>GAS_OIL_HAGO</t>
  </si>
  <si>
    <t>TOLUENE_XYL_(TX)</t>
  </si>
  <si>
    <t>GAS_OIL_VACUUM</t>
  </si>
  <si>
    <t>FUEL_OIL_#2</t>
  </si>
  <si>
    <t>NAPHTHA</t>
  </si>
  <si>
    <t>RAFFINATE</t>
  </si>
  <si>
    <t>Customer Name in PB</t>
  </si>
  <si>
    <t>Template note</t>
  </si>
  <si>
    <t>Note:</t>
  </si>
  <si>
    <t>Time Changes:</t>
  </si>
  <si>
    <t xml:space="preserve">Use Fall and Spring Time Change Workbooks </t>
  </si>
  <si>
    <t>TAGNAME</t>
  </si>
  <si>
    <t>DSCR</t>
  </si>
  <si>
    <t>LKP_VALUE</t>
  </si>
  <si>
    <t>12TI199.PV</t>
  </si>
  <si>
    <t>CAT TO TOP OF KILN 6</t>
  </si>
  <si>
    <t>03GSBDMC_W</t>
  </si>
  <si>
    <t>Plant-1 (TDC3000) - Write Secure (GSB-DMC)</t>
  </si>
  <si>
    <t>12TI499.PV</t>
  </si>
  <si>
    <t>E-187 A&amp;B OUTLET - UPPER CIRC. REFLUX</t>
  </si>
  <si>
    <t>18C34DMC_W</t>
  </si>
  <si>
    <t>Plant-1 (TDC3000) - Write, Secure (C34-DMC)</t>
  </si>
  <si>
    <t>17TI299.PV</t>
  </si>
  <si>
    <t>H-107 TUBE 27 TO R102</t>
  </si>
  <si>
    <t>18TSTDMC_M</t>
  </si>
  <si>
    <t>Plant-1 (TDC3000) - Manual, Secure (TEST-DMC)</t>
  </si>
  <si>
    <t>21TI099.PV</t>
  </si>
  <si>
    <t>Plant 2-Crude-Heater Pass 2 Tubewall-Temperature</t>
  </si>
  <si>
    <t>18TSTDMC_R</t>
  </si>
  <si>
    <t>Plant-1 (TDC3000) - Read, Secure    (TEST-DMC)</t>
  </si>
  <si>
    <t>Plant 2-Pretreater-H02 Radiant Pass 3 Outlet-Temperature</t>
  </si>
  <si>
    <t>18TSTDMC_W</t>
  </si>
  <si>
    <t>Plant-1 (TDC3000) - Write, Secure    (TEST-DMC)</t>
  </si>
  <si>
    <t>22TI199.PV</t>
  </si>
  <si>
    <t>Plant 2-Pretreater-Nap. Splitter Bottoms to H03-Temperature</t>
  </si>
  <si>
    <t>FIX01_MI</t>
  </si>
  <si>
    <t>(FIX DMACS) - Write, Secured, Manual Input</t>
  </si>
  <si>
    <t>Plant 2-BTX-Fuel Gas to Mixed Xylene Reboiler East-Flow</t>
  </si>
  <si>
    <t>FIX01_RP</t>
  </si>
  <si>
    <t>Plant-1 (FIX DMACS) - Read, Public (HCC)</t>
  </si>
  <si>
    <t>24FI099Z.OPTOUT</t>
  </si>
  <si>
    <t>FUEL GAS TO 2-4-H.02(E)</t>
  </si>
  <si>
    <t>FIX01_RPC</t>
  </si>
  <si>
    <t>Plant-1 (FIX DMACS) - Calculation - Read, Public</t>
  </si>
  <si>
    <t>24FI099Z.PARINP</t>
  </si>
  <si>
    <t>FUEL GAS TO 24H02(E) (OPT H/AV</t>
  </si>
  <si>
    <t>FIX02_RP</t>
  </si>
  <si>
    <t>Plant-1 (FIX DMACS) - Read, Public (HCC1)</t>
  </si>
  <si>
    <t>24FI099Z.PAROUT</t>
  </si>
  <si>
    <t>FOX01_RP</t>
  </si>
  <si>
    <t>Plant-2 (FOXAIS) - Read, Public</t>
  </si>
  <si>
    <t>24FI099Z.SSDEV</t>
  </si>
  <si>
    <t>FOX01_RPC</t>
  </si>
  <si>
    <t>Plant-2 (FOXAIS) - Calculation - Read, Public</t>
  </si>
  <si>
    <t>31CHI99.PV</t>
  </si>
  <si>
    <t>FRESH FEED 99% POINT BY SIMDIST</t>
  </si>
  <si>
    <t>INF01_RP</t>
  </si>
  <si>
    <t>Plant-3  (INFOPLUS) - Read, Public</t>
  </si>
  <si>
    <t>PLANT 3 FRACT H-01 OUTLET PASS 2 TEMPERATURE</t>
  </si>
  <si>
    <t>INF01_RPC</t>
  </si>
  <si>
    <t>Plant-3  (INFOPLUS) - Calculation - Read, Public</t>
  </si>
  <si>
    <t>33FC999.PV</t>
  </si>
  <si>
    <t>LARRY'S PV</t>
  </si>
  <si>
    <t>INF01_RS</t>
  </si>
  <si>
    <t>Plant-3  (INFOPLUS) - Read, Secured</t>
  </si>
  <si>
    <t>33TI199$.CV</t>
  </si>
  <si>
    <t>33E04 OUTLET TEMPERATURE</t>
  </si>
  <si>
    <t>INF01_WS</t>
  </si>
  <si>
    <t>Plant-3  (INFOPLUS) - Write, Secured</t>
  </si>
  <si>
    <t>PLANT 3 HYDROGEN SHIFT WASTE HEAT EXCH OUTLET TEMPERATURE</t>
  </si>
  <si>
    <t>INF_FIX_W</t>
  </si>
  <si>
    <t>Plant-3  To FIX   Plant-1 CDH To CDH Interface</t>
  </si>
  <si>
    <t>33TI199I.CV</t>
  </si>
  <si>
    <t>INF_FOX_W</t>
  </si>
  <si>
    <t>Plant-3 To FOX Plant-2 CDH To CDH Interface</t>
  </si>
  <si>
    <t>33TI199O.CV</t>
  </si>
  <si>
    <t>INF_TDC_W</t>
  </si>
  <si>
    <t>Plant-3 To TDC Plant-1  CDH To CDH Interface</t>
  </si>
  <si>
    <t>33TI199P.CV</t>
  </si>
  <si>
    <t>LQ_MI_DD</t>
  </si>
  <si>
    <t>Lims Manual Input from Data Distribute</t>
  </si>
  <si>
    <t>CALCTEST99</t>
  </si>
  <si>
    <t>LARRY'S TEST</t>
  </si>
  <si>
    <t>NONE</t>
  </si>
  <si>
    <t>Not a realtime system tag</t>
  </si>
  <si>
    <t>PC1M01_RS</t>
  </si>
  <si>
    <t>Plant-1/Tank Farm DMC Manual Entries Read Secured</t>
  </si>
  <si>
    <t>PC1M01_WS</t>
  </si>
  <si>
    <t>Plant-1/Tank Farm DMC Manual Entries Write Secured</t>
  </si>
  <si>
    <t>PC2M01_RS</t>
  </si>
  <si>
    <t>Plant-2  DMC Manual Entries Read Secured</t>
  </si>
  <si>
    <t>PC2M01_WS</t>
  </si>
  <si>
    <t>Plant-2  DMC Manual Entries Write Secured</t>
  </si>
  <si>
    <t>PC3M01_RS</t>
  </si>
  <si>
    <t>Plant-3  DMC Manual Entries Read Secured</t>
  </si>
  <si>
    <t>PC3M01_WS</t>
  </si>
  <si>
    <t>Plant-3  DMC  Manual Entries Write Secured</t>
  </si>
  <si>
    <t>PDH01_RPC</t>
  </si>
  <si>
    <t>Plant-2 PDH Calculation 1 - Read, Public</t>
  </si>
  <si>
    <t>PDH02_RPC</t>
  </si>
  <si>
    <t>Plant-2 PDH Calculations 2 - Read, Public</t>
  </si>
  <si>
    <t>PL1M01_WP</t>
  </si>
  <si>
    <t>Plant-1 Manual Entries Write Public</t>
  </si>
  <si>
    <t>PL2M01_WP</t>
  </si>
  <si>
    <t>Plant-2 Manual Entries Write Public</t>
  </si>
  <si>
    <t>PL3M01_WP</t>
  </si>
  <si>
    <t>Plant-3 Manual Entries Write Public</t>
  </si>
  <si>
    <t>TDC01_RP</t>
  </si>
  <si>
    <t>Plant-1  (TDC3000 CM50) - Read, Public</t>
  </si>
  <si>
    <t>TDC01_RPC</t>
  </si>
  <si>
    <t>Plant-1  (TDC3000) - Calculation -  Read, Public</t>
  </si>
  <si>
    <t>TDC01_RS</t>
  </si>
  <si>
    <t>Plant-1  (TDC3000) - Read, Secured</t>
  </si>
  <si>
    <t>TDC01_WS</t>
  </si>
  <si>
    <t>Plant-1  (TDC3000) - Write, Secured</t>
  </si>
  <si>
    <t>TKM01_WP</t>
  </si>
  <si>
    <t>Offsites Manual Entries Write Public</t>
  </si>
  <si>
    <t>ZAP01_RP</t>
  </si>
  <si>
    <t>Plant-2  (ZAPCON) - Read, Public</t>
  </si>
  <si>
    <t>ZAP01_RS</t>
  </si>
  <si>
    <t>Plant-2  (ZAPCON) - Read, Secured</t>
  </si>
  <si>
    <t>ZAP01_WS</t>
  </si>
  <si>
    <t>Plant-2  (ZAPCON) - Write, Secured</t>
  </si>
  <si>
    <t>NOTE:  TIME CHANGES OCCUR AT 2:00 AM</t>
  </si>
  <si>
    <t>Step 1) Run Extract Per Normal Daily Average up to the time change</t>
  </si>
  <si>
    <t>Step 2) Replace the data for day of time change w/ hourly data -&gt;</t>
  </si>
  <si>
    <t>Step 2) Run for Day of Time Change by Hour and take the average excluding the first row</t>
  </si>
  <si>
    <t>Step 3) Run period from time change until the end of the month (do not post the first line of data as it would be a duplicate)</t>
  </si>
  <si>
    <t>Light Distillate</t>
  </si>
  <si>
    <t>DHT Feed from Shell</t>
  </si>
  <si>
    <t>ULSD to Shell</t>
  </si>
  <si>
    <t>DHT Feed from Nova</t>
  </si>
  <si>
    <t>Run daily from 1-5 @ 0:00 am</t>
  </si>
  <si>
    <t>Run Hourly for Time Change</t>
  </si>
  <si>
    <t>Run daily from 6 to end of month @ 0:00 am but do not post the first line of data as it would be a duplicate</t>
  </si>
  <si>
    <t>Run daily from 5 to end of month @ 0:00 am</t>
  </si>
  <si>
    <t>Run daily till 10th</t>
  </si>
  <si>
    <t>Run hourly for date of time change - run 10th till 11th - Time change was mar 10 at 2am</t>
  </si>
  <si>
    <t>Run from 11th till end of month</t>
  </si>
  <si>
    <t>Shell Gasoline Receipt</t>
  </si>
  <si>
    <t>Suncor Gasoline Receipt (boat)</t>
  </si>
  <si>
    <t>Shell gasoline shipment (pipeline)</t>
  </si>
  <si>
    <t>Suncor gasoline shipment (pipeline/marine)</t>
  </si>
  <si>
    <t>Suncor gasoline production</t>
  </si>
  <si>
    <t>Options 1: shell gasoline material and suncor gasoline material in honeywell PB</t>
  </si>
  <si>
    <t>- but tk 58 still has comingled inv so honeywell can't handle</t>
  </si>
  <si>
    <t>Option 2: assign in honeywell Tk58 is shell gasoline then true up at month end</t>
  </si>
  <si>
    <t>Gasoline</t>
  </si>
  <si>
    <t>HW Inv</t>
  </si>
  <si>
    <t>SAP Inv</t>
  </si>
  <si>
    <t>HW Rec/Ship</t>
  </si>
  <si>
    <t>Shell</t>
  </si>
  <si>
    <t>blank</t>
  </si>
  <si>
    <t>#</t>
  </si>
  <si>
    <t>Suncor</t>
  </si>
  <si>
    <t>Total</t>
  </si>
</sst>
</file>

<file path=xl/styles.xml><?xml version="1.0" encoding="utf-8"?>
<styleSheet xmlns="http://schemas.openxmlformats.org/spreadsheetml/2006/main">
  <numFmts count="23">
    <numFmt numFmtId="176" formatCode="m/d/yy\ h:mm:ss\ AM/PM"/>
    <numFmt numFmtId="177" formatCode="_(* #,##0.000_);_(* \(#,##0.000\);_(* &quot;-&quot;??_);_(@_)"/>
    <numFmt numFmtId="41" formatCode="_-* #,##0_-;\-* #,##0_-;_-* &quot;-&quot;_-;_-@_-"/>
    <numFmt numFmtId="178" formatCode="_(* #,##0.00_);_(* \(#,##0.00\);_(* &quot;-&quot;??_);_(@_)"/>
    <numFmt numFmtId="179" formatCode="_-&quot;$&quot;* #,##0.00_-;\-&quot;$&quot;* #,##0.00_-;_-&quot;$&quot;* \-??_-;_-@_-"/>
    <numFmt numFmtId="180" formatCode="#,##0.000000000000_);[Red]\(#,##0.000000000000\)"/>
    <numFmt numFmtId="181" formatCode="_-&quot;$&quot;* #,##0_-;\-&quot;$&quot;* #,##0_-;_-&quot;$&quot;* &quot;-&quot;_-;_-@_-"/>
    <numFmt numFmtId="182" formatCode="_(&quot;$&quot;* #,##0.00_);_(&quot;$&quot;* \(#,##0.00\);_(&quot;$&quot;* &quot;-&quot;??_);_(@_)"/>
    <numFmt numFmtId="183" formatCode="yyyy/mm/dd\ hh:mm:ss"/>
    <numFmt numFmtId="184" formatCode="[$-409]d/mmm;@"/>
    <numFmt numFmtId="185" formatCode="0.000"/>
    <numFmt numFmtId="186" formatCode="_(* #,##0_);_(* \(#,##0\);_(* &quot;-&quot;??_);_(@_)"/>
    <numFmt numFmtId="187" formatCode="#,##0.000_);[Red]\(#,##0.000\)"/>
    <numFmt numFmtId="188" formatCode="0_);[Red]\(0\)"/>
    <numFmt numFmtId="189" formatCode="#,##0.000_);\(#,##0.000\)"/>
    <numFmt numFmtId="190" formatCode="0.00000"/>
    <numFmt numFmtId="191" formatCode="#,##0.000"/>
    <numFmt numFmtId="192" formatCode="m/d/yy;@"/>
    <numFmt numFmtId="193" formatCode="0.0"/>
    <numFmt numFmtId="194" formatCode="0_);\(0\)"/>
    <numFmt numFmtId="195" formatCode="_(* #,##0.0000_);_(* \(#,##0.0000\);_(* &quot;-&quot;??_);_(@_)"/>
    <numFmt numFmtId="196" formatCode="m/d/yy\ h:mm:ss"/>
    <numFmt numFmtId="197" formatCode="d/mmm/yy\ hh:mm"/>
  </numFmts>
  <fonts count="45">
    <font>
      <sz val="10"/>
      <name val="Arial"/>
      <charset val="134"/>
    </font>
    <font>
      <b/>
      <sz val="10"/>
      <color rgb="FFFF0000"/>
      <name val="Arial"/>
      <charset val="134"/>
    </font>
    <font>
      <sz val="10"/>
      <color rgb="FFFF0000"/>
      <name val="Arial"/>
      <charset val="134"/>
    </font>
    <font>
      <b/>
      <sz val="8"/>
      <name val="Arial"/>
      <charset val="134"/>
    </font>
    <font>
      <sz val="6"/>
      <color indexed="8"/>
      <name val="Arial"/>
      <charset val="134"/>
    </font>
    <font>
      <sz val="10"/>
      <color indexed="8"/>
      <name val="Arial"/>
      <charset val="134"/>
    </font>
    <font>
      <b/>
      <sz val="10"/>
      <name val="Arial"/>
      <charset val="134"/>
    </font>
    <font>
      <u/>
      <sz val="10"/>
      <color theme="10"/>
      <name val="Arial"/>
      <charset val="134"/>
    </font>
    <font>
      <b/>
      <sz val="11"/>
      <color rgb="FFFF0000"/>
      <name val="Arial"/>
      <charset val="134"/>
    </font>
    <font>
      <sz val="12"/>
      <name val="Arial"/>
      <charset val="134"/>
    </font>
    <font>
      <sz val="9"/>
      <name val="Arial"/>
      <charset val="134"/>
    </font>
    <font>
      <b/>
      <sz val="12"/>
      <color rgb="FFFF0000"/>
      <name val="Arial"/>
      <charset val="134"/>
    </font>
    <font>
      <sz val="6"/>
      <name val="Arial"/>
      <charset val="134"/>
    </font>
    <font>
      <sz val="8"/>
      <name val="Arial"/>
      <charset val="134"/>
    </font>
    <font>
      <sz val="11"/>
      <name val="Arial"/>
      <charset val="134"/>
    </font>
    <font>
      <b/>
      <u/>
      <sz val="12"/>
      <name val="Arial"/>
      <charset val="134"/>
    </font>
    <font>
      <b/>
      <sz val="9"/>
      <name val="Arial"/>
      <charset val="134"/>
    </font>
    <font>
      <sz val="11"/>
      <name val="Calibri"/>
      <charset val="134"/>
    </font>
    <font>
      <sz val="11"/>
      <color indexed="52"/>
      <name val="Calibri"/>
      <charset val="134"/>
    </font>
    <font>
      <sz val="11"/>
      <color indexed="8"/>
      <name val="Calibri"/>
      <charset val="134"/>
    </font>
    <font>
      <b/>
      <sz val="11"/>
      <color indexed="56"/>
      <name val="Calibri"/>
      <charset val="134"/>
    </font>
    <font>
      <b/>
      <sz val="11"/>
      <color indexed="63"/>
      <name val="Calibri"/>
      <charset val="134"/>
    </font>
    <font>
      <sz val="11"/>
      <color theme="1"/>
      <name val="Calibri"/>
      <charset val="134"/>
      <scheme val="minor"/>
    </font>
    <font>
      <sz val="11"/>
      <color indexed="9"/>
      <name val="Calibri"/>
      <charset val="134"/>
    </font>
    <font>
      <i/>
      <sz val="11"/>
      <color indexed="23"/>
      <name val="Calibri"/>
      <charset val="134"/>
    </font>
    <font>
      <u/>
      <sz val="11"/>
      <color rgb="FF800080"/>
      <name val="Calibri"/>
      <charset val="0"/>
      <scheme val="minor"/>
    </font>
    <font>
      <b/>
      <sz val="13"/>
      <color indexed="56"/>
      <name val="Calibri"/>
      <charset val="134"/>
    </font>
    <font>
      <sz val="11"/>
      <color indexed="10"/>
      <name val="Calibri"/>
      <charset val="134"/>
    </font>
    <font>
      <sz val="11"/>
      <color indexed="17"/>
      <name val="Calibri"/>
      <charset val="134"/>
    </font>
    <font>
      <b/>
      <sz val="11"/>
      <color indexed="9"/>
      <name val="Calibri"/>
      <charset val="134"/>
    </font>
    <font>
      <sz val="11"/>
      <color indexed="60"/>
      <name val="Calibri"/>
      <charset val="134"/>
    </font>
    <font>
      <b/>
      <sz val="18"/>
      <color indexed="56"/>
      <name val="Cambria"/>
      <charset val="134"/>
    </font>
    <font>
      <b/>
      <sz val="15"/>
      <color indexed="56"/>
      <name val="Calibri"/>
      <charset val="134"/>
    </font>
    <font>
      <sz val="11"/>
      <color indexed="62"/>
      <name val="Calibri"/>
      <charset val="134"/>
    </font>
    <font>
      <b/>
      <sz val="11"/>
      <color indexed="52"/>
      <name val="Calibri"/>
      <charset val="134"/>
    </font>
    <font>
      <b/>
      <sz val="11"/>
      <color indexed="8"/>
      <name val="Calibri"/>
      <charset val="134"/>
    </font>
    <font>
      <sz val="11"/>
      <color indexed="20"/>
      <name val="Calibri"/>
      <charset val="134"/>
    </font>
    <font>
      <sz val="11"/>
      <color theme="1"/>
      <name val="Arial"/>
      <charset val="134"/>
    </font>
    <font>
      <b/>
      <sz val="8"/>
      <name val="Tahoma"/>
      <charset val="134"/>
    </font>
    <font>
      <sz val="8"/>
      <name val="Tahoma"/>
      <charset val="134"/>
    </font>
    <font>
      <b/>
      <i/>
      <sz val="9"/>
      <name val="Tahoma"/>
      <charset val="134"/>
    </font>
    <font>
      <sz val="9"/>
      <name val="Tahoma"/>
      <charset val="134"/>
    </font>
    <font>
      <b/>
      <sz val="9"/>
      <name val="Tahoma"/>
      <charset val="134"/>
    </font>
    <font>
      <b/>
      <sz val="11"/>
      <name val="Tahoma"/>
      <charset val="134"/>
    </font>
    <font>
      <sz val="11"/>
      <name val="Tahoma"/>
      <charset val="134"/>
    </font>
  </fonts>
  <fills count="31">
    <fill>
      <patternFill patternType="none"/>
    </fill>
    <fill>
      <patternFill patternType="gray125"/>
    </fill>
    <fill>
      <patternFill patternType="solid">
        <fgColor theme="8" tint="0.599993896298105"/>
        <bgColor indexed="64"/>
      </patternFill>
    </fill>
    <fill>
      <patternFill patternType="solid">
        <fgColor indexed="41"/>
        <bgColor indexed="64"/>
      </patternFill>
    </fill>
    <fill>
      <patternFill patternType="solid">
        <fgColor indexed="22"/>
        <bgColor indexed="64"/>
      </patternFill>
    </fill>
    <fill>
      <patternFill patternType="solid">
        <fgColor theme="0" tint="-0.149998474074526"/>
        <bgColor indexed="64"/>
      </patternFill>
    </fill>
    <fill>
      <patternFill patternType="solid">
        <fgColor rgb="FF92D050"/>
        <bgColor indexed="64"/>
      </patternFill>
    </fill>
    <fill>
      <patternFill patternType="solid">
        <fgColor indexed="42"/>
        <bgColor indexed="64"/>
      </patternFill>
    </fill>
    <fill>
      <patternFill patternType="solid">
        <fgColor indexed="46"/>
        <bgColor indexed="64"/>
      </patternFill>
    </fill>
    <fill>
      <patternFill patternType="solid">
        <fgColor rgb="FFFFFF00"/>
        <bgColor indexed="64"/>
      </patternFill>
    </fill>
    <fill>
      <patternFill patternType="solid">
        <fgColor theme="9" tint="0.399975585192419"/>
        <bgColor indexed="64"/>
      </patternFill>
    </fill>
    <fill>
      <patternFill patternType="solid">
        <fgColor indexed="11"/>
        <bgColor indexed="64"/>
      </patternFill>
    </fill>
    <fill>
      <patternFill patternType="solid">
        <fgColor rgb="FFFF0000"/>
        <bgColor indexed="64"/>
      </patternFill>
    </fill>
    <fill>
      <patternFill patternType="solid">
        <fgColor indexed="10"/>
        <bgColor indexed="64"/>
      </patternFill>
    </fill>
    <fill>
      <patternFill patternType="solid">
        <fgColor indexed="31"/>
        <bgColor indexed="64"/>
      </patternFill>
    </fill>
    <fill>
      <patternFill patternType="solid">
        <fgColor indexed="44"/>
        <bgColor indexed="64"/>
      </patternFill>
    </fill>
    <fill>
      <patternFill patternType="solid">
        <fgColor indexed="57"/>
        <bgColor indexed="64"/>
      </patternFill>
    </fill>
    <fill>
      <patternFill patternType="solid">
        <fgColor indexed="49"/>
        <bgColor indexed="64"/>
      </patternFill>
    </fill>
    <fill>
      <patternFill patternType="solid">
        <fgColor indexed="45"/>
        <bgColor indexed="64"/>
      </patternFill>
    </fill>
    <fill>
      <patternFill patternType="solid">
        <fgColor indexed="29"/>
        <bgColor indexed="64"/>
      </patternFill>
    </fill>
    <fill>
      <patternFill patternType="solid">
        <fgColor indexed="30"/>
        <bgColor indexed="64"/>
      </patternFill>
    </fill>
    <fill>
      <patternFill patternType="solid">
        <fgColor indexed="51"/>
        <bgColor indexed="64"/>
      </patternFill>
    </fill>
    <fill>
      <patternFill patternType="solid">
        <fgColor indexed="36"/>
        <bgColor indexed="64"/>
      </patternFill>
    </fill>
    <fill>
      <patternFill patternType="solid">
        <fgColor indexed="47"/>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indexed="53"/>
        <bgColor indexed="64"/>
      </patternFill>
    </fill>
    <fill>
      <patternFill patternType="solid">
        <fgColor indexed="27"/>
        <bgColor indexed="64"/>
      </patternFill>
    </fill>
    <fill>
      <patternFill patternType="solid">
        <fgColor indexed="62"/>
        <bgColor indexed="64"/>
      </patternFill>
    </fill>
    <fill>
      <patternFill patternType="solid">
        <fgColor indexed="52"/>
        <bgColor indexed="64"/>
      </patternFill>
    </fill>
  </fills>
  <borders count="39">
    <border>
      <left/>
      <right/>
      <top/>
      <bottom/>
      <diagonal/>
    </border>
    <border>
      <left/>
      <right style="medium">
        <color auto="1"/>
      </right>
      <top style="medium">
        <color auto="1"/>
      </top>
      <bottom style="medium">
        <color auto="1"/>
      </bottom>
      <diagonal/>
    </border>
    <border>
      <left/>
      <right/>
      <top style="thin">
        <color auto="1"/>
      </top>
      <bottom style="double">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diagonal/>
    </border>
    <border>
      <left style="thin">
        <color auto="1"/>
      </left>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medium">
        <color auto="1"/>
      </right>
      <top/>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style="medium">
        <color auto="1"/>
      </top>
      <bottom style="thin">
        <color auto="1"/>
      </bottom>
      <diagonal/>
    </border>
    <border>
      <left style="thin">
        <color auto="1"/>
      </left>
      <right/>
      <top/>
      <bottom/>
      <diagonal/>
    </border>
    <border>
      <left/>
      <right/>
      <top/>
      <bottom style="double">
        <color indexed="5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top/>
      <bottom style="thick">
        <color indexed="2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s>
  <cellStyleXfs count="104">
    <xf numFmtId="0" fontId="0" fillId="0" borderId="0"/>
    <xf numFmtId="0" fontId="19" fillId="15" borderId="0" applyNumberFormat="0" applyBorder="0" applyAlignment="0" applyProtection="0"/>
    <xf numFmtId="178" fontId="0" fillId="0" borderId="0" applyFont="0" applyFill="0" applyBorder="0" applyAlignment="0" applyProtection="0"/>
    <xf numFmtId="41" fontId="22" fillId="0" borderId="0" applyFont="0" applyFill="0" applyBorder="0" applyAlignment="0" applyProtection="0">
      <alignment vertical="center"/>
    </xf>
    <xf numFmtId="181" fontId="22" fillId="0" borderId="0" applyFont="0" applyFill="0" applyBorder="0" applyAlignment="0" applyProtection="0">
      <alignment vertical="center"/>
    </xf>
    <xf numFmtId="179" fontId="22" fillId="0" borderId="0" applyFont="0" applyFill="0" applyBorder="0" applyAlignment="0" applyProtection="0">
      <alignment vertical="center"/>
    </xf>
    <xf numFmtId="9" fontId="0" fillId="0" borderId="0" applyFont="0" applyFill="0" applyBorder="0" applyAlignment="0" applyProtection="0"/>
    <xf numFmtId="0" fontId="7" fillId="0" borderId="0" applyNumberFormat="0" applyFill="0" applyBorder="0" applyAlignment="0" applyProtection="0"/>
    <xf numFmtId="0" fontId="22" fillId="0" borderId="0"/>
    <xf numFmtId="0" fontId="23" fillId="22" borderId="0" applyNumberFormat="0" applyBorder="0" applyAlignment="0" applyProtection="0"/>
    <xf numFmtId="0" fontId="25" fillId="0" borderId="0" applyNumberFormat="0" applyFill="0" applyBorder="0" applyAlignment="0" applyProtection="0">
      <alignment vertical="center"/>
    </xf>
    <xf numFmtId="0" fontId="26" fillId="0" borderId="33" applyNumberFormat="0" applyFill="0" applyAlignment="0" applyProtection="0"/>
    <xf numFmtId="0" fontId="22" fillId="0" borderId="0"/>
    <xf numFmtId="0" fontId="29" fillId="24" borderId="34" applyNumberFormat="0" applyAlignment="0" applyProtection="0"/>
    <xf numFmtId="0" fontId="0" fillId="26" borderId="35" applyNumberFormat="0" applyFont="0" applyAlignment="0" applyProtection="0"/>
    <xf numFmtId="0" fontId="19" fillId="11" borderId="0" applyNumberFormat="0" applyBorder="0" applyAlignment="0" applyProtection="0"/>
    <xf numFmtId="0" fontId="27" fillId="0" borderId="0" applyNumberFormat="0" applyFill="0" applyBorder="0" applyAlignment="0" applyProtection="0"/>
    <xf numFmtId="0" fontId="31" fillId="0" borderId="0" applyNumberFormat="0" applyFill="0" applyBorder="0" applyAlignment="0" applyProtection="0"/>
    <xf numFmtId="0" fontId="22" fillId="0" borderId="0"/>
    <xf numFmtId="0" fontId="19" fillId="19" borderId="0" applyNumberFormat="0" applyBorder="0" applyAlignment="0" applyProtection="0"/>
    <xf numFmtId="0" fontId="24" fillId="0" borderId="0" applyNumberFormat="0" applyFill="0" applyBorder="0" applyAlignment="0" applyProtection="0"/>
    <xf numFmtId="0" fontId="32" fillId="0" borderId="36" applyNumberFormat="0" applyFill="0" applyAlignment="0" applyProtection="0"/>
    <xf numFmtId="0" fontId="22" fillId="0" borderId="0"/>
    <xf numFmtId="0" fontId="20" fillId="0" borderId="31" applyNumberFormat="0" applyFill="0" applyAlignment="0" applyProtection="0"/>
    <xf numFmtId="0" fontId="20" fillId="0" borderId="0" applyNumberFormat="0" applyFill="0" applyBorder="0" applyAlignment="0" applyProtection="0"/>
    <xf numFmtId="0" fontId="33" fillId="23" borderId="37" applyNumberFormat="0" applyAlignment="0" applyProtection="0"/>
    <xf numFmtId="0" fontId="23" fillId="11" borderId="0" applyNumberFormat="0" applyBorder="0" applyAlignment="0" applyProtection="0"/>
    <xf numFmtId="0" fontId="28" fillId="7" borderId="0" applyNumberFormat="0" applyBorder="0" applyAlignment="0" applyProtection="0"/>
    <xf numFmtId="0" fontId="21" fillId="4" borderId="32" applyNumberFormat="0" applyAlignment="0" applyProtection="0"/>
    <xf numFmtId="178" fontId="22" fillId="0" borderId="0" applyFont="0" applyFill="0" applyBorder="0" applyAlignment="0" applyProtection="0"/>
    <xf numFmtId="0" fontId="19" fillId="14" borderId="0" applyNumberFormat="0" applyBorder="0" applyAlignment="0" applyProtection="0"/>
    <xf numFmtId="0" fontId="34" fillId="4" borderId="37" applyNumberFormat="0" applyAlignment="0" applyProtection="0"/>
    <xf numFmtId="0" fontId="18" fillId="0" borderId="30" applyNumberFormat="0" applyFill="0" applyAlignment="0" applyProtection="0"/>
    <xf numFmtId="0" fontId="35" fillId="0" borderId="38" applyNumberFormat="0" applyFill="0" applyAlignment="0" applyProtection="0"/>
    <xf numFmtId="178" fontId="22" fillId="0" borderId="0" applyFont="0" applyFill="0" applyBorder="0" applyAlignment="0" applyProtection="0"/>
    <xf numFmtId="0" fontId="36" fillId="18" borderId="0" applyNumberFormat="0" applyBorder="0" applyAlignment="0" applyProtection="0"/>
    <xf numFmtId="178" fontId="22" fillId="0" borderId="0" applyFont="0" applyFill="0" applyBorder="0" applyAlignment="0" applyProtection="0"/>
    <xf numFmtId="0" fontId="30" fillId="25" borderId="0" applyNumberFormat="0" applyBorder="0" applyAlignment="0" applyProtection="0"/>
    <xf numFmtId="0" fontId="23" fillId="29" borderId="0" applyNumberFormat="0" applyBorder="0" applyAlignment="0" applyProtection="0"/>
    <xf numFmtId="0" fontId="19" fillId="28" borderId="0" applyNumberFormat="0" applyBorder="0" applyAlignment="0" applyProtection="0"/>
    <xf numFmtId="0" fontId="23" fillId="20" borderId="0" applyNumberFormat="0" applyBorder="0" applyAlignment="0" applyProtection="0"/>
    <xf numFmtId="0" fontId="23" fillId="13" borderId="0" applyNumberFormat="0" applyBorder="0" applyAlignment="0" applyProtection="0"/>
    <xf numFmtId="178" fontId="22" fillId="0" borderId="0" applyFont="0" applyFill="0" applyBorder="0" applyAlignment="0" applyProtection="0"/>
    <xf numFmtId="0" fontId="19" fillId="18" borderId="0" applyNumberFormat="0" applyBorder="0" applyAlignment="0" applyProtection="0"/>
    <xf numFmtId="0" fontId="19" fillId="23" borderId="0" applyNumberFormat="0" applyBorder="0" applyAlignment="0" applyProtection="0"/>
    <xf numFmtId="0" fontId="23" fillId="19" borderId="0" applyNumberFormat="0" applyBorder="0" applyAlignment="0" applyProtection="0"/>
    <xf numFmtId="0" fontId="23" fillId="16" borderId="0" applyNumberFormat="0" applyBorder="0" applyAlignment="0" applyProtection="0"/>
    <xf numFmtId="0" fontId="19" fillId="7" borderId="0" applyNumberFormat="0" applyBorder="0" applyAlignment="0" applyProtection="0"/>
    <xf numFmtId="0" fontId="23" fillId="22" borderId="0" applyNumberFormat="0" applyBorder="0" applyAlignment="0" applyProtection="0"/>
    <xf numFmtId="0" fontId="19" fillId="8" borderId="0" applyNumberFormat="0" applyBorder="0" applyAlignment="0" applyProtection="0"/>
    <xf numFmtId="0" fontId="19" fillId="8" borderId="0" applyNumberFormat="0" applyBorder="0" applyAlignment="0" applyProtection="0"/>
    <xf numFmtId="0" fontId="23" fillId="17" borderId="0" applyNumberFormat="0" applyBorder="0" applyAlignment="0" applyProtection="0"/>
    <xf numFmtId="0" fontId="19" fillId="15" borderId="0" applyNumberFormat="0" applyBorder="0" applyAlignment="0" applyProtection="0"/>
    <xf numFmtId="0" fontId="23" fillId="17" borderId="0" applyNumberFormat="0" applyBorder="0" applyAlignment="0" applyProtection="0"/>
    <xf numFmtId="0" fontId="23" fillId="27" borderId="0" applyNumberFormat="0" applyBorder="0" applyAlignment="0" applyProtection="0"/>
    <xf numFmtId="0" fontId="19" fillId="21" borderId="0" applyNumberFormat="0" applyBorder="0" applyAlignment="0" applyProtection="0"/>
    <xf numFmtId="0" fontId="23" fillId="30" borderId="0" applyNumberFormat="0" applyBorder="0" applyAlignment="0" applyProtection="0"/>
    <xf numFmtId="0" fontId="3" fillId="0" borderId="0" applyNumberFormat="0" applyFont="0" applyFill="0" applyBorder="0" applyProtection="0">
      <alignment horizontal="centerContinuous"/>
    </xf>
    <xf numFmtId="178" fontId="37"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78" fontId="22" fillId="0" borderId="0" applyFont="0" applyFill="0" applyBorder="0" applyAlignment="0" applyProtection="0"/>
    <xf numFmtId="182" fontId="37" fillId="0" borderId="0" applyFont="0" applyFill="0" applyBorder="0" applyAlignment="0" applyProtection="0"/>
    <xf numFmtId="182" fontId="0" fillId="0" borderId="0" applyFont="0" applyFill="0" applyBorder="0" applyAlignment="0" applyProtection="0"/>
    <xf numFmtId="0" fontId="22"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37"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0" fillId="0" borderId="0"/>
    <xf numFmtId="0" fontId="22" fillId="0" borderId="0"/>
    <xf numFmtId="0" fontId="22" fillId="0" borderId="0"/>
    <xf numFmtId="0" fontId="22" fillId="0" borderId="0"/>
  </cellStyleXfs>
  <cellXfs count="263">
    <xf numFmtId="0" fontId="0" fillId="0" borderId="0" xfId="0"/>
    <xf numFmtId="0" fontId="0" fillId="0" borderId="0" xfId="0" applyFont="1"/>
    <xf numFmtId="0" fontId="0" fillId="2" borderId="0" xfId="0" applyFont="1" applyFill="1"/>
    <xf numFmtId="0" fontId="0" fillId="0" borderId="0" xfId="0" applyFont="1" applyAlignment="1">
      <alignment horizontal="right"/>
    </xf>
    <xf numFmtId="0" fontId="0" fillId="0" borderId="0" xfId="0" applyAlignment="1">
      <alignment wrapText="1"/>
    </xf>
    <xf numFmtId="0" fontId="1" fillId="0" borderId="0" xfId="0" applyFont="1"/>
    <xf numFmtId="0" fontId="2" fillId="0" borderId="0" xfId="0" applyFont="1"/>
    <xf numFmtId="0" fontId="0" fillId="0" borderId="0" xfId="0" applyFont="1" applyAlignment="1">
      <alignment wrapText="1"/>
    </xf>
    <xf numFmtId="176" fontId="3" fillId="3" borderId="0" xfId="0" applyNumberFormat="1" applyFont="1" applyFill="1" applyAlignment="1">
      <alignment horizontal="left" wrapText="1"/>
    </xf>
    <xf numFmtId="2" fontId="3" fillId="3" borderId="0" xfId="0" applyNumberFormat="1" applyFont="1" applyFill="1" applyAlignment="1">
      <alignment horizontal="left"/>
    </xf>
    <xf numFmtId="183" fontId="4" fillId="3" borderId="0" xfId="0" applyNumberFormat="1" applyFont="1" applyFill="1" applyAlignment="1">
      <alignment horizontal="left" wrapText="1"/>
    </xf>
    <xf numFmtId="2" fontId="4" fillId="3" borderId="0" xfId="0" applyNumberFormat="1" applyFont="1" applyFill="1" applyAlignment="1">
      <alignment horizontal="left" wrapText="1"/>
    </xf>
    <xf numFmtId="0" fontId="4" fillId="3" borderId="0" xfId="0" applyFont="1" applyFill="1" applyAlignment="1">
      <alignment horizontal="left" wrapText="1"/>
    </xf>
    <xf numFmtId="183" fontId="5" fillId="4" borderId="0" xfId="0" applyNumberFormat="1" applyFont="1" applyFill="1" applyAlignment="1">
      <alignment horizontal="left"/>
    </xf>
    <xf numFmtId="2" fontId="5" fillId="4" borderId="0" xfId="0" applyNumberFormat="1" applyFont="1" applyFill="1" applyAlignment="1">
      <alignment horizontal="left"/>
    </xf>
    <xf numFmtId="183" fontId="5" fillId="4" borderId="0" xfId="0" applyNumberFormat="1" applyFont="1" applyFill="1" applyBorder="1" applyAlignment="1">
      <alignment horizontal="left"/>
    </xf>
    <xf numFmtId="183" fontId="2" fillId="4" borderId="0" xfId="0" applyNumberFormat="1" applyFont="1" applyFill="1" applyAlignment="1">
      <alignment horizontal="left"/>
    </xf>
    <xf numFmtId="2" fontId="2" fillId="4" borderId="0" xfId="0" applyNumberFormat="1" applyFont="1" applyFill="1" applyAlignment="1">
      <alignment horizontal="left"/>
    </xf>
    <xf numFmtId="183" fontId="0" fillId="4" borderId="0" xfId="0" applyNumberFormat="1" applyFont="1" applyFill="1" applyBorder="1" applyAlignment="1">
      <alignment horizontal="left"/>
    </xf>
    <xf numFmtId="2" fontId="0" fillId="0" borderId="0" xfId="0" applyNumberFormat="1"/>
    <xf numFmtId="16" fontId="0" fillId="0" borderId="0" xfId="0" applyNumberFormat="1" applyFont="1"/>
    <xf numFmtId="16" fontId="2" fillId="0" borderId="0" xfId="0" applyNumberFormat="1" applyFont="1"/>
    <xf numFmtId="0" fontId="2" fillId="0" borderId="1" xfId="0" applyFont="1" applyBorder="1"/>
    <xf numFmtId="184" fontId="0" fillId="0" borderId="1" xfId="0" applyNumberFormat="1" applyFont="1" applyBorder="1"/>
    <xf numFmtId="0" fontId="1" fillId="0" borderId="2" xfId="0" applyFont="1" applyBorder="1"/>
    <xf numFmtId="2" fontId="2" fillId="0" borderId="2" xfId="0" applyNumberFormat="1" applyFont="1" applyBorder="1"/>
    <xf numFmtId="183" fontId="2" fillId="4" borderId="3" xfId="0" applyNumberFormat="1" applyFont="1" applyFill="1" applyBorder="1" applyAlignment="1">
      <alignment horizontal="left"/>
    </xf>
    <xf numFmtId="2" fontId="2" fillId="4" borderId="4" xfId="0" applyNumberFormat="1" applyFont="1" applyFill="1" applyBorder="1" applyAlignment="1">
      <alignment horizontal="left"/>
    </xf>
    <xf numFmtId="185" fontId="5" fillId="4" borderId="0" xfId="0" applyNumberFormat="1" applyFont="1" applyFill="1" applyAlignment="1">
      <alignment horizontal="left"/>
    </xf>
    <xf numFmtId="16" fontId="0" fillId="0" borderId="0" xfId="0" applyNumberFormat="1" applyFont="1" applyBorder="1"/>
    <xf numFmtId="16" fontId="2" fillId="0" borderId="0" xfId="0" applyNumberFormat="1" applyFont="1" applyBorder="1"/>
    <xf numFmtId="2" fontId="2" fillId="0" borderId="2" xfId="0" applyNumberFormat="1" applyFont="1" applyBorder="1" applyAlignment="1">
      <alignment horizontal="left"/>
    </xf>
    <xf numFmtId="0" fontId="0" fillId="0" borderId="0" xfId="0" applyNumberFormat="1"/>
    <xf numFmtId="0" fontId="0" fillId="0" borderId="0" xfId="0" applyFont="1" applyFill="1"/>
    <xf numFmtId="0" fontId="0" fillId="0" borderId="0" xfId="0" applyFont="1" applyFill="1" applyAlignment="1">
      <alignment wrapText="1"/>
    </xf>
    <xf numFmtId="1" fontId="0" fillId="0" borderId="0" xfId="0" applyNumberFormat="1" applyFont="1" applyFill="1"/>
    <xf numFmtId="2" fontId="6" fillId="0" borderId="0" xfId="0" applyNumberFormat="1" applyFont="1" applyFill="1"/>
    <xf numFmtId="2" fontId="0" fillId="0" borderId="0" xfId="0" applyNumberFormat="1" applyFont="1" applyFill="1"/>
    <xf numFmtId="0" fontId="0" fillId="4" borderId="0" xfId="0" applyFill="1" applyAlignment="1">
      <alignment horizontal="center"/>
    </xf>
    <xf numFmtId="0" fontId="0" fillId="4" borderId="0" xfId="0" applyFont="1" applyFill="1" applyAlignment="1">
      <alignment horizontal="right"/>
    </xf>
    <xf numFmtId="0" fontId="0" fillId="4" borderId="0" xfId="0" applyNumberFormat="1" applyFont="1" applyFill="1"/>
    <xf numFmtId="0" fontId="0" fillId="4" borderId="0" xfId="0" applyFont="1" applyFill="1"/>
    <xf numFmtId="0" fontId="0" fillId="0" borderId="5" xfId="0" applyBorder="1" applyAlignment="1">
      <alignment horizontal="right"/>
    </xf>
    <xf numFmtId="58" fontId="0" fillId="5" borderId="5" xfId="0" applyNumberFormat="1" applyFill="1" applyBorder="1" applyAlignment="1">
      <alignment horizontal="center"/>
    </xf>
    <xf numFmtId="1" fontId="6" fillId="0" borderId="0" xfId="0" applyNumberFormat="1" applyFont="1" applyFill="1" applyBorder="1" applyAlignment="1">
      <alignment horizontal="left"/>
    </xf>
    <xf numFmtId="0" fontId="6" fillId="0" borderId="0" xfId="0" applyFont="1"/>
    <xf numFmtId="0" fontId="0" fillId="0" borderId="0" xfId="0" applyFont="1" applyFill="1" applyAlignment="1">
      <alignment horizontal="center"/>
    </xf>
    <xf numFmtId="0" fontId="0" fillId="0" borderId="0" xfId="0" applyAlignment="1">
      <alignment horizontal="right"/>
    </xf>
    <xf numFmtId="187" fontId="0" fillId="0" borderId="0" xfId="0" applyNumberFormat="1" applyFont="1" applyBorder="1" applyAlignment="1">
      <alignment horizontal="left"/>
    </xf>
    <xf numFmtId="2" fontId="6" fillId="0" borderId="0" xfId="0" applyNumberFormat="1" applyFont="1" applyFill="1" applyBorder="1" applyAlignment="1">
      <alignment horizontal="left"/>
    </xf>
    <xf numFmtId="0" fontId="0" fillId="0" borderId="0" xfId="0" applyBorder="1"/>
    <xf numFmtId="0" fontId="0" fillId="0" borderId="0" xfId="0" applyFont="1" applyAlignment="1">
      <alignment horizontal="center"/>
    </xf>
    <xf numFmtId="0" fontId="1" fillId="0" borderId="0" xfId="0" applyFont="1" applyFill="1" applyBorder="1"/>
    <xf numFmtId="0" fontId="0" fillId="0" borderId="5" xfId="0" applyFont="1" applyBorder="1" applyAlignment="1">
      <alignment horizontal="left"/>
    </xf>
    <xf numFmtId="187" fontId="0" fillId="0" borderId="5" xfId="0" applyNumberFormat="1" applyFont="1" applyFill="1" applyBorder="1" applyAlignment="1">
      <alignment horizontal="left"/>
    </xf>
    <xf numFmtId="2" fontId="0" fillId="0" borderId="5" xfId="0" applyNumberFormat="1" applyFont="1" applyFill="1" applyBorder="1" applyAlignment="1">
      <alignment horizontal="left"/>
    </xf>
    <xf numFmtId="0" fontId="0" fillId="0" borderId="5" xfId="0" applyFont="1" applyFill="1" applyBorder="1" applyAlignment="1">
      <alignment horizontal="left"/>
    </xf>
    <xf numFmtId="0" fontId="0" fillId="0" borderId="0" xfId="0" applyFont="1" applyFill="1" applyBorder="1" applyAlignment="1">
      <alignment horizontal="left"/>
    </xf>
    <xf numFmtId="188" fontId="0" fillId="0" borderId="5" xfId="0" applyNumberFormat="1" applyFont="1" applyFill="1" applyBorder="1" applyAlignment="1">
      <alignment horizontal="left"/>
    </xf>
    <xf numFmtId="188" fontId="0" fillId="0" borderId="0" xfId="0" applyNumberFormat="1" applyFont="1" applyFill="1" applyBorder="1" applyAlignment="1">
      <alignment horizontal="left"/>
    </xf>
    <xf numFmtId="0" fontId="0" fillId="0" borderId="5" xfId="0" applyFill="1" applyBorder="1" applyAlignment="1">
      <alignment horizontal="left"/>
    </xf>
    <xf numFmtId="0" fontId="0" fillId="0" borderId="0" xfId="0" applyFill="1" applyBorder="1" applyAlignment="1">
      <alignment horizontal="left"/>
    </xf>
    <xf numFmtId="0" fontId="0" fillId="0" borderId="5" xfId="0" applyFont="1" applyBorder="1" applyAlignment="1">
      <alignment horizontal="left" wrapText="1"/>
    </xf>
    <xf numFmtId="187" fontId="7" fillId="0" borderId="5" xfId="7" applyNumberFormat="1" applyFill="1" applyBorder="1" applyAlignment="1">
      <alignment horizontal="left" wrapText="1"/>
    </xf>
    <xf numFmtId="0" fontId="0" fillId="0" borderId="0" xfId="0" applyFill="1" applyBorder="1" applyAlignment="1">
      <alignment horizontal="left" wrapText="1"/>
    </xf>
    <xf numFmtId="187" fontId="0" fillId="0" borderId="5" xfId="0" applyNumberFormat="1" applyFont="1" applyFill="1" applyBorder="1" applyAlignment="1">
      <alignment horizontal="left" wrapText="1"/>
    </xf>
    <xf numFmtId="0" fontId="0" fillId="0" borderId="5" xfId="0" applyFont="1" applyFill="1" applyBorder="1" applyAlignment="1">
      <alignment horizontal="left" wrapText="1"/>
    </xf>
    <xf numFmtId="0" fontId="0" fillId="0" borderId="0" xfId="0" applyFont="1" applyFill="1" applyBorder="1" applyAlignment="1">
      <alignment horizontal="left" wrapText="1"/>
    </xf>
    <xf numFmtId="1" fontId="0" fillId="0" borderId="5" xfId="0" applyNumberFormat="1" applyFont="1" applyFill="1" applyBorder="1" applyAlignment="1">
      <alignment horizontal="left"/>
    </xf>
    <xf numFmtId="1" fontId="0" fillId="6" borderId="5" xfId="0" applyNumberFormat="1" applyFont="1" applyFill="1" applyBorder="1" applyAlignment="1">
      <alignment horizontal="left" wrapText="1"/>
    </xf>
    <xf numFmtId="1" fontId="0" fillId="0" borderId="0" xfId="0" applyNumberFormat="1" applyFont="1" applyFill="1" applyBorder="1" applyAlignment="1">
      <alignment horizontal="left"/>
    </xf>
    <xf numFmtId="1" fontId="0" fillId="6" borderId="5" xfId="0" applyNumberFormat="1" applyFont="1" applyFill="1" applyBorder="1" applyAlignment="1">
      <alignment horizontal="left"/>
    </xf>
    <xf numFmtId="0" fontId="0" fillId="0" borderId="0" xfId="0" applyBorder="1" applyAlignment="1">
      <alignment horizontal="right"/>
    </xf>
    <xf numFmtId="180" fontId="0" fillId="0" borderId="0" xfId="0" applyNumberFormat="1" applyFont="1" applyFill="1"/>
    <xf numFmtId="0" fontId="0" fillId="0" borderId="0" xfId="0" applyFill="1"/>
    <xf numFmtId="58" fontId="6" fillId="5" borderId="6" xfId="0" applyNumberFormat="1" applyFont="1" applyFill="1" applyBorder="1" applyAlignment="1">
      <alignment horizontal="center"/>
    </xf>
    <xf numFmtId="58" fontId="6" fillId="5" borderId="3" xfId="0" applyNumberFormat="1" applyFont="1" applyFill="1" applyBorder="1" applyAlignment="1">
      <alignment horizontal="center"/>
    </xf>
    <xf numFmtId="58" fontId="6" fillId="5" borderId="4" xfId="0" applyNumberFormat="1" applyFont="1" applyFill="1" applyBorder="1" applyAlignment="1">
      <alignment horizontal="center"/>
    </xf>
    <xf numFmtId="58" fontId="6" fillId="5" borderId="1" xfId="0" applyNumberFormat="1" applyFont="1" applyFill="1" applyBorder="1" applyAlignment="1">
      <alignment horizontal="center"/>
    </xf>
    <xf numFmtId="0" fontId="6" fillId="4" borderId="5" xfId="0" applyFont="1" applyFill="1" applyBorder="1" applyAlignment="1">
      <alignment horizontal="center" wrapText="1"/>
    </xf>
    <xf numFmtId="0" fontId="6" fillId="7" borderId="7" xfId="0" applyFont="1" applyFill="1" applyBorder="1" applyAlignment="1">
      <alignment horizontal="center" wrapText="1"/>
    </xf>
    <xf numFmtId="0" fontId="6" fillId="7" borderId="8" xfId="0" applyFont="1" applyFill="1" applyBorder="1" applyAlignment="1">
      <alignment horizontal="center" wrapText="1"/>
    </xf>
    <xf numFmtId="0" fontId="6" fillId="8" borderId="9" xfId="0" applyFont="1" applyFill="1" applyBorder="1" applyAlignment="1">
      <alignment horizontal="center" wrapText="1"/>
    </xf>
    <xf numFmtId="187" fontId="6" fillId="7" borderId="10" xfId="2" applyNumberFormat="1" applyFont="1" applyFill="1" applyBorder="1"/>
    <xf numFmtId="187" fontId="6" fillId="7" borderId="5" xfId="2" applyNumberFormat="1" applyFont="1" applyFill="1" applyBorder="1"/>
    <xf numFmtId="187" fontId="6" fillId="8" borderId="11" xfId="2" applyNumberFormat="1" applyFont="1" applyFill="1" applyBorder="1"/>
    <xf numFmtId="2" fontId="6" fillId="4" borderId="5" xfId="0" applyNumberFormat="1" applyFont="1" applyFill="1" applyBorder="1" applyAlignment="1">
      <alignment horizontal="center"/>
    </xf>
    <xf numFmtId="58" fontId="0" fillId="5" borderId="6" xfId="0" applyNumberFormat="1" applyFill="1" applyBorder="1" applyAlignment="1">
      <alignment horizontal="center"/>
    </xf>
    <xf numFmtId="185" fontId="0" fillId="0" borderId="7" xfId="0" applyNumberFormat="1" applyFont="1" applyFill="1" applyBorder="1"/>
    <xf numFmtId="185" fontId="0" fillId="0" borderId="8" xfId="0" applyNumberFormat="1" applyFont="1" applyFill="1" applyBorder="1"/>
    <xf numFmtId="185" fontId="0" fillId="0" borderId="12" xfId="0" applyNumberFormat="1" applyFont="1" applyFill="1" applyBorder="1"/>
    <xf numFmtId="185" fontId="0" fillId="0" borderId="10" xfId="0" applyNumberFormat="1" applyFont="1" applyFill="1" applyBorder="1"/>
    <xf numFmtId="2" fontId="0" fillId="0" borderId="5" xfId="0" applyNumberFormat="1" applyFont="1" applyFill="1" applyBorder="1"/>
    <xf numFmtId="2" fontId="0" fillId="0" borderId="5" xfId="2" applyNumberFormat="1" applyFont="1" applyFill="1" applyBorder="1" applyAlignment="1">
      <alignment horizontal="right"/>
    </xf>
    <xf numFmtId="185" fontId="0" fillId="0" borderId="5" xfId="0" applyNumberFormat="1" applyFont="1" applyFill="1" applyBorder="1"/>
    <xf numFmtId="58" fontId="0" fillId="5" borderId="6" xfId="0" applyNumberFormat="1" applyFont="1" applyFill="1" applyBorder="1" applyAlignment="1">
      <alignment horizontal="center"/>
    </xf>
    <xf numFmtId="185" fontId="0" fillId="9" borderId="10" xfId="0" applyNumberFormat="1" applyFont="1" applyFill="1" applyBorder="1"/>
    <xf numFmtId="2" fontId="0" fillId="9" borderId="5" xfId="0" applyNumberFormat="1" applyFont="1" applyFill="1" applyBorder="1"/>
    <xf numFmtId="2" fontId="0" fillId="4" borderId="5" xfId="0" applyNumberFormat="1" applyFill="1" applyBorder="1" applyAlignment="1">
      <alignment horizontal="center"/>
    </xf>
    <xf numFmtId="185" fontId="0" fillId="9" borderId="5" xfId="0" applyNumberFormat="1" applyFont="1" applyFill="1" applyBorder="1"/>
    <xf numFmtId="2" fontId="0" fillId="4" borderId="0" xfId="0" applyNumberFormat="1" applyFill="1" applyBorder="1" applyAlignment="1">
      <alignment horizontal="center"/>
    </xf>
    <xf numFmtId="58" fontId="6" fillId="5" borderId="6" xfId="0" applyNumberFormat="1" applyFont="1" applyFill="1" applyBorder="1" applyAlignment="1">
      <alignment horizontal="left"/>
    </xf>
    <xf numFmtId="187" fontId="6" fillId="8" borderId="12" xfId="2" applyNumberFormat="1" applyFont="1" applyFill="1" applyBorder="1"/>
    <xf numFmtId="10" fontId="0" fillId="7" borderId="10" xfId="6" applyNumberFormat="1" applyFont="1" applyFill="1" applyBorder="1"/>
    <xf numFmtId="190" fontId="6" fillId="10" borderId="0" xfId="6" applyNumberFormat="1" applyFont="1" applyFill="1" applyBorder="1"/>
    <xf numFmtId="10" fontId="0" fillId="8" borderId="12" xfId="6" applyNumberFormat="1" applyFont="1" applyFill="1" applyBorder="1"/>
    <xf numFmtId="10" fontId="0" fillId="7" borderId="5" xfId="6" applyNumberFormat="1" applyFont="1" applyFill="1" applyBorder="1"/>
    <xf numFmtId="191" fontId="0" fillId="7" borderId="10" xfId="6" applyNumberFormat="1" applyFont="1" applyFill="1" applyBorder="1"/>
    <xf numFmtId="187" fontId="6" fillId="10" borderId="5" xfId="2" applyNumberFormat="1" applyFont="1" applyFill="1" applyBorder="1"/>
    <xf numFmtId="191" fontId="0" fillId="8" borderId="12" xfId="6" applyNumberFormat="1" applyFont="1" applyFill="1" applyBorder="1"/>
    <xf numFmtId="191" fontId="0" fillId="7" borderId="5" xfId="6" applyNumberFormat="1" applyFont="1" applyFill="1" applyBorder="1"/>
    <xf numFmtId="187" fontId="6" fillId="7" borderId="13" xfId="2" applyNumberFormat="1" applyFont="1" applyFill="1" applyBorder="1"/>
    <xf numFmtId="187" fontId="6" fillId="7" borderId="14" xfId="2" applyNumberFormat="1" applyFont="1" applyFill="1" applyBorder="1"/>
    <xf numFmtId="187" fontId="6" fillId="8" borderId="15" xfId="2" applyNumberFormat="1" applyFont="1" applyFill="1" applyBorder="1"/>
    <xf numFmtId="192" fontId="0" fillId="0" borderId="0" xfId="0" applyNumberFormat="1" applyFont="1" applyFill="1"/>
    <xf numFmtId="185" fontId="0" fillId="0" borderId="0" xfId="0" applyNumberFormat="1" applyFont="1" applyFill="1"/>
    <xf numFmtId="193" fontId="0" fillId="0" borderId="0" xfId="0" applyNumberFormat="1" applyFont="1" applyFill="1"/>
    <xf numFmtId="1" fontId="6" fillId="0" borderId="0" xfId="0" applyNumberFormat="1" applyFont="1" applyFill="1" applyBorder="1"/>
    <xf numFmtId="185" fontId="6" fillId="0" borderId="0" xfId="0" applyNumberFormat="1" applyFont="1" applyFill="1"/>
    <xf numFmtId="0" fontId="0" fillId="5" borderId="16" xfId="0" applyFont="1" applyFill="1" applyBorder="1" applyAlignment="1">
      <alignment wrapText="1"/>
    </xf>
    <xf numFmtId="0" fontId="0" fillId="5" borderId="17" xfId="0" applyFont="1" applyFill="1" applyBorder="1" applyAlignment="1">
      <alignment wrapText="1"/>
    </xf>
    <xf numFmtId="0" fontId="0" fillId="5" borderId="18" xfId="0" applyFont="1" applyFill="1" applyBorder="1" applyAlignment="1">
      <alignment wrapText="1"/>
    </xf>
    <xf numFmtId="193" fontId="0" fillId="5" borderId="16" xfId="0" applyNumberFormat="1" applyFont="1" applyFill="1" applyBorder="1" applyAlignment="1">
      <alignment wrapText="1"/>
    </xf>
    <xf numFmtId="193" fontId="0" fillId="5" borderId="17" xfId="0" applyNumberFormat="1" applyFont="1" applyFill="1" applyBorder="1" applyAlignment="1">
      <alignment wrapText="1"/>
    </xf>
    <xf numFmtId="0" fontId="0" fillId="5" borderId="17" xfId="0" applyFont="1" applyFill="1" applyBorder="1" applyAlignment="1">
      <alignment horizontal="center" wrapText="1"/>
    </xf>
    <xf numFmtId="0" fontId="0" fillId="5" borderId="10" xfId="0" applyFill="1" applyBorder="1" applyAlignment="1">
      <alignment wrapText="1"/>
    </xf>
    <xf numFmtId="0" fontId="0" fillId="5" borderId="5" xfId="0" applyFont="1" applyFill="1" applyBorder="1" applyAlignment="1">
      <alignment wrapText="1"/>
    </xf>
    <xf numFmtId="0" fontId="0" fillId="5" borderId="12" xfId="0" applyFont="1" applyFill="1" applyBorder="1" applyAlignment="1">
      <alignment wrapText="1"/>
    </xf>
    <xf numFmtId="193" fontId="0" fillId="5" borderId="10" xfId="0" applyNumberFormat="1" applyFont="1" applyFill="1" applyBorder="1" applyAlignment="1">
      <alignment wrapText="1"/>
    </xf>
    <xf numFmtId="193" fontId="0" fillId="5" borderId="5" xfId="0" applyNumberFormat="1" applyFont="1" applyFill="1" applyBorder="1" applyAlignment="1">
      <alignment wrapText="1"/>
    </xf>
    <xf numFmtId="0" fontId="0" fillId="5" borderId="5" xfId="0" applyFont="1" applyFill="1" applyBorder="1" applyAlignment="1">
      <alignment horizontal="center" wrapText="1"/>
    </xf>
    <xf numFmtId="0" fontId="0" fillId="5" borderId="10" xfId="0" applyFill="1" applyBorder="1"/>
    <xf numFmtId="0" fontId="0" fillId="5" borderId="13" xfId="0" applyFill="1" applyBorder="1"/>
    <xf numFmtId="0" fontId="0" fillId="5" borderId="14" xfId="0" applyFont="1" applyFill="1" applyBorder="1"/>
    <xf numFmtId="0" fontId="0" fillId="5" borderId="15" xfId="0" applyFont="1" applyFill="1" applyBorder="1"/>
    <xf numFmtId="193" fontId="0" fillId="5" borderId="13" xfId="0" applyNumberFormat="1" applyFont="1" applyFill="1" applyBorder="1"/>
    <xf numFmtId="193" fontId="0" fillId="5" borderId="14" xfId="0" applyNumberFormat="1" applyFont="1" applyFill="1" applyBorder="1"/>
    <xf numFmtId="0" fontId="0" fillId="5" borderId="14" xfId="0" applyFont="1" applyFill="1" applyBorder="1" applyAlignment="1">
      <alignment horizontal="center"/>
    </xf>
    <xf numFmtId="0" fontId="0" fillId="0" borderId="0" xfId="0" applyFill="1" applyAlignment="1">
      <alignment horizontal="center"/>
    </xf>
    <xf numFmtId="0" fontId="0" fillId="0" borderId="0" xfId="0" applyAlignment="1">
      <alignment horizontal="center"/>
    </xf>
    <xf numFmtId="2" fontId="0" fillId="0" borderId="0" xfId="0" applyNumberFormat="1" applyAlignment="1">
      <alignment horizontal="left"/>
    </xf>
    <xf numFmtId="2" fontId="0" fillId="6" borderId="5" xfId="0" applyNumberFormat="1" applyFont="1" applyFill="1" applyBorder="1" applyAlignment="1">
      <alignment horizontal="left"/>
    </xf>
    <xf numFmtId="0" fontId="0" fillId="6" borderId="5" xfId="0" applyFont="1" applyFill="1" applyBorder="1" applyAlignment="1">
      <alignment horizontal="left"/>
    </xf>
    <xf numFmtId="194" fontId="0" fillId="0" borderId="5" xfId="2" applyNumberFormat="1" applyFont="1" applyFill="1" applyBorder="1" applyAlignment="1">
      <alignment horizontal="left"/>
    </xf>
    <xf numFmtId="2" fontId="0" fillId="0" borderId="5" xfId="0" applyNumberFormat="1" applyFill="1" applyBorder="1" applyAlignment="1">
      <alignment horizontal="left" wrapText="1"/>
    </xf>
    <xf numFmtId="1" fontId="0" fillId="6" borderId="0" xfId="0" applyNumberFormat="1" applyFont="1" applyFill="1" applyBorder="1" applyAlignment="1">
      <alignment horizontal="left"/>
    </xf>
    <xf numFmtId="0" fontId="0" fillId="0" borderId="0" xfId="0" applyAlignment="1">
      <alignment horizontal="left"/>
    </xf>
    <xf numFmtId="0" fontId="6" fillId="8" borderId="8" xfId="0" applyFont="1" applyFill="1" applyBorder="1" applyAlignment="1">
      <alignment horizontal="center" wrapText="1"/>
    </xf>
    <xf numFmtId="0" fontId="6" fillId="7" borderId="19" xfId="0" applyFont="1" applyFill="1" applyBorder="1" applyAlignment="1">
      <alignment horizontal="center" wrapText="1"/>
    </xf>
    <xf numFmtId="187" fontId="6" fillId="8" borderId="5" xfId="2" applyNumberFormat="1" applyFont="1" applyFill="1" applyBorder="1"/>
    <xf numFmtId="185" fontId="0" fillId="0" borderId="5" xfId="2" applyNumberFormat="1" applyFont="1" applyFill="1" applyBorder="1" applyAlignment="1">
      <alignment horizontal="right"/>
    </xf>
    <xf numFmtId="10" fontId="0" fillId="8" borderId="5" xfId="6" applyNumberFormat="1" applyFont="1" applyFill="1" applyBorder="1"/>
    <xf numFmtId="191" fontId="0" fillId="8" borderId="5" xfId="6" applyNumberFormat="1" applyFont="1" applyFill="1" applyBorder="1"/>
    <xf numFmtId="187" fontId="6" fillId="8" borderId="14" xfId="2" applyNumberFormat="1" applyFont="1" applyFill="1" applyBorder="1"/>
    <xf numFmtId="185" fontId="0" fillId="0" borderId="0" xfId="0" applyNumberFormat="1" applyFont="1" applyFill="1" applyBorder="1"/>
    <xf numFmtId="193" fontId="0" fillId="5" borderId="20" xfId="0" applyNumberFormat="1" applyFont="1" applyFill="1" applyBorder="1" applyAlignment="1">
      <alignment wrapText="1"/>
    </xf>
    <xf numFmtId="193" fontId="0" fillId="5" borderId="6" xfId="0" applyNumberFormat="1" applyFont="1" applyFill="1" applyBorder="1" applyAlignment="1">
      <alignment wrapText="1"/>
    </xf>
    <xf numFmtId="0" fontId="0" fillId="5" borderId="21" xfId="0" applyFont="1" applyFill="1" applyBorder="1" applyAlignment="1">
      <alignment horizontal="center" wrapText="1"/>
    </xf>
    <xf numFmtId="0" fontId="0" fillId="5" borderId="22" xfId="0" applyFont="1" applyFill="1" applyBorder="1" applyAlignment="1">
      <alignment horizontal="center"/>
    </xf>
    <xf numFmtId="177" fontId="0" fillId="0" borderId="0" xfId="2" applyNumberFormat="1" applyFont="1"/>
    <xf numFmtId="0" fontId="6" fillId="0" borderId="0" xfId="0" applyFont="1" applyAlignment="1">
      <alignment horizontal="center"/>
    </xf>
    <xf numFmtId="0" fontId="6" fillId="0" borderId="0" xfId="0" applyFont="1" applyFill="1" applyAlignment="1">
      <alignment horizontal="left"/>
    </xf>
    <xf numFmtId="0" fontId="6" fillId="0" borderId="0" xfId="0" applyFont="1" applyFill="1"/>
    <xf numFmtId="0" fontId="0" fillId="0" borderId="0" xfId="0" applyFill="1" applyAlignment="1">
      <alignment horizontal="right"/>
    </xf>
    <xf numFmtId="0" fontId="6" fillId="0" borderId="0" xfId="0" applyFont="1" applyFill="1" applyAlignment="1">
      <alignment horizontal="left" wrapText="1"/>
    </xf>
    <xf numFmtId="0" fontId="0" fillId="0" borderId="0" xfId="0" applyFont="1" applyFill="1" applyAlignment="1">
      <alignment horizontal="right"/>
    </xf>
    <xf numFmtId="0" fontId="0" fillId="6" borderId="5" xfId="0" applyFont="1" applyFill="1" applyBorder="1" applyAlignment="1">
      <alignment horizontal="left" wrapText="1"/>
    </xf>
    <xf numFmtId="0" fontId="2" fillId="0" borderId="5" xfId="0" applyFont="1" applyFill="1" applyBorder="1" applyAlignment="1">
      <alignment horizontal="left" wrapText="1"/>
    </xf>
    <xf numFmtId="188" fontId="0" fillId="6" borderId="5" xfId="0" applyNumberFormat="1" applyFont="1" applyFill="1" applyBorder="1" applyAlignment="1">
      <alignment horizontal="left"/>
    </xf>
    <xf numFmtId="188" fontId="2" fillId="0" borderId="5" xfId="0" applyNumberFormat="1" applyFont="1" applyFill="1" applyBorder="1" applyAlignment="1">
      <alignment horizontal="left"/>
    </xf>
    <xf numFmtId="2" fontId="7" fillId="0" borderId="5" xfId="7" applyNumberFormat="1" applyFill="1" applyBorder="1" applyAlignment="1">
      <alignment horizontal="left" wrapText="1"/>
    </xf>
    <xf numFmtId="0" fontId="0" fillId="0" borderId="5" xfId="0" applyFill="1" applyBorder="1" applyAlignment="1">
      <alignment horizontal="left" wrapText="1"/>
    </xf>
    <xf numFmtId="1" fontId="0" fillId="0" borderId="5" xfId="0" applyNumberFormat="1" applyFont="1" applyFill="1" applyBorder="1" applyAlignment="1">
      <alignment horizontal="left" wrapText="1"/>
    </xf>
    <xf numFmtId="58" fontId="6" fillId="5" borderId="23" xfId="0" applyNumberFormat="1" applyFont="1" applyFill="1" applyBorder="1" applyAlignment="1"/>
    <xf numFmtId="0" fontId="6" fillId="8" borderId="19" xfId="0" applyFont="1" applyFill="1" applyBorder="1" applyAlignment="1">
      <alignment horizontal="center" wrapText="1"/>
    </xf>
    <xf numFmtId="0" fontId="6" fillId="7" borderId="24" xfId="0" applyFont="1" applyFill="1" applyBorder="1" applyAlignment="1">
      <alignment horizontal="center" wrapText="1"/>
    </xf>
    <xf numFmtId="0" fontId="6" fillId="7" borderId="25" xfId="0" applyFont="1" applyFill="1" applyBorder="1" applyAlignment="1">
      <alignment horizontal="center" wrapText="1"/>
    </xf>
    <xf numFmtId="187" fontId="6" fillId="7" borderId="12" xfId="2" applyNumberFormat="1" applyFont="1" applyFill="1" applyBorder="1"/>
    <xf numFmtId="187" fontId="6" fillId="7" borderId="26" xfId="2" applyNumberFormat="1" applyFont="1" applyFill="1" applyBorder="1"/>
    <xf numFmtId="191" fontId="0" fillId="0" borderId="5" xfId="0" applyNumberFormat="1" applyFont="1" applyFill="1" applyBorder="1"/>
    <xf numFmtId="189" fontId="0" fillId="0" borderId="5" xfId="0" applyNumberFormat="1" applyFont="1" applyFill="1" applyBorder="1"/>
    <xf numFmtId="2" fontId="0" fillId="0" borderId="12" xfId="0" applyNumberFormat="1" applyFont="1" applyFill="1" applyBorder="1" applyAlignment="1">
      <alignment horizontal="center"/>
    </xf>
    <xf numFmtId="185" fontId="0" fillId="0" borderId="26" xfId="0" applyNumberFormat="1" applyFont="1" applyFill="1" applyBorder="1"/>
    <xf numFmtId="39" fontId="0" fillId="0" borderId="5" xfId="0" applyNumberFormat="1" applyFont="1" applyFill="1" applyBorder="1"/>
    <xf numFmtId="10" fontId="0" fillId="7" borderId="12" xfId="6" applyNumberFormat="1" applyFont="1" applyFill="1" applyBorder="1"/>
    <xf numFmtId="10" fontId="0" fillId="7" borderId="26" xfId="6" applyNumberFormat="1" applyFont="1" applyFill="1" applyBorder="1"/>
    <xf numFmtId="191" fontId="0" fillId="7" borderId="12" xfId="6" applyNumberFormat="1" applyFont="1" applyFill="1" applyBorder="1"/>
    <xf numFmtId="191" fontId="0" fillId="7" borderId="26" xfId="6" applyNumberFormat="1" applyFont="1" applyFill="1" applyBorder="1"/>
    <xf numFmtId="187" fontId="6" fillId="7" borderId="15" xfId="2" applyNumberFormat="1" applyFont="1" applyFill="1" applyBorder="1"/>
    <xf numFmtId="187" fontId="6" fillId="7" borderId="27" xfId="2" applyNumberFormat="1" applyFont="1" applyFill="1" applyBorder="1"/>
    <xf numFmtId="1" fontId="0" fillId="0" borderId="0" xfId="0" applyNumberFormat="1" applyFont="1" applyFill="1" applyBorder="1"/>
    <xf numFmtId="0" fontId="0" fillId="5" borderId="18" xfId="0" applyFont="1" applyFill="1" applyBorder="1"/>
    <xf numFmtId="0" fontId="0" fillId="5" borderId="28" xfId="0" applyFont="1" applyFill="1" applyBorder="1" applyAlignment="1">
      <alignment wrapText="1"/>
    </xf>
    <xf numFmtId="0" fontId="0" fillId="5" borderId="12" xfId="0" applyFont="1" applyFill="1" applyBorder="1"/>
    <xf numFmtId="0" fontId="0" fillId="5" borderId="21" xfId="0" applyFont="1" applyFill="1" applyBorder="1" applyAlignment="1">
      <alignment wrapText="1"/>
    </xf>
    <xf numFmtId="0" fontId="0" fillId="5" borderId="22" xfId="0" applyFont="1" applyFill="1" applyBorder="1"/>
    <xf numFmtId="189" fontId="0" fillId="0" borderId="0" xfId="0" applyNumberFormat="1"/>
    <xf numFmtId="0" fontId="8" fillId="0" borderId="0" xfId="0" applyFont="1"/>
    <xf numFmtId="0" fontId="9" fillId="0" borderId="0" xfId="0" applyFont="1" applyFill="1"/>
    <xf numFmtId="0" fontId="1" fillId="0" borderId="0" xfId="0" applyFont="1" applyFill="1"/>
    <xf numFmtId="0" fontId="0" fillId="0" borderId="0" xfId="0" applyFont="1" applyFill="1" applyBorder="1"/>
    <xf numFmtId="195" fontId="6" fillId="0" borderId="0" xfId="2" applyNumberFormat="1" applyFont="1" applyBorder="1"/>
    <xf numFmtId="0" fontId="1" fillId="0" borderId="0" xfId="0" applyFont="1" applyFill="1" applyAlignment="1">
      <alignment horizontal="center"/>
    </xf>
    <xf numFmtId="4" fontId="10" fillId="0" borderId="0" xfId="0" applyNumberFormat="1" applyFont="1" applyFill="1"/>
    <xf numFmtId="4" fontId="0" fillId="0" borderId="0" xfId="0" applyNumberFormat="1" applyFont="1" applyFill="1"/>
    <xf numFmtId="0" fontId="11" fillId="0" borderId="0" xfId="0" applyFont="1" applyFill="1" applyAlignment="1">
      <alignment horizontal="center"/>
    </xf>
    <xf numFmtId="0" fontId="1" fillId="0" borderId="0" xfId="0" applyFont="1" applyAlignment="1">
      <alignment horizontal="center"/>
    </xf>
    <xf numFmtId="0" fontId="6" fillId="0" borderId="0" xfId="0" applyFont="1" applyFill="1" applyAlignment="1">
      <alignment horizontal="center"/>
    </xf>
    <xf numFmtId="185" fontId="6" fillId="0" borderId="0" xfId="0" applyNumberFormat="1" applyFont="1" applyFill="1" applyAlignment="1">
      <alignment horizontal="center"/>
    </xf>
    <xf numFmtId="0" fontId="0" fillId="0" borderId="0" xfId="0" applyFill="1" applyAlignment="1">
      <alignment wrapText="1"/>
    </xf>
    <xf numFmtId="38" fontId="0" fillId="0" borderId="0" xfId="0" applyNumberFormat="1" applyFont="1" applyFill="1"/>
    <xf numFmtId="185" fontId="0" fillId="0" borderId="0" xfId="0" applyNumberFormat="1" applyFill="1"/>
    <xf numFmtId="186" fontId="0" fillId="0" borderId="0" xfId="2" applyNumberFormat="1" applyFont="1" applyFill="1"/>
    <xf numFmtId="187" fontId="0" fillId="0" borderId="0" xfId="0" applyNumberFormat="1" applyFont="1" applyFill="1"/>
    <xf numFmtId="187" fontId="0" fillId="0" borderId="0" xfId="0" applyNumberFormat="1"/>
    <xf numFmtId="189" fontId="0" fillId="0" borderId="0" xfId="0" applyNumberFormat="1" applyFont="1" applyFill="1"/>
    <xf numFmtId="182" fontId="0" fillId="0" borderId="0" xfId="0" applyNumberFormat="1" applyFont="1" applyFill="1"/>
    <xf numFmtId="185" fontId="0" fillId="0" borderId="0" xfId="0" applyNumberFormat="1" applyFont="1"/>
    <xf numFmtId="9" fontId="0" fillId="0" borderId="0" xfId="6" applyFont="1" applyFill="1"/>
    <xf numFmtId="0" fontId="9" fillId="11" borderId="0" xfId="0" applyFont="1" applyFill="1"/>
    <xf numFmtId="0" fontId="0" fillId="11" borderId="0" xfId="0" applyFill="1"/>
    <xf numFmtId="0" fontId="3" fillId="3" borderId="0" xfId="0" applyFont="1" applyFill="1" applyAlignment="1">
      <alignment horizontal="left" wrapText="1"/>
    </xf>
    <xf numFmtId="0" fontId="12" fillId="3" borderId="0" xfId="0" applyFont="1" applyFill="1" applyAlignment="1">
      <alignment horizontal="left" wrapText="1"/>
    </xf>
    <xf numFmtId="0" fontId="0" fillId="4" borderId="0" xfId="0" applyFill="1" applyAlignment="1">
      <alignment horizontal="left"/>
    </xf>
    <xf numFmtId="2" fontId="5" fillId="4" borderId="0" xfId="0" applyNumberFormat="1" applyFont="1" applyFill="1"/>
    <xf numFmtId="0" fontId="5" fillId="4" borderId="0" xfId="0" applyFont="1" applyFill="1"/>
    <xf numFmtId="0" fontId="0" fillId="4" borderId="0" xfId="0" applyFill="1"/>
    <xf numFmtId="176" fontId="6" fillId="11" borderId="0" xfId="0" applyNumberFormat="1" applyFont="1" applyFill="1" applyAlignment="1">
      <alignment horizontal="left"/>
    </xf>
    <xf numFmtId="196" fontId="13" fillId="11" borderId="0" xfId="0" applyNumberFormat="1" applyFont="1" applyFill="1" applyAlignment="1">
      <alignment horizontal="left"/>
    </xf>
    <xf numFmtId="2" fontId="6" fillId="11" borderId="0" xfId="0" applyNumberFormat="1" applyFont="1" applyFill="1" applyAlignment="1">
      <alignment horizontal="left"/>
    </xf>
    <xf numFmtId="1" fontId="14" fillId="11" borderId="0" xfId="0" applyNumberFormat="1" applyFont="1" applyFill="1" applyAlignment="1">
      <alignment horizontal="left"/>
    </xf>
    <xf numFmtId="0" fontId="6" fillId="11" borderId="0" xfId="0" applyFont="1" applyFill="1"/>
    <xf numFmtId="0" fontId="15" fillId="11" borderId="0" xfId="0" applyFont="1" applyFill="1"/>
    <xf numFmtId="176" fontId="16" fillId="11" borderId="0" xfId="0" applyNumberFormat="1" applyFont="1" applyFill="1" applyAlignment="1">
      <alignment horizontal="left" wrapText="1"/>
    </xf>
    <xf numFmtId="1" fontId="16" fillId="11" borderId="0" xfId="0" applyNumberFormat="1" applyFont="1" applyFill="1" applyAlignment="1">
      <alignment horizontal="right"/>
    </xf>
    <xf numFmtId="2" fontId="0" fillId="11" borderId="0" xfId="0" applyNumberFormat="1" applyFill="1"/>
    <xf numFmtId="2" fontId="0" fillId="11" borderId="0" xfId="0" applyNumberFormat="1" applyFont="1" applyFill="1" applyAlignment="1">
      <alignment horizontal="left"/>
    </xf>
    <xf numFmtId="0" fontId="6" fillId="11" borderId="0" xfId="0" applyFont="1" applyFill="1" applyAlignment="1">
      <alignment horizontal="left" vertical="top" wrapText="1"/>
    </xf>
    <xf numFmtId="178" fontId="5" fillId="4" borderId="0" xfId="2" applyFont="1" applyFill="1" applyAlignment="1">
      <alignment horizontal="left"/>
    </xf>
    <xf numFmtId="0" fontId="8" fillId="11" borderId="0" xfId="0" applyFont="1" applyFill="1"/>
    <xf numFmtId="178" fontId="5" fillId="4" borderId="0" xfId="2" applyFont="1" applyFill="1"/>
    <xf numFmtId="0" fontId="0" fillId="12" borderId="0" xfId="0" applyFont="1" applyFill="1"/>
    <xf numFmtId="0" fontId="7" fillId="0" borderId="0" xfId="7"/>
    <xf numFmtId="0" fontId="17" fillId="0" borderId="0" xfId="0" applyFont="1" applyAlignment="1">
      <alignment horizontal="left" vertical="center" indent="1"/>
    </xf>
    <xf numFmtId="0" fontId="6" fillId="5" borderId="5" xfId="0" applyFont="1" applyFill="1" applyBorder="1" applyAlignment="1">
      <alignment horizontal="center"/>
    </xf>
    <xf numFmtId="2" fontId="0" fillId="2" borderId="5" xfId="0" applyNumberFormat="1" applyFont="1" applyFill="1" applyBorder="1" applyAlignment="1">
      <alignment horizontal="center" wrapText="1"/>
    </xf>
    <xf numFmtId="0" fontId="0" fillId="2" borderId="5" xfId="0" applyFont="1" applyFill="1" applyBorder="1" applyAlignment="1">
      <alignment wrapText="1"/>
    </xf>
    <xf numFmtId="0" fontId="0" fillId="2" borderId="5" xfId="0" applyFont="1" applyFill="1" applyBorder="1"/>
    <xf numFmtId="185" fontId="0" fillId="0" borderId="5" xfId="0" applyNumberFormat="1" applyFont="1" applyFill="1" applyBorder="1" applyAlignment="1">
      <alignment horizontal="center"/>
    </xf>
    <xf numFmtId="185" fontId="0" fillId="2" borderId="5" xfId="0" applyNumberFormat="1" applyFont="1" applyFill="1" applyBorder="1" applyAlignment="1">
      <alignment horizontal="center"/>
    </xf>
    <xf numFmtId="0" fontId="1" fillId="0" borderId="0" xfId="0" applyFont="1" applyFill="1" applyAlignment="1">
      <alignment horizontal="left"/>
    </xf>
    <xf numFmtId="15" fontId="0" fillId="0" borderId="0" xfId="0" applyNumberFormat="1"/>
    <xf numFmtId="0" fontId="0" fillId="0" borderId="0" xfId="0" applyProtection="1">
      <protection locked="0"/>
    </xf>
    <xf numFmtId="0" fontId="0" fillId="0" borderId="0" xfId="0" applyNumberFormat="1" applyProtection="1">
      <protection locked="0"/>
    </xf>
    <xf numFmtId="197" fontId="0" fillId="0" borderId="0" xfId="0" applyNumberFormat="1"/>
    <xf numFmtId="20" fontId="0" fillId="0" borderId="0" xfId="0" applyNumberFormat="1"/>
    <xf numFmtId="0" fontId="5" fillId="0" borderId="0" xfId="0" applyNumberFormat="1" applyFont="1" applyFill="1" applyBorder="1" applyAlignment="1" applyProtection="1">
      <alignment horizontal="left"/>
      <protection locked="0"/>
    </xf>
    <xf numFmtId="0" fontId="5" fillId="0" borderId="0" xfId="0" applyFont="1"/>
    <xf numFmtId="0" fontId="5" fillId="0" borderId="0" xfId="0" applyFont="1" applyBorder="1"/>
    <xf numFmtId="0" fontId="0" fillId="13" borderId="0" xfId="0" applyFill="1"/>
    <xf numFmtId="0" fontId="0" fillId="0" borderId="29" xfId="0" applyBorder="1"/>
    <xf numFmtId="0" fontId="0" fillId="13" borderId="29" xfId="0" applyFill="1" applyBorder="1"/>
    <xf numFmtId="0" fontId="0" fillId="13" borderId="0" xfId="0" applyFill="1" applyBorder="1"/>
    <xf numFmtId="58" fontId="6" fillId="5" borderId="6" xfId="0" applyNumberFormat="1" applyFont="1" applyFill="1" applyBorder="1" applyAlignment="1" quotePrefix="1">
      <alignment horizontal="center"/>
    </xf>
    <xf numFmtId="58" fontId="6" fillId="5" borderId="6" xfId="0" applyNumberFormat="1" applyFont="1" applyFill="1" applyBorder="1" applyAlignment="1" quotePrefix="1">
      <alignment horizontal="left"/>
    </xf>
    <xf numFmtId="58" fontId="6" fillId="5" borderId="3" xfId="0" applyNumberFormat="1" applyFont="1" applyFill="1" applyBorder="1" applyAlignment="1" quotePrefix="1">
      <alignment horizontal="center"/>
    </xf>
    <xf numFmtId="0" fontId="0" fillId="0" borderId="0" xfId="0" applyFont="1" quotePrefix="1"/>
  </cellXfs>
  <cellStyles count="104">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Hyperlink" xfId="7" builtinId="8"/>
    <cellStyle name="Normal 7 2" xfId="8"/>
    <cellStyle name="60% - Accent4" xfId="9" builtinId="44"/>
    <cellStyle name="Followed Hyperlink" xfId="10" builtinId="9"/>
    <cellStyle name="Heading 2" xfId="11" builtinId="17"/>
    <cellStyle name="Normal 5 4" xfId="12"/>
    <cellStyle name="Check Cell" xfId="13" builtinId="23"/>
    <cellStyle name="Note" xfId="14" builtinId="10"/>
    <cellStyle name="40% - Accent3" xfId="15" builtinId="39"/>
    <cellStyle name="Warning Text" xfId="16" builtinId="11"/>
    <cellStyle name="Title" xfId="17" builtinId="15"/>
    <cellStyle name="Normal 6 3" xfId="18"/>
    <cellStyle name="40% - Accent2" xfId="19" builtinId="35"/>
    <cellStyle name="CExplanatory Text" xfId="20" builtinId="53"/>
    <cellStyle name="Heading 1" xfId="21" builtinId="16"/>
    <cellStyle name="Normal 5 3" xfId="22"/>
    <cellStyle name="Heading 3" xfId="23" builtinId="18"/>
    <cellStyle name="Heading 4" xfId="24" builtinId="19"/>
    <cellStyle name="Input" xfId="25" builtinId="20"/>
    <cellStyle name="60% - Accent3" xfId="26" builtinId="40"/>
    <cellStyle name="Good" xfId="27" builtinId="26"/>
    <cellStyle name="Output" xfId="28" builtinId="21"/>
    <cellStyle name="Comma 3 3" xfId="29"/>
    <cellStyle name="20% - Accent1" xfId="30" builtinId="30"/>
    <cellStyle name="Calculation" xfId="31" builtinId="22"/>
    <cellStyle name="Linked Cell" xfId="32" builtinId="24"/>
    <cellStyle name="Total" xfId="33" builtinId="25"/>
    <cellStyle name="Comma 6" xfId="34"/>
    <cellStyle name="Bad" xfId="35" builtinId="27"/>
    <cellStyle name="Comma 4 2" xfId="36"/>
    <cellStyle name="Neutral" xfId="37" builtinId="28"/>
    <cellStyle name="Accent1" xfId="38" builtinId="29"/>
    <cellStyle name="20% - Accent5" xfId="39" builtinId="46"/>
    <cellStyle name="60% - Accent1" xfId="40" builtinId="32"/>
    <cellStyle name="Accent2" xfId="41" builtinId="33"/>
    <cellStyle name="Comma 3 4" xfId="42"/>
    <cellStyle name="20% - Accent2" xfId="43" builtinId="34"/>
    <cellStyle name="20% - Accent6" xfId="44" builtinId="50"/>
    <cellStyle name="60% - Accent2" xfId="45" builtinId="36"/>
    <cellStyle name="Accent3" xfId="46" builtinId="37"/>
    <cellStyle name="20% - Accent3" xfId="47" builtinId="38"/>
    <cellStyle name="Accent4" xfId="48" builtinId="41"/>
    <cellStyle name="20% - Accent4" xfId="49" builtinId="42"/>
    <cellStyle name="40% - Accent4" xfId="50" builtinId="43"/>
    <cellStyle name="Accent5" xfId="51" builtinId="45"/>
    <cellStyle name="40% - Accent5" xfId="52" builtinId="47"/>
    <cellStyle name="60% - Accent5" xfId="53" builtinId="48"/>
    <cellStyle name="Accent6" xfId="54" builtinId="49"/>
    <cellStyle name="40% - Accent6" xfId="55" builtinId="51"/>
    <cellStyle name="60% - Accent6" xfId="56" builtinId="52"/>
    <cellStyle name="Center" xfId="57"/>
    <cellStyle name="Comma 2" xfId="58"/>
    <cellStyle name="Comma 3" xfId="59"/>
    <cellStyle name="Comma 3 2" xfId="60"/>
    <cellStyle name="Comma 4" xfId="61"/>
    <cellStyle name="Comma 4 3" xfId="62"/>
    <cellStyle name="Comma 4 4" xfId="63"/>
    <cellStyle name="Comma 5" xfId="64"/>
    <cellStyle name="Comma 5 2" xfId="65"/>
    <cellStyle name="Comma 5 3" xfId="66"/>
    <cellStyle name="Comma 5 4" xfId="67"/>
    <cellStyle name="Comma 6 2" xfId="68"/>
    <cellStyle name="Comma 6 3" xfId="69"/>
    <cellStyle name="Comma 6 4" xfId="70"/>
    <cellStyle name="Comma 7" xfId="71"/>
    <cellStyle name="Comma 7 2" xfId="72"/>
    <cellStyle name="Comma 7 3" xfId="73"/>
    <cellStyle name="Comma 8" xfId="74"/>
    <cellStyle name="Currency 2" xfId="75"/>
    <cellStyle name="Currency 3" xfId="76"/>
    <cellStyle name="Normal 10" xfId="77"/>
    <cellStyle name="Normal 2" xfId="78"/>
    <cellStyle name="Normal 2 2" xfId="79"/>
    <cellStyle name="Normal 2 3" xfId="80"/>
    <cellStyle name="Normal 2 4" xfId="81"/>
    <cellStyle name="Normal 2 5" xfId="82"/>
    <cellStyle name="Normal 2 6" xfId="83"/>
    <cellStyle name="Normal 2 7" xfId="84"/>
    <cellStyle name="Normal 3" xfId="85"/>
    <cellStyle name="Normal 3 2" xfId="86"/>
    <cellStyle name="Normal 4" xfId="87"/>
    <cellStyle name="Normal 5" xfId="88"/>
    <cellStyle name="Normal 5 2" xfId="89"/>
    <cellStyle name="Normal 6" xfId="90"/>
    <cellStyle name="Normal 6 2" xfId="91"/>
    <cellStyle name="Normal 6 4" xfId="92"/>
    <cellStyle name="Normal 7" xfId="93"/>
    <cellStyle name="Normal 7 3" xfId="94"/>
    <cellStyle name="Normal 7 4" xfId="95"/>
    <cellStyle name="Normal 8" xfId="96"/>
    <cellStyle name="Normal 8 2" xfId="97"/>
    <cellStyle name="Normal 8 3" xfId="98"/>
    <cellStyle name="Normal 8 4" xfId="99"/>
    <cellStyle name="Normal 9" xfId="100"/>
    <cellStyle name="Normal 9 2" xfId="101"/>
    <cellStyle name="Normal 9 3" xfId="102"/>
    <cellStyle name="Normal 9 4" xfId="103"/>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00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5" Type="http://schemas.microsoft.com/office/2006/relationships/vbaProject" Target="vbaProject.bin"/><Relationship Id="rId24" Type="http://schemas.openxmlformats.org/officeDocument/2006/relationships/sharedStrings" Target="sharedStrings.xml"/><Relationship Id="rId23" Type="http://schemas.openxmlformats.org/officeDocument/2006/relationships/styles" Target="styles.xml"/><Relationship Id="rId22" Type="http://schemas.openxmlformats.org/officeDocument/2006/relationships/theme" Target="theme/theme1.xml"/><Relationship Id="rId21" Type="http://schemas.openxmlformats.org/officeDocument/2006/relationships/externalLink" Target="externalLinks/externalLink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Label"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Label" val="0"/>
</file>

<file path=xl/ctrlProps/ctrlProp6.xml><?xml version="1.0" encoding="utf-8"?>
<formControlPr xmlns="http://schemas.microsoft.com/office/spreadsheetml/2009/9/main" objectType="Label" val="0"/>
</file>

<file path=xl/ctrlProps/ctrlProp7.xml><?xml version="1.0" encoding="utf-8"?>
<formControlPr xmlns="http://schemas.microsoft.com/office/spreadsheetml/2009/9/main" objectType="Label" val="0"/>
</file>

<file path=xl/ctrlProps/ctrlProp8.xml><?xml version="1.0" encoding="utf-8"?>
<formControlPr xmlns="http://schemas.microsoft.com/office/spreadsheetml/2009/9/main" objectType="Drop" dx="16" fmlaRange="DwayTagList!A1:A4583" max="4575" page="1" sel="1594" val="0"/>
</file>

<file path=xl/ctrlProps/ctrlProp9.xml><?xml version="1.0" encoding="utf-8"?>
<formControlPr xmlns="http://schemas.microsoft.com/office/spreadsheetml/2009/9/main" objectType="GBox" val="0"/>
</file>

<file path=xl/ctrlProps/ctrlProp10.xml><?xml version="1.0" encoding="utf-8"?>
<formControlPr xmlns="http://schemas.microsoft.com/office/spreadsheetml/2009/9/main" objectType="Radio" checked="Checked" firstButton="1" val="0"/>
</file>

<file path=xl/ctrlProps/ctrlProp11.xml><?xml version="1.0" encoding="utf-8"?>
<formControlPr xmlns="http://schemas.microsoft.com/office/spreadsheetml/2009/9/main" objectType="Radio" val="0"/>
</file>

<file path=xl/ctrlProps/ctrlProp12.xml><?xml version="1.0" encoding="utf-8"?>
<formControlPr xmlns="http://schemas.microsoft.com/office/spreadsheetml/2009/9/main" objectType="Drop" dx="16" fmlaRange="DwayTagList!C1:C4583" max="4575" page="1" sel="1594"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Drop" dx="16" fmlaLink="Scratch!$A$1" fmlaRange="Scratch!$A$2:$A$4" page="3" sel="2" val="0"/>
</file>

<file path=xl/ctrlProps/ctrlProp15.xml><?xml version="1.0" encoding="utf-8"?>
<formControlPr xmlns="http://schemas.microsoft.com/office/spreadsheetml/2009/9/main" objectType="Drop" dropLines="12" dx="16" fmlaLink="Scratch!$B$1" fmlaRange="Scratch!$B$3:$B$5931" max="5917" page="12" sel="32" val="11"/>
</file>

<file path=xl/ctrlProps/ctrlProp16.xml><?xml version="1.0" encoding="utf-8"?>
<formControlPr xmlns="http://schemas.microsoft.com/office/spreadsheetml/2009/9/main" objectType="Drop" dropLines="12" dx="16" fmlaLink="Scratch!$C$1" fmlaRange="Scratch!$C$3:$C$51" max="37" page="12" sel="2" val="0"/>
</file>

<file path=xl/ctrlProps/ctrlProp17.xml><?xml version="1.0" encoding="utf-8"?>
<formControlPr xmlns="http://schemas.microsoft.com/office/spreadsheetml/2009/9/main" objectType="Drop" dropLines="12" dx="16" fmlaLink="Scratch!$D$1" fmlaRange="Scratch!$B$3:$B$5931" max="5917" page="12" sel="7" val="4"/>
</file>

<file path=xl/ctrlProps/ctrlProp18.xml><?xml version="1.0" encoding="utf-8"?>
<formControlPr xmlns="http://schemas.microsoft.com/office/spreadsheetml/2009/9/main" objectType="Drop" dropLines="12" dx="16" fmlaLink="Scratch!$E$1" fmlaRange="Scratch!$C$3:$C$51" max="37" page="12" sel="1" val="0"/>
</file>

<file path=xl/ctrlProps/ctrlProp19.xml><?xml version="1.0" encoding="utf-8"?>
<formControlPr xmlns="http://schemas.microsoft.com/office/spreadsheetml/2009/9/main" objectType="Drop" dx="16" fmlaLink="Scratch!$F$1" fmlaRange="Scratch!$F$3:$F$23" max="13" page="8" sel="17" val="7"/>
</file>

<file path=xl/ctrlProps/ctrlProp20.xml><?xml version="1.0" encoding="utf-8"?>
<formControlPr xmlns="http://schemas.microsoft.com/office/spreadsheetml/2009/9/main" objectType="Drop" dx="16" fmlaLink="Scratch!$H$1" fmlaRange="Scratch!$H$3:$H$13" max="3" page="8" sel="11" val="3"/>
</file>

<file path=xl/ctrlProps/ctrlProp21.xml><?xml version="1.0" encoding="utf-8"?>
<formControlPr xmlns="http://schemas.microsoft.com/office/spreadsheetml/2009/9/main" objectType="Drop" dx="16" fmlaLink="Scratch!$I$1" fmlaRange="Scratch!$I$3:$I$13" max="3" page="8" sel="4" val="0"/>
</file>

<file path=xl/ctrlProps/ctrlProp22.xml><?xml version="1.0" encoding="utf-8"?>
<formControlPr xmlns="http://schemas.microsoft.com/office/spreadsheetml/2009/9/main" objectType="Drop" dropLines="4" dx="16" fmlaLink="Scratch!$J$1" fmlaRange="Scratch!$J$3:$J$4" page="2" sel="1" val="0"/>
</file>

<file path=xl/ctrlProps/ctrlProp23.xml><?xml version="1.0" encoding="utf-8"?>
<formControlPr xmlns="http://schemas.microsoft.com/office/spreadsheetml/2009/9/main" objectType="Drop" dx="16" fmlaLink="Taglist!$C$1" fmlaRange="Taglist!C2:C41" max="32" page="1" sel="13"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CheckBox" val="0"/>
</file>

<file path=xl/ctrlProps/ctrlProp26.xml><?xml version="1.0" encoding="utf-8"?>
<formControlPr xmlns="http://schemas.microsoft.com/office/spreadsheetml/2009/9/main" objectType="CheckBox"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List" dropLines="0" dx="16" fmlaRange="TagnameList" max="3" page="16" sel="7"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Label" val="0"/>
</file>

<file path=xl/ctrlProps/ctrlProp33.xml><?xml version="1.0" encoding="utf-8"?>
<formControlPr xmlns="http://schemas.microsoft.com/office/spreadsheetml/2009/9/main" objectType="GBox" val="0"/>
</file>

<file path=xl/ctrlProps/ctrlProp34.xml><?xml version="1.0" encoding="utf-8"?>
<formControlPr xmlns="http://schemas.microsoft.com/office/spreadsheetml/2009/9/main" objectType="Label" val="0"/>
</file>

<file path=xl/ctrlProps/ctrlProp35.xml><?xml version="1.0" encoding="utf-8"?>
<formControlPr xmlns="http://schemas.microsoft.com/office/spreadsheetml/2009/9/main" objectType="Label" val="0"/>
</file>

<file path=xl/ctrlProps/ctrlProp36.xml><?xml version="1.0" encoding="utf-8"?>
<formControlPr xmlns="http://schemas.microsoft.com/office/spreadsheetml/2009/9/main" objectType="Button" val="0"/>
</file>

<file path=xl/ctrlProps/ctrlProp37.xml><?xml version="1.0" encoding="utf-8"?>
<formControlPr xmlns="http://schemas.microsoft.com/office/spreadsheetml/2009/9/main" objectType="Button" val="0"/>
</file>

<file path=xl/ctrlProps/ctrlProp38.xml><?xml version="1.0" encoding="utf-8"?>
<formControlPr xmlns="http://schemas.microsoft.com/office/spreadsheetml/2009/9/main" objectType="GBox" val="0"/>
</file>

<file path=xl/ctrlProps/ctrlProp39.xml><?xml version="1.0" encoding="utf-8"?>
<formControlPr xmlns="http://schemas.microsoft.com/office/spreadsheetml/2009/9/main" objectType="Label" val="0"/>
</file>

<file path=xl/ctrlProps/ctrlProp40.xml><?xml version="1.0" encoding="utf-8"?>
<formControlPr xmlns="http://schemas.microsoft.com/office/spreadsheetml/2009/9/main" objectType="GBox" val="0"/>
</file>

<file path=xl/ctrlProps/ctrlProp41.xml><?xml version="1.0" encoding="utf-8"?>
<formControlPr xmlns="http://schemas.microsoft.com/office/spreadsheetml/2009/9/main" objectType="Button" val="0"/>
</file>

<file path=xl/ctrlProps/ctrlProp42.xml><?xml version="1.0" encoding="utf-8"?>
<formControlPr xmlns="http://schemas.microsoft.com/office/spreadsheetml/2009/9/main" objectType="Button" val="0"/>
</file>

<file path=xl/ctrlProps/ctrlProp43.xml><?xml version="1.0" encoding="utf-8"?>
<formControlPr xmlns="http://schemas.microsoft.com/office/spreadsheetml/2009/9/main" objectType="Label" val="0"/>
</file>

<file path=xl/ctrlProps/ctrlProp44.xml><?xml version="1.0" encoding="utf-8"?>
<formControlPr xmlns="http://schemas.microsoft.com/office/spreadsheetml/2009/9/main" objectType="Label" val="0"/>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31</xdr:col>
      <xdr:colOff>0</xdr:colOff>
      <xdr:row>9</xdr:row>
      <xdr:rowOff>0</xdr:rowOff>
    </xdr:from>
    <xdr:to>
      <xdr:col>70</xdr:col>
      <xdr:colOff>0</xdr:colOff>
      <xdr:row>22</xdr:row>
      <xdr:rowOff>0</xdr:rowOff>
    </xdr:to>
    <xdr:sp>
      <xdr:nvSpPr>
        <xdr:cNvPr id="1025" name="Dialog 1"/>
        <xdr:cNvSpPr>
          <a:spLocks noRot="1"/>
        </xdr:cNvSpPr>
      </xdr:nvSpPr>
      <xdr:spPr>
        <a:xfrm>
          <a:off x="2125980" y="600075"/>
          <a:ext cx="2674620" cy="866775"/>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Set Host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58</xdr:col>
          <xdr:colOff>0</xdr:colOff>
          <xdr:row>13</xdr:row>
          <xdr:rowOff>0</xdr:rowOff>
        </xdr:from>
        <xdr:to>
          <xdr:col>68</xdr:col>
          <xdr:colOff>0</xdr:colOff>
          <xdr:row>16</xdr:row>
          <xdr:rowOff>0</xdr:rowOff>
        </xdr:to>
        <xdr:sp>
          <xdr:nvSpPr>
            <xdr:cNvPr id="1026" name="Button 2" hidden="1">
              <a:extLst>
                <a:ext uri="{63B3BB69-23CF-44E3-9099-C40C66FF867C}">
                  <a14:compatExt spid="_x0000_s1026"/>
                </a:ext>
              </a:extLst>
            </xdr:cNvPr>
            <xdr:cNvSpPr/>
          </xdr:nvSpPr>
          <xdr:spPr>
            <a:xfrm>
              <a:off x="3977640" y="866775"/>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58</xdr:col>
          <xdr:colOff>0</xdr:colOff>
          <xdr:row>17</xdr:row>
          <xdr:rowOff>0</xdr:rowOff>
        </xdr:from>
        <xdr:to>
          <xdr:col>68</xdr:col>
          <xdr:colOff>0</xdr:colOff>
          <xdr:row>20</xdr:row>
          <xdr:rowOff>0</xdr:rowOff>
        </xdr:to>
        <xdr:sp>
          <xdr:nvSpPr>
            <xdr:cNvPr id="1027" name="Button 3" hidden="1">
              <a:extLst>
                <a:ext uri="{63B3BB69-23CF-44E3-9099-C40C66FF867C}">
                  <a14:compatExt spid="_x0000_s1027"/>
                </a:ext>
              </a:extLst>
            </xdr:cNvPr>
            <xdr:cNvSpPr/>
          </xdr:nvSpPr>
          <xdr:spPr>
            <a:xfrm>
              <a:off x="3977640" y="1133475"/>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Cancel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33</xdr:col>
      <xdr:colOff>0</xdr:colOff>
      <xdr:row>16</xdr:row>
      <xdr:rowOff>0</xdr:rowOff>
    </xdr:from>
    <xdr:to>
      <xdr:col>54</xdr:col>
      <xdr:colOff>0</xdr:colOff>
      <xdr:row>18</xdr:row>
      <xdr:rowOff>30480</xdr:rowOff>
    </xdr:to>
    <xdr:sp>
      <xdr:nvSpPr>
        <xdr:cNvPr id="1028" name="EditBoxHost"/>
        <xdr:cNvSpPr>
          <a:spLocks noRot="1"/>
        </xdr:cNvSpPr>
      </xdr:nvSpPr>
      <xdr:spPr>
        <a:xfrm>
          <a:off x="2263140" y="1066800"/>
          <a:ext cx="14401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alice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33</xdr:col>
          <xdr:colOff>0</xdr:colOff>
          <xdr:row>13</xdr:row>
          <xdr:rowOff>0</xdr:rowOff>
        </xdr:from>
        <xdr:to>
          <xdr:col>52</xdr:col>
          <xdr:colOff>0</xdr:colOff>
          <xdr:row>15</xdr:row>
          <xdr:rowOff>30480</xdr:rowOff>
        </xdr:to>
        <xdr:sp>
          <xdr:nvSpPr>
            <xdr:cNvPr id="1029" name="Label 5" hidden="1">
              <a:extLst>
                <a:ext uri="{63B3BB69-23CF-44E3-9099-C40C66FF867C}">
                  <a14:compatExt spid="_x0000_s1029"/>
                </a:ext>
              </a:extLst>
            </xdr:cNvPr>
            <xdr:cNvSpPr/>
          </xdr:nvSpPr>
          <xdr:spPr>
            <a:xfrm>
              <a:off x="2263140" y="866775"/>
              <a:ext cx="13030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Host Name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13</xdr:col>
      <xdr:colOff>0</xdr:colOff>
      <xdr:row>4</xdr:row>
      <xdr:rowOff>0</xdr:rowOff>
    </xdr:from>
    <xdr:to>
      <xdr:col>62</xdr:col>
      <xdr:colOff>0</xdr:colOff>
      <xdr:row>32</xdr:row>
      <xdr:rowOff>0</xdr:rowOff>
    </xdr:to>
    <xdr:sp>
      <xdr:nvSpPr>
        <xdr:cNvPr id="2049" name="Dialog 1"/>
        <xdr:cNvSpPr>
          <a:spLocks noRot="1"/>
        </xdr:cNvSpPr>
      </xdr:nvSpPr>
      <xdr:spPr>
        <a:xfrm>
          <a:off x="891540" y="266700"/>
          <a:ext cx="3360420" cy="186690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                  Dataway - PHD Converter</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48</xdr:col>
          <xdr:colOff>0</xdr:colOff>
          <xdr:row>22</xdr:row>
          <xdr:rowOff>0</xdr:rowOff>
        </xdr:from>
        <xdr:to>
          <xdr:col>59</xdr:col>
          <xdr:colOff>0</xdr:colOff>
          <xdr:row>25</xdr:row>
          <xdr:rowOff>0</xdr:rowOff>
        </xdr:to>
        <xdr:sp>
          <xdr:nvSpPr>
            <xdr:cNvPr id="2052" name="CmdOK" hidden="1">
              <a:extLst>
                <a:ext uri="{63B3BB69-23CF-44E3-9099-C40C66FF867C}">
                  <a14:compatExt spid="_x0000_s2052"/>
                </a:ext>
              </a:extLst>
            </xdr:cNvPr>
            <xdr:cNvSpPr/>
          </xdr:nvSpPr>
          <xdr:spPr>
            <a:xfrm>
              <a:off x="3291840" y="1466850"/>
              <a:ext cx="75438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25</xdr:col>
      <xdr:colOff>0</xdr:colOff>
      <xdr:row>13</xdr:row>
      <xdr:rowOff>0</xdr:rowOff>
    </xdr:from>
    <xdr:to>
      <xdr:col>60</xdr:col>
      <xdr:colOff>0</xdr:colOff>
      <xdr:row>15</xdr:row>
      <xdr:rowOff>30480</xdr:rowOff>
    </xdr:to>
    <xdr:sp>
      <xdr:nvSpPr>
        <xdr:cNvPr id="2053" name="EdtDesc"/>
        <xdr:cNvSpPr>
          <a:spLocks noRot="1"/>
        </xdr:cNvSpPr>
      </xdr:nvSpPr>
      <xdr:spPr>
        <a:xfrm>
          <a:off x="1714500" y="866775"/>
          <a:ext cx="240030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DRIER REGEN             DEG C</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14</xdr:col>
          <xdr:colOff>7620</xdr:colOff>
          <xdr:row>9</xdr:row>
          <xdr:rowOff>0</xdr:rowOff>
        </xdr:from>
        <xdr:to>
          <xdr:col>24</xdr:col>
          <xdr:colOff>0</xdr:colOff>
          <xdr:row>11</xdr:row>
          <xdr:rowOff>30480</xdr:rowOff>
        </xdr:to>
        <xdr:sp>
          <xdr:nvSpPr>
            <xdr:cNvPr id="2054" name="Label 6" hidden="1">
              <a:extLst>
                <a:ext uri="{63B3BB69-23CF-44E3-9099-C40C66FF867C}">
                  <a14:compatExt spid="_x0000_s2054"/>
                </a:ext>
              </a:extLst>
            </xdr:cNvPr>
            <xdr:cNvSpPr/>
          </xdr:nvSpPr>
          <xdr:spPr>
            <a:xfrm>
              <a:off x="967740" y="600075"/>
              <a:ext cx="6781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Dataway Tag</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a:p>
              <a:pPr algn="l" rtl="0"/>
              <a:r>
                <a:rPr lang="en-US"/>
                <a:t> Dataway Tag</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13</xdr:row>
          <xdr:rowOff>0</xdr:rowOff>
        </xdr:from>
        <xdr:to>
          <xdr:col>24</xdr:col>
          <xdr:colOff>0</xdr:colOff>
          <xdr:row>15</xdr:row>
          <xdr:rowOff>30480</xdr:rowOff>
        </xdr:to>
        <xdr:sp>
          <xdr:nvSpPr>
            <xdr:cNvPr id="2055" name="Label 7" hidden="1">
              <a:extLst>
                <a:ext uri="{63B3BB69-23CF-44E3-9099-C40C66FF867C}">
                  <a14:compatExt spid="_x0000_s2055"/>
                </a:ext>
              </a:extLst>
            </xdr:cNvPr>
            <xdr:cNvSpPr/>
          </xdr:nvSpPr>
          <xdr:spPr>
            <a:xfrm>
              <a:off x="1066800" y="866775"/>
              <a:ext cx="5791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Description</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17</xdr:row>
          <xdr:rowOff>0</xdr:rowOff>
        </xdr:from>
        <xdr:to>
          <xdr:col>24</xdr:col>
          <xdr:colOff>0</xdr:colOff>
          <xdr:row>19</xdr:row>
          <xdr:rowOff>30480</xdr:rowOff>
        </xdr:to>
        <xdr:sp>
          <xdr:nvSpPr>
            <xdr:cNvPr id="2056" name="Label 8" hidden="1">
              <a:extLst>
                <a:ext uri="{63B3BB69-23CF-44E3-9099-C40C66FF867C}">
                  <a14:compatExt spid="_x0000_s2056"/>
                </a:ext>
              </a:extLst>
            </xdr:cNvPr>
            <xdr:cNvSpPr/>
          </xdr:nvSpPr>
          <xdr:spPr>
            <a:xfrm>
              <a:off x="1135380" y="1133475"/>
              <a:ext cx="51054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Tag</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xdr:row>
          <xdr:rowOff>0</xdr:rowOff>
        </xdr:from>
        <xdr:to>
          <xdr:col>44</xdr:col>
          <xdr:colOff>0</xdr:colOff>
          <xdr:row>11</xdr:row>
          <xdr:rowOff>30480</xdr:rowOff>
        </xdr:to>
        <xdr:sp macro="[0]!DrpDataway_Change">
          <xdr:nvSpPr>
            <xdr:cNvPr id="2057" name="DrpDataway" hidden="1">
              <a:extLst>
                <a:ext uri="{63B3BB69-23CF-44E3-9099-C40C66FF867C}">
                  <a14:compatExt spid="_x0000_s2057"/>
                </a:ext>
              </a:extLst>
            </xdr:cNvPr>
            <xdr:cNvSpPr/>
          </xdr:nvSpPr>
          <xdr:spPr>
            <a:xfrm>
              <a:off x="1714500" y="600075"/>
              <a:ext cx="1303020" cy="1638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22</xdr:row>
          <xdr:rowOff>0</xdr:rowOff>
        </xdr:from>
        <xdr:to>
          <xdr:col>44</xdr:col>
          <xdr:colOff>0</xdr:colOff>
          <xdr:row>30</xdr:row>
          <xdr:rowOff>0</xdr:rowOff>
        </xdr:to>
        <xdr:sp>
          <xdr:nvSpPr>
            <xdr:cNvPr id="2060" name="GrpConversion" hidden="1">
              <a:extLst>
                <a:ext uri="{63B3BB69-23CF-44E3-9099-C40C66FF867C}">
                  <a14:compatExt spid="_x0000_s2060"/>
                </a:ext>
              </a:extLst>
            </xdr:cNvPr>
            <xdr:cNvSpPr/>
          </xdr:nvSpPr>
          <xdr:spPr>
            <a:xfrm>
              <a:off x="1028700" y="1466850"/>
              <a:ext cx="1988820" cy="53340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Convert from</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23</xdr:row>
          <xdr:rowOff>0</xdr:rowOff>
        </xdr:from>
        <xdr:to>
          <xdr:col>36</xdr:col>
          <xdr:colOff>0</xdr:colOff>
          <xdr:row>26</xdr:row>
          <xdr:rowOff>7620</xdr:rowOff>
        </xdr:to>
        <xdr:sp macro="[0]!OptDataway_Click">
          <xdr:nvSpPr>
            <xdr:cNvPr id="2065" name="OptDataway" hidden="1">
              <a:extLst>
                <a:ext uri="{63B3BB69-23CF-44E3-9099-C40C66FF867C}">
                  <a14:compatExt spid="_x0000_s2065"/>
                </a:ext>
              </a:extLst>
            </xdr:cNvPr>
            <xdr:cNvSpPr/>
          </xdr:nvSpPr>
          <xdr:spPr>
            <a:xfrm>
              <a:off x="1440180" y="1533525"/>
              <a:ext cx="102870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Dataway to PHD</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26</xdr:row>
          <xdr:rowOff>0</xdr:rowOff>
        </xdr:from>
        <xdr:to>
          <xdr:col>36</xdr:col>
          <xdr:colOff>0</xdr:colOff>
          <xdr:row>29</xdr:row>
          <xdr:rowOff>7620</xdr:rowOff>
        </xdr:to>
        <xdr:sp macro="[0]!OptPHD_Click">
          <xdr:nvSpPr>
            <xdr:cNvPr id="2066" name="OptPHD" hidden="1">
              <a:extLst>
                <a:ext uri="{63B3BB69-23CF-44E3-9099-C40C66FF867C}">
                  <a14:compatExt spid="_x0000_s2066"/>
                </a:ext>
              </a:extLst>
            </xdr:cNvPr>
            <xdr:cNvSpPr/>
          </xdr:nvSpPr>
          <xdr:spPr>
            <a:xfrm>
              <a:off x="1440180" y="1733550"/>
              <a:ext cx="102870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to Dataway</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17</xdr:row>
          <xdr:rowOff>0</xdr:rowOff>
        </xdr:from>
        <xdr:to>
          <xdr:col>44</xdr:col>
          <xdr:colOff>0</xdr:colOff>
          <xdr:row>19</xdr:row>
          <xdr:rowOff>30480</xdr:rowOff>
        </xdr:to>
        <xdr:sp macro="[0]!Convert_Dialog_DrpPHD_Change">
          <xdr:nvSpPr>
            <xdr:cNvPr id="2069" name="DrpPHD" hidden="1">
              <a:extLst>
                <a:ext uri="{63B3BB69-23CF-44E3-9099-C40C66FF867C}">
                  <a14:compatExt spid="_x0000_s2069"/>
                </a:ext>
              </a:extLst>
            </xdr:cNvPr>
            <xdr:cNvSpPr/>
          </xdr:nvSpPr>
          <xdr:spPr>
            <a:xfrm>
              <a:off x="1714500" y="1133475"/>
              <a:ext cx="1303020" cy="16383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9</xdr:col>
      <xdr:colOff>391645</xdr:colOff>
      <xdr:row>65</xdr:row>
      <xdr:rowOff>130546</xdr:rowOff>
    </xdr:from>
    <xdr:to>
      <xdr:col>17</xdr:col>
      <xdr:colOff>332254</xdr:colOff>
      <xdr:row>95</xdr:row>
      <xdr:rowOff>140072</xdr:rowOff>
    </xdr:to>
    <xdr:sp>
      <xdr:nvSpPr>
        <xdr:cNvPr id="3" name="TextBox 2"/>
        <xdr:cNvSpPr txBox="1"/>
      </xdr:nvSpPr>
      <xdr:spPr>
        <a:xfrm>
          <a:off x="8681085" y="11009630"/>
          <a:ext cx="5798185" cy="4871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endParaRPr lang="en-US" sz="1100" b="1" u="sng" baseline="0">
            <a:solidFill>
              <a:srgbClr val="FF0000"/>
            </a:solidFill>
          </a:endParaRP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endParaRPr lang="en-US" sz="1100" b="1" u="sng">
            <a:solidFill>
              <a:srgbClr val="FF0000"/>
            </a:solidFill>
          </a:endParaRP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endParaRPr lang="en-US" sz="1100">
            <a:solidFill>
              <a:srgbClr val="FF0000"/>
            </a:solidFill>
          </a:endParaRPr>
        </a:p>
        <a:p>
          <a:r>
            <a:rPr lang="en-US" sz="1100">
              <a:solidFill>
                <a:srgbClr val="FF0000"/>
              </a:solidFill>
            </a:rPr>
            <a:t>typicall total H2 From air products is about 15000m3 per month (receipts = net</a:t>
          </a:r>
          <a:r>
            <a:rPr lang="en-US" sz="1100" baseline="0">
              <a:solidFill>
                <a:srgbClr val="FF0000"/>
              </a:solidFill>
            </a:rPr>
            <a:t> prodution)</a:t>
          </a:r>
          <a:endParaRPr lang="en-US" sz="1100" baseline="0">
            <a:solidFill>
              <a:srgbClr val="FF0000"/>
            </a:solidFill>
          </a:endParaRP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endParaRPr lang="en-US" sz="1100" b="1" u="sng" baseline="0">
            <a:solidFill>
              <a:srgbClr val="FF0000"/>
            </a:solidFill>
          </a:endParaRP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endParaRPr lang="en-US" sz="1100" b="0" u="none">
            <a:solidFill>
              <a:srgbClr val="FF0000"/>
            </a:solidFill>
          </a:endParaRP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endParaRPr lang="en-US" sz="1100" b="0" u="none" baseline="0">
            <a:solidFill>
              <a:srgbClr val="FF0000"/>
            </a:solidFill>
          </a:endParaRP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twoCellAnchor>
    <xdr:from>
      <xdr:col>16</xdr:col>
      <xdr:colOff>161976</xdr:colOff>
      <xdr:row>25</xdr:row>
      <xdr:rowOff>106964</xdr:rowOff>
    </xdr:from>
    <xdr:to>
      <xdr:col>25</xdr:col>
      <xdr:colOff>411562</xdr:colOff>
      <xdr:row>41</xdr:row>
      <xdr:rowOff>84553</xdr:rowOff>
    </xdr:to>
    <xdr:sp>
      <xdr:nvSpPr>
        <xdr:cNvPr id="4" name="TextBox 3"/>
        <xdr:cNvSpPr txBox="1"/>
      </xdr:nvSpPr>
      <xdr:spPr>
        <a:xfrm>
          <a:off x="13679805" y="4874895"/>
          <a:ext cx="5913120" cy="241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Vol</a:t>
          </a:r>
          <a:r>
            <a:rPr lang="en-US" sz="1100" baseline="0"/>
            <a:t> gain</a:t>
          </a:r>
          <a:endParaRPr lang="en-US" sz="1100" baseline="0"/>
        </a:p>
        <a:p>
          <a:endParaRPr lang="en-US" sz="1100" baseline="0"/>
        </a:p>
        <a:p>
          <a:r>
            <a:rPr lang="en-US" sz="1100" baseline="0">
              <a:solidFill>
                <a:srgbClr val="FF0000"/>
              </a:solidFill>
            </a:rPr>
            <a:t>option 1: no vol gain applied all month then end of month apply vol gain to last day of month</a:t>
          </a:r>
          <a:endParaRPr lang="en-US" sz="1100" baseline="0">
            <a:solidFill>
              <a:srgbClr val="FF0000"/>
            </a:solidFill>
          </a:endParaRPr>
        </a:p>
        <a:p>
          <a:r>
            <a:rPr lang="en-US" sz="1100" baseline="0">
              <a:solidFill>
                <a:srgbClr val="FF0000"/>
              </a:solidFill>
            </a:rPr>
            <a:t>simpliest</a:t>
          </a:r>
          <a:endParaRPr lang="en-US" sz="1100" baseline="0">
            <a:solidFill>
              <a:srgbClr val="FF0000"/>
            </a:solidFill>
          </a:endParaRPr>
        </a:p>
        <a:p>
          <a:endParaRPr lang="en-US" sz="1100" baseline="0"/>
        </a:p>
        <a:p>
          <a:r>
            <a:rPr lang="en-US" sz="1100" baseline="0"/>
            <a:t>option 2: prelim vol gain applied all month, then true up on last day with just difference between prelim and final. don't need to recalculate earlier days.</a:t>
          </a:r>
          <a:endParaRPr lang="en-US" sz="1100" baseline="0"/>
        </a:p>
        <a:p>
          <a:r>
            <a:rPr lang="en-US" sz="1100" baseline="0"/>
            <a:t>complex</a:t>
          </a:r>
          <a:endParaRPr lang="en-US" sz="1100" baseline="0"/>
        </a:p>
        <a:p>
          <a:endParaRPr lang="en-US" sz="1100" baseline="0"/>
        </a:p>
        <a:p>
          <a:r>
            <a:rPr lang="en-US" sz="1100" baseline="0"/>
            <a:t>option 3: prelim vol gain applied all month, then when final vol gain received, apply new vol gain and recalculate each day.</a:t>
          </a:r>
          <a:endParaRPr lang="en-US" sz="1100" baseline="0"/>
        </a:p>
        <a:p>
          <a:r>
            <a:rPr lang="en-US" sz="1100" baseline="0"/>
            <a:t>most complex</a:t>
          </a:r>
          <a:endParaRPr lang="en-US" sz="1100"/>
        </a:p>
      </xdr:txBody>
    </xdr:sp>
    <xdr:clientData/>
  </xdr:twoCellAnchor>
  <xdr:twoCellAnchor>
    <xdr:from>
      <xdr:col>16</xdr:col>
      <xdr:colOff>31377</xdr:colOff>
      <xdr:row>12</xdr:row>
      <xdr:rowOff>136153</xdr:rowOff>
    </xdr:from>
    <xdr:to>
      <xdr:col>30</xdr:col>
      <xdr:colOff>108699</xdr:colOff>
      <xdr:row>24</xdr:row>
      <xdr:rowOff>33619</xdr:rowOff>
    </xdr:to>
    <xdr:sp>
      <xdr:nvSpPr>
        <xdr:cNvPr id="5" name="TextBox 4"/>
        <xdr:cNvSpPr txBox="1"/>
      </xdr:nvSpPr>
      <xdr:spPr>
        <a:xfrm>
          <a:off x="13548995" y="2560955"/>
          <a:ext cx="8887460" cy="2087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mseth mar 8, 2021 topics to think about:</a:t>
          </a:r>
          <a:endParaRPr lang="en-US" sz="1100"/>
        </a:p>
        <a:p>
          <a:r>
            <a:rPr lang="en-US" sz="1100">
              <a:solidFill>
                <a:schemeClr val="dk1"/>
              </a:solidFill>
              <a:latin typeface="+mn-lt"/>
              <a:ea typeface="+mn-ea"/>
              <a:cs typeface="+mn-cs"/>
            </a:rPr>
            <a:t>in tank transfer #2</a:t>
          </a:r>
          <a:endParaRPr lang="en-US" sz="1100">
            <a:solidFill>
              <a:schemeClr val="dk1"/>
            </a:solidFill>
            <a:latin typeface="+mn-lt"/>
            <a:ea typeface="+mn-ea"/>
            <a:cs typeface="+mn-cs"/>
          </a:endParaRPr>
        </a:p>
        <a:p>
          <a:r>
            <a:rPr lang="en-US" sz="1100">
              <a:solidFill>
                <a:schemeClr val="dk1"/>
              </a:solidFill>
              <a:latin typeface="+mn-lt"/>
              <a:ea typeface="+mn-ea"/>
              <a:cs typeface="+mn-cs"/>
            </a:rPr>
            <a:t>in tank transfer #1</a:t>
          </a:r>
          <a:endParaRPr lang="en-US" sz="1100">
            <a:solidFill>
              <a:schemeClr val="dk1"/>
            </a:solidFill>
            <a:latin typeface="+mn-lt"/>
            <a:ea typeface="+mn-ea"/>
            <a:cs typeface="+mn-cs"/>
          </a:endParaRPr>
        </a:p>
        <a:p>
          <a:r>
            <a:rPr lang="en-US" sz="1100">
              <a:solidFill>
                <a:schemeClr val="dk1"/>
              </a:solidFill>
              <a:latin typeface="+mn-lt"/>
              <a:ea typeface="+mn-ea"/>
              <a:cs typeface="+mn-cs"/>
            </a:rPr>
            <a:t>gasoline tk58</a:t>
          </a:r>
          <a:endParaRPr lang="en-US" sz="1100">
            <a:solidFill>
              <a:schemeClr val="dk1"/>
            </a:solidFill>
            <a:latin typeface="+mn-lt"/>
            <a:ea typeface="+mn-ea"/>
            <a:cs typeface="+mn-cs"/>
          </a:endParaRPr>
        </a:p>
        <a:p>
          <a:r>
            <a:rPr lang="en-US" sz="1100">
              <a:solidFill>
                <a:schemeClr val="dk1"/>
              </a:solidFill>
              <a:latin typeface="+mn-lt"/>
              <a:ea typeface="+mn-ea"/>
              <a:cs typeface="+mn-cs"/>
            </a:rPr>
            <a:t>flare - only suncor no portion cut to shell</a:t>
          </a:r>
          <a:endParaRPr lang="en-US" sz="1100">
            <a:solidFill>
              <a:schemeClr val="dk1"/>
            </a:solidFill>
            <a:latin typeface="+mn-lt"/>
            <a:ea typeface="+mn-ea"/>
            <a:cs typeface="+mn-cs"/>
          </a:endParaRPr>
        </a:p>
        <a:p>
          <a:r>
            <a:rPr lang="en-US" sz="1100">
              <a:solidFill>
                <a:schemeClr val="dk1"/>
              </a:solidFill>
              <a:latin typeface="+mn-lt"/>
              <a:ea typeface="+mn-ea"/>
              <a:cs typeface="+mn-cs"/>
            </a:rPr>
            <a:t>tank out of service - set opening and closing to 0 every day or </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r>
            <a:rPr lang="en-US" sz="1100">
              <a:solidFill>
                <a:schemeClr val="dk1"/>
              </a:solidFill>
              <a:latin typeface="+mn-lt"/>
              <a:ea typeface="+mn-ea"/>
              <a:cs typeface="+mn-cs"/>
            </a:rPr>
            <a:t>shell</a:t>
          </a:r>
          <a:r>
            <a:rPr lang="en-US" sz="1100" baseline="0">
              <a:solidFill>
                <a:schemeClr val="dk1"/>
              </a:solidFill>
              <a:latin typeface="+mn-lt"/>
              <a:ea typeface="+mn-ea"/>
              <a:cs typeface="+mn-cs"/>
            </a:rPr>
            <a:t> gasoline LVB87.</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formula for suncor net prodn = total closing inv - total open inv - total rec + total ship</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since only suncor gasoline prodn. will address this in mapping table. basically map the HW gasoline material to suncor val type to post prodn. but variance rpt will show HW suncor vs SAP total</a:t>
          </a:r>
          <a:endParaRPr lang="en-US" sz="1100" baseline="0">
            <a:solidFill>
              <a:schemeClr val="dk1"/>
            </a:solidFill>
            <a:latin typeface="+mn-lt"/>
            <a:ea typeface="+mn-ea"/>
            <a:cs typeface="+mn-cs"/>
          </a:endParaRPr>
        </a:p>
      </xdr:txBody>
    </xdr:sp>
    <xdr:clientData/>
  </xdr:twoCellAnchor>
  <xdr:twoCellAnchor>
    <xdr:from>
      <xdr:col>16</xdr:col>
      <xdr:colOff>206299</xdr:colOff>
      <xdr:row>42</xdr:row>
      <xdr:rowOff>123479</xdr:rowOff>
    </xdr:from>
    <xdr:to>
      <xdr:col>25</xdr:col>
      <xdr:colOff>380267</xdr:colOff>
      <xdr:row>64</xdr:row>
      <xdr:rowOff>58004</xdr:rowOff>
    </xdr:to>
    <xdr:sp>
      <xdr:nvSpPr>
        <xdr:cNvPr id="6" name="TextBox 5"/>
        <xdr:cNvSpPr txBox="1"/>
      </xdr:nvSpPr>
      <xdr:spPr>
        <a:xfrm>
          <a:off x="13723620" y="7482205"/>
          <a:ext cx="5837555" cy="33026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Summary</a:t>
          </a:r>
          <a:endParaRPr lang="en-US" sz="1100" b="1" u="sng"/>
        </a:p>
        <a:p>
          <a:r>
            <a:rPr lang="en-US" sz="1100" baseline="0">
              <a:solidFill>
                <a:schemeClr val="dk1"/>
              </a:solidFill>
              <a:latin typeface="+mn-lt"/>
              <a:ea typeface="+mn-ea"/>
              <a:cs typeface="+mn-cs"/>
            </a:rPr>
            <a:t>1) Shell ULSS receipted  =  shell ULSS consumed on process order = shell #1 diesel production on process order</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2) Shell DHT feed receipted = shell DHT feed consumption on process order</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3) All through the month, assume no vol gain, so basically the aount of shell DHT feed is equal to shell #2 diesel prodn. At month end, add in the vol gain</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4) Shell H2 portion added at month end. All through month assume H2 consumpton on process order is suncor qty then back out shell at month end</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5) Shell fuel portion is assumed to be 0 all month, then at month end back out shell portion</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6) Total gasoline net production will come out of honeywell PB. Any increase in Tk58 inventory not associated with shell receipt / shipment will be assumed to be suncor's just like today</a:t>
          </a:r>
          <a:endParaRPr lang="en-US" sz="1100" baseline="0">
            <a:solidFill>
              <a:schemeClr val="dk1"/>
            </a:solidFill>
            <a:latin typeface="+mn-lt"/>
            <a:ea typeface="+mn-ea"/>
            <a:cs typeface="+mn-cs"/>
          </a:endParaRPr>
        </a:p>
        <a:p>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ULSS</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Diesel #1</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DHT feed</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Diesel #2</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Hydrogen</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Fuel</a:t>
          </a:r>
          <a:endParaRPr lang="en-US" sz="1100" baseline="0">
            <a:solidFill>
              <a:schemeClr val="dk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5</xdr:col>
      <xdr:colOff>66675</xdr:colOff>
      <xdr:row>0</xdr:row>
      <xdr:rowOff>66675</xdr:rowOff>
    </xdr:from>
    <xdr:to>
      <xdr:col>7</xdr:col>
      <xdr:colOff>685800</xdr:colOff>
      <xdr:row>2</xdr:row>
      <xdr:rowOff>323850</xdr:rowOff>
    </xdr:to>
    <xdr:pic>
      <xdr:nvPicPr>
        <xdr:cNvPr id="3113" name="Picture 18"/>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5758180" y="66675"/>
          <a:ext cx="2557780" cy="904875"/>
        </a:xfrm>
        <a:prstGeom prst="rect">
          <a:avLst/>
        </a:prstGeom>
        <a:solidFill>
          <a:srgbClr val="FFFFFF"/>
        </a:solidFill>
        <a:ln w="9525">
          <a:solidFill>
            <a:srgbClr val="000000"/>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19050</xdr:colOff>
          <xdr:row>2</xdr:row>
          <xdr:rowOff>88900</xdr:rowOff>
        </xdr:from>
        <xdr:to>
          <xdr:col>3</xdr:col>
          <xdr:colOff>889000</xdr:colOff>
          <xdr:row>2</xdr:row>
          <xdr:rowOff>342900</xdr:rowOff>
        </xdr:to>
        <xdr:sp macro="[0]!GetPhdValues">
          <xdr:nvSpPr>
            <xdr:cNvPr id="3074" name="Button 2" hidden="1">
              <a:extLst>
                <a:ext uri="{63B3BB69-23CF-44E3-9099-C40C66FF867C}">
                  <a14:compatExt spid="_x0000_s3074"/>
                </a:ext>
              </a:extLst>
            </xdr:cNvPr>
            <xdr:cNvSpPr/>
          </xdr:nvSpPr>
          <xdr:spPr>
            <a:xfrm>
              <a:off x="3541395" y="736600"/>
              <a:ext cx="869950" cy="25400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panose="020B0604020202020204"/>
                  <a:cs typeface="Arial" panose="020B0604020202020204"/>
                </a:rPr>
                <a:t>Fetch</a:t>
              </a:r>
              <a:endParaRPr lang="en-US" sz="1000" b="0" i="0" u="none" strike="noStrike" baseline="0">
                <a:solidFill>
                  <a:srgbClr val="000000"/>
                </a:solidFill>
                <a:latin typeface="Arial" panose="020B0604020202020204"/>
                <a:cs typeface="Arial" panose="020B060402020202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xdr:row>
          <xdr:rowOff>76200</xdr:rowOff>
        </xdr:from>
        <xdr:to>
          <xdr:col>3</xdr:col>
          <xdr:colOff>908050</xdr:colOff>
          <xdr:row>2</xdr:row>
          <xdr:rowOff>12700</xdr:rowOff>
        </xdr:to>
        <xdr:sp>
          <xdr:nvSpPr>
            <xdr:cNvPr id="3075" name="Drop Down 3" hidden="1">
              <a:extLst>
                <a:ext uri="{63B3BB69-23CF-44E3-9099-C40C66FF867C}">
                  <a14:compatExt spid="_x0000_s3075"/>
                </a:ext>
              </a:extLst>
            </xdr:cNvPr>
            <xdr:cNvSpPr/>
          </xdr:nvSpPr>
          <xdr:spPr>
            <a:xfrm>
              <a:off x="3535045" y="447675"/>
              <a:ext cx="89535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0</xdr:row>
          <xdr:rowOff>190500</xdr:rowOff>
        </xdr:from>
        <xdr:to>
          <xdr:col>1</xdr:col>
          <xdr:colOff>342900</xdr:colOff>
          <xdr:row>1</xdr:row>
          <xdr:rowOff>31750</xdr:rowOff>
        </xdr:to>
        <xdr:sp macro="[0]!Start_Date_Click">
          <xdr:nvSpPr>
            <xdr:cNvPr id="3078" name="Drop Down 6" hidden="1">
              <a:extLst>
                <a:ext uri="{63B3BB69-23CF-44E3-9099-C40C66FF867C}">
                  <a14:compatExt spid="_x0000_s3078"/>
                </a:ext>
              </a:extLst>
            </xdr:cNvPr>
            <xdr:cNvSpPr/>
          </xdr:nvSpPr>
          <xdr:spPr>
            <a:xfrm>
              <a:off x="762000" y="190500"/>
              <a:ext cx="87122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0</xdr:row>
          <xdr:rowOff>190500</xdr:rowOff>
        </xdr:from>
        <xdr:to>
          <xdr:col>1</xdr:col>
          <xdr:colOff>869950</xdr:colOff>
          <xdr:row>1</xdr:row>
          <xdr:rowOff>31750</xdr:rowOff>
        </xdr:to>
        <xdr:sp>
          <xdr:nvSpPr>
            <xdr:cNvPr id="3079" name="Drop Down 7" hidden="1">
              <a:extLst>
                <a:ext uri="{63B3BB69-23CF-44E3-9099-C40C66FF867C}">
                  <a14:compatExt spid="_x0000_s3079"/>
                </a:ext>
              </a:extLst>
            </xdr:cNvPr>
            <xdr:cNvSpPr/>
          </xdr:nvSpPr>
          <xdr:spPr>
            <a:xfrm>
              <a:off x="1633220" y="190500"/>
              <a:ext cx="52705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1</xdr:row>
          <xdr:rowOff>57150</xdr:rowOff>
        </xdr:from>
        <xdr:to>
          <xdr:col>1</xdr:col>
          <xdr:colOff>342900</xdr:colOff>
          <xdr:row>1</xdr:row>
          <xdr:rowOff>266700</xdr:rowOff>
        </xdr:to>
        <xdr:sp macro="[0]!End_Date_Click">
          <xdr:nvSpPr>
            <xdr:cNvPr id="3082" name="Drop Down 10" hidden="1">
              <a:extLst>
                <a:ext uri="{63B3BB69-23CF-44E3-9099-C40C66FF867C}">
                  <a14:compatExt spid="_x0000_s3082"/>
                </a:ext>
              </a:extLst>
            </xdr:cNvPr>
            <xdr:cNvSpPr/>
          </xdr:nvSpPr>
          <xdr:spPr>
            <a:xfrm>
              <a:off x="762000" y="428625"/>
              <a:ext cx="871220"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1</xdr:row>
          <xdr:rowOff>57150</xdr:rowOff>
        </xdr:from>
        <xdr:to>
          <xdr:col>1</xdr:col>
          <xdr:colOff>857250</xdr:colOff>
          <xdr:row>1</xdr:row>
          <xdr:rowOff>266700</xdr:rowOff>
        </xdr:to>
        <xdr:sp>
          <xdr:nvSpPr>
            <xdr:cNvPr id="3083" name="Drop Down 11" hidden="1">
              <a:extLst>
                <a:ext uri="{63B3BB69-23CF-44E3-9099-C40C66FF867C}">
                  <a14:compatExt spid="_x0000_s3083"/>
                </a:ext>
              </a:extLst>
            </xdr:cNvPr>
            <xdr:cNvSpPr/>
          </xdr:nvSpPr>
          <xdr:spPr>
            <a:xfrm>
              <a:off x="1633220" y="428625"/>
              <a:ext cx="514350"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0</xdr:row>
          <xdr:rowOff>190500</xdr:rowOff>
        </xdr:from>
        <xdr:to>
          <xdr:col>3</xdr:col>
          <xdr:colOff>908050</xdr:colOff>
          <xdr:row>1</xdr:row>
          <xdr:rowOff>31750</xdr:rowOff>
        </xdr:to>
        <xdr:sp>
          <xdr:nvSpPr>
            <xdr:cNvPr id="3084" name="Drop Down 12" hidden="1">
              <a:extLst>
                <a:ext uri="{63B3BB69-23CF-44E3-9099-C40C66FF867C}">
                  <a14:compatExt spid="_x0000_s3084"/>
                </a:ext>
              </a:extLst>
            </xdr:cNvPr>
            <xdr:cNvSpPr/>
          </xdr:nvSpPr>
          <xdr:spPr>
            <a:xfrm>
              <a:off x="3535045" y="190500"/>
              <a:ext cx="89535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1193800</xdr:colOff>
          <xdr:row>2</xdr:row>
          <xdr:rowOff>171450</xdr:rowOff>
        </xdr:from>
        <xdr:to>
          <xdr:col>1</xdr:col>
          <xdr:colOff>457200</xdr:colOff>
          <xdr:row>2</xdr:row>
          <xdr:rowOff>381000</xdr:rowOff>
        </xdr:to>
        <xdr:sp>
          <xdr:nvSpPr>
            <xdr:cNvPr id="3085" name="MinConf" hidden="1">
              <a:extLst>
                <a:ext uri="{63B3BB69-23CF-44E3-9099-C40C66FF867C}">
                  <a14:compatExt spid="_x0000_s3085"/>
                </a:ext>
              </a:extLst>
            </xdr:cNvPr>
            <xdr:cNvSpPr/>
          </xdr:nvSpPr>
          <xdr:spPr>
            <a:xfrm>
              <a:off x="1193800" y="819150"/>
              <a:ext cx="553720"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xdr:row>
          <xdr:rowOff>184150</xdr:rowOff>
        </xdr:from>
        <xdr:to>
          <xdr:col>2</xdr:col>
          <xdr:colOff>800100</xdr:colOff>
          <xdr:row>3</xdr:row>
          <xdr:rowOff>0</xdr:rowOff>
        </xdr:to>
        <xdr:sp>
          <xdr:nvSpPr>
            <xdr:cNvPr id="3087" name="NullData" hidden="1">
              <a:extLst>
                <a:ext uri="{63B3BB69-23CF-44E3-9099-C40C66FF867C}">
                  <a14:compatExt spid="_x0000_s3087"/>
                </a:ext>
              </a:extLst>
            </xdr:cNvPr>
            <xdr:cNvSpPr/>
          </xdr:nvSpPr>
          <xdr:spPr>
            <a:xfrm>
              <a:off x="2463165" y="831850"/>
              <a:ext cx="762000" cy="2063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xdr:colOff>
          <xdr:row>1</xdr:row>
          <xdr:rowOff>38100</xdr:rowOff>
        </xdr:from>
        <xdr:to>
          <xdr:col>4</xdr:col>
          <xdr:colOff>1009650</xdr:colOff>
          <xdr:row>1</xdr:row>
          <xdr:rowOff>241300</xdr:rowOff>
        </xdr:to>
        <xdr:sp>
          <xdr:nvSpPr>
            <xdr:cNvPr id="3088" name="SendTo" hidden="1">
              <a:extLst>
                <a:ext uri="{63B3BB69-23CF-44E3-9099-C40C66FF867C}">
                  <a14:compatExt spid="_x0000_s3088"/>
                </a:ext>
              </a:extLst>
            </xdr:cNvPr>
            <xdr:cNvSpPr/>
          </xdr:nvSpPr>
          <xdr:spPr>
            <a:xfrm>
              <a:off x="4632960" y="409575"/>
              <a:ext cx="958850" cy="203200"/>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6</xdr:col>
      <xdr:colOff>219075</xdr:colOff>
      <xdr:row>31</xdr:row>
      <xdr:rowOff>19050</xdr:rowOff>
    </xdr:from>
    <xdr:to>
      <xdr:col>6</xdr:col>
      <xdr:colOff>1247775</xdr:colOff>
      <xdr:row>36</xdr:row>
      <xdr:rowOff>85725</xdr:rowOff>
    </xdr:to>
    <xdr:sp>
      <xdr:nvSpPr>
        <xdr:cNvPr id="2" name="TextBox 1"/>
        <xdr:cNvSpPr txBox="1"/>
      </xdr:nvSpPr>
      <xdr:spPr>
        <a:xfrm>
          <a:off x="6235065" y="5701665"/>
          <a:ext cx="1028700"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these need to go into SAP as individual tickets</a:t>
          </a:r>
          <a:endParaRPr lang="en-US" sz="1100">
            <a:solidFill>
              <a:srgbClr val="FF0000"/>
            </a:solidFill>
          </a:endParaRPr>
        </a:p>
      </xdr:txBody>
    </xdr:sp>
    <xdr:clientData/>
  </xdr:twoCellAnchor>
  <xdr:twoCellAnchor>
    <xdr:from>
      <xdr:col>24</xdr:col>
      <xdr:colOff>0</xdr:colOff>
      <xdr:row>58</xdr:row>
      <xdr:rowOff>96928</xdr:rowOff>
    </xdr:from>
    <xdr:to>
      <xdr:col>24</xdr:col>
      <xdr:colOff>276225</xdr:colOff>
      <xdr:row>88</xdr:row>
      <xdr:rowOff>106455</xdr:rowOff>
    </xdr:to>
    <xdr:sp>
      <xdr:nvSpPr>
        <xdr:cNvPr id="3" name="TextBox 2"/>
        <xdr:cNvSpPr txBox="1"/>
      </xdr:nvSpPr>
      <xdr:spPr>
        <a:xfrm>
          <a:off x="24356060" y="9909175"/>
          <a:ext cx="276225" cy="47872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endParaRPr lang="en-US" sz="1100" b="1" u="sng" baseline="0">
            <a:solidFill>
              <a:srgbClr val="FF0000"/>
            </a:solidFill>
          </a:endParaRP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endParaRPr lang="en-US" sz="1100" b="1" u="sng">
            <a:solidFill>
              <a:srgbClr val="FF0000"/>
            </a:solidFill>
          </a:endParaRP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endParaRPr lang="en-US" sz="1100">
            <a:solidFill>
              <a:srgbClr val="FF0000"/>
            </a:solidFill>
          </a:endParaRPr>
        </a:p>
        <a:p>
          <a:r>
            <a:rPr lang="en-US" sz="1100">
              <a:solidFill>
                <a:srgbClr val="FF0000"/>
              </a:solidFill>
            </a:rPr>
            <a:t>typicall total H2 From air products is about 15000m3 per month (receipts = net</a:t>
          </a:r>
          <a:r>
            <a:rPr lang="en-US" sz="1100" baseline="0">
              <a:solidFill>
                <a:srgbClr val="FF0000"/>
              </a:solidFill>
            </a:rPr>
            <a:t> prodution)</a:t>
          </a:r>
          <a:endParaRPr lang="en-US" sz="1100" baseline="0">
            <a:solidFill>
              <a:srgbClr val="FF0000"/>
            </a:solidFill>
          </a:endParaRP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endParaRPr lang="en-US" sz="1100" b="1" u="sng" baseline="0">
            <a:solidFill>
              <a:srgbClr val="FF0000"/>
            </a:solidFill>
          </a:endParaRP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endParaRPr lang="en-US" sz="1100" b="0" u="none">
            <a:solidFill>
              <a:srgbClr val="FF0000"/>
            </a:solidFill>
          </a:endParaRP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endParaRPr lang="en-US" sz="1100" b="0" u="none" baseline="0">
            <a:solidFill>
              <a:srgbClr val="FF0000"/>
            </a:solidFill>
          </a:endParaRP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31</xdr:col>
      <xdr:colOff>0</xdr:colOff>
      <xdr:row>1</xdr:row>
      <xdr:rowOff>0</xdr:rowOff>
    </xdr:from>
    <xdr:to>
      <xdr:col>95</xdr:col>
      <xdr:colOff>0</xdr:colOff>
      <xdr:row>55</xdr:row>
      <xdr:rowOff>0</xdr:rowOff>
    </xdr:to>
    <xdr:sp>
      <xdr:nvSpPr>
        <xdr:cNvPr id="5121" name="Dialog 1"/>
        <xdr:cNvSpPr>
          <a:spLocks noRot="1"/>
        </xdr:cNvSpPr>
      </xdr:nvSpPr>
      <xdr:spPr>
        <a:xfrm>
          <a:off x="2125980" y="66675"/>
          <a:ext cx="4389120" cy="3600450"/>
        </a:xfrm>
        <a:prstGeom prst="rect">
          <a:avLst/>
        </a:prstGeom>
      </xdr:spPr>
      <xdr:txBody>
        <a:bodyPr vert="horz" wrap="square" anchor="t"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Tagname List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34</xdr:col>
          <xdr:colOff>0</xdr:colOff>
          <xdr:row>23</xdr:row>
          <xdr:rowOff>0</xdr:rowOff>
        </xdr:from>
        <xdr:to>
          <xdr:col>49</xdr:col>
          <xdr:colOff>0</xdr:colOff>
          <xdr:row>25</xdr:row>
          <xdr:rowOff>45720</xdr:rowOff>
        </xdr:to>
        <xdr:sp macro="[0]!Collector_Description">
          <xdr:nvSpPr>
            <xdr:cNvPr id="5142" name="DropDownCollector" hidden="1">
              <a:extLst>
                <a:ext uri="{63B3BB69-23CF-44E3-9099-C40C66FF867C}">
                  <a14:compatExt spid="_x0000_s5142"/>
                </a:ext>
              </a:extLst>
            </xdr:cNvPr>
            <xdr:cNvSpPr/>
          </xdr:nvSpPr>
          <xdr:spPr>
            <a:xfrm>
              <a:off x="2331720" y="1533525"/>
              <a:ext cx="1028700" cy="1790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59</xdr:col>
          <xdr:colOff>0</xdr:colOff>
          <xdr:row>26</xdr:row>
          <xdr:rowOff>0</xdr:rowOff>
        </xdr:to>
        <xdr:sp macro="[0]!TagList_Module.NewTaglistButton_click">
          <xdr:nvSpPr>
            <xdr:cNvPr id="5130" name="NewTagListButton" hidden="1">
              <a:extLst>
                <a:ext uri="{63B3BB69-23CF-44E3-9099-C40C66FF867C}">
                  <a14:compatExt spid="_x0000_s5130"/>
                </a:ext>
              </a:extLst>
            </xdr:cNvPr>
            <xdr:cNvSpPr/>
          </xdr:nvSpPr>
          <xdr:spPr>
            <a:xfrm>
              <a:off x="3429000" y="153352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Fetch</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47</xdr:col>
      <xdr:colOff>0</xdr:colOff>
      <xdr:row>46</xdr:row>
      <xdr:rowOff>0</xdr:rowOff>
    </xdr:from>
    <xdr:to>
      <xdr:col>61</xdr:col>
      <xdr:colOff>0</xdr:colOff>
      <xdr:row>48</xdr:row>
      <xdr:rowOff>30480</xdr:rowOff>
    </xdr:to>
    <xdr:sp>
      <xdr:nvSpPr>
        <xdr:cNvPr id="5143" name="EditBoxCellRef"/>
        <xdr:cNvSpPr>
          <a:spLocks noRot="1"/>
        </xdr:cNvSpPr>
      </xdr:nvSpPr>
      <xdr:spPr>
        <a:xfrm>
          <a:off x="3223260" y="3067050"/>
          <a:ext cx="960120" cy="16383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47</xdr:col>
          <xdr:colOff>0</xdr:colOff>
          <xdr:row>10</xdr:row>
          <xdr:rowOff>0</xdr:rowOff>
        </xdr:from>
        <xdr:to>
          <xdr:col>59</xdr:col>
          <xdr:colOff>0</xdr:colOff>
          <xdr:row>13</xdr:row>
          <xdr:rowOff>7620</xdr:rowOff>
        </xdr:to>
        <xdr:sp>
          <xdr:nvSpPr>
            <xdr:cNvPr id="5135" name="CheckBoxMatchCase" hidden="1">
              <a:extLst>
                <a:ext uri="{63B3BB69-23CF-44E3-9099-C40C66FF867C}">
                  <a14:compatExt spid="_x0000_s5135"/>
                </a:ext>
              </a:extLst>
            </xdr:cNvPr>
            <xdr:cNvSpPr/>
          </xdr:nvSpPr>
          <xdr:spPr>
            <a:xfrm>
              <a:off x="3223260" y="666750"/>
              <a:ext cx="82296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Match Case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10</xdr:row>
          <xdr:rowOff>0</xdr:rowOff>
        </xdr:from>
        <xdr:to>
          <xdr:col>46</xdr:col>
          <xdr:colOff>0</xdr:colOff>
          <xdr:row>13</xdr:row>
          <xdr:rowOff>7620</xdr:rowOff>
        </xdr:to>
        <xdr:sp>
          <xdr:nvSpPr>
            <xdr:cNvPr id="5137" name="CheckBoxFindWhole" hidden="1">
              <a:extLst>
                <a:ext uri="{63B3BB69-23CF-44E3-9099-C40C66FF867C}">
                  <a14:compatExt spid="_x0000_s5137"/>
                </a:ext>
              </a:extLst>
            </xdr:cNvPr>
            <xdr:cNvSpPr/>
          </xdr:nvSpPr>
          <xdr:spPr>
            <a:xfrm>
              <a:off x="2263140" y="666750"/>
              <a:ext cx="89154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Whole Words</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34</xdr:col>
      <xdr:colOff>0</xdr:colOff>
      <xdr:row>7</xdr:row>
      <xdr:rowOff>0</xdr:rowOff>
    </xdr:from>
    <xdr:to>
      <xdr:col>59</xdr:col>
      <xdr:colOff>0</xdr:colOff>
      <xdr:row>9</xdr:row>
      <xdr:rowOff>30480</xdr:rowOff>
    </xdr:to>
    <xdr:sp macro="[0]!TagList_Module.TagFindBox_Change">
      <xdr:nvSpPr>
        <xdr:cNvPr id="5131" name="TagFindBox"/>
        <xdr:cNvSpPr>
          <a:spLocks noRot="1"/>
        </xdr:cNvSpPr>
      </xdr:nvSpPr>
      <xdr:spPr>
        <a:xfrm>
          <a:off x="2331720" y="466725"/>
          <a:ext cx="171450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22TI199.PV</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35</xdr:col>
          <xdr:colOff>0</xdr:colOff>
          <xdr:row>14</xdr:row>
          <xdr:rowOff>0</xdr:rowOff>
        </xdr:from>
        <xdr:to>
          <xdr:col>44</xdr:col>
          <xdr:colOff>0</xdr:colOff>
          <xdr:row>17</xdr:row>
          <xdr:rowOff>0</xdr:rowOff>
        </xdr:to>
        <xdr:sp macro="[0]!TagList_Module.FindButton_Click">
          <xdr:nvSpPr>
            <xdr:cNvPr id="5126" name="FindButton" hidden="1">
              <a:extLst>
                <a:ext uri="{63B3BB69-23CF-44E3-9099-C40C66FF867C}">
                  <a14:compatExt spid="_x0000_s5126"/>
                </a:ext>
              </a:extLst>
            </xdr:cNvPr>
            <xdr:cNvSpPr/>
          </xdr:nvSpPr>
          <xdr:spPr>
            <a:xfrm>
              <a:off x="2400300" y="933450"/>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Find</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49</xdr:col>
          <xdr:colOff>0</xdr:colOff>
          <xdr:row>14</xdr:row>
          <xdr:rowOff>0</xdr:rowOff>
        </xdr:from>
        <xdr:to>
          <xdr:col>58</xdr:col>
          <xdr:colOff>0</xdr:colOff>
          <xdr:row>17</xdr:row>
          <xdr:rowOff>0</xdr:rowOff>
        </xdr:to>
        <xdr:sp macro="[0]!TagList_Module.FindNextButton_Click">
          <xdr:nvSpPr>
            <xdr:cNvPr id="5132" name="FindNextButton" hidden="1">
              <a:extLst>
                <a:ext uri="{63B3BB69-23CF-44E3-9099-C40C66FF867C}">
                  <a14:compatExt spid="_x0000_s5132"/>
                </a:ext>
              </a:extLst>
            </xdr:cNvPr>
            <xdr:cNvSpPr/>
          </xdr:nvSpPr>
          <xdr:spPr>
            <a:xfrm>
              <a:off x="3360420" y="933450"/>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Find Next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7</xdr:row>
          <xdr:rowOff>0</xdr:rowOff>
        </xdr:from>
        <xdr:to>
          <xdr:col>93</xdr:col>
          <xdr:colOff>0</xdr:colOff>
          <xdr:row>37</xdr:row>
          <xdr:rowOff>7620</xdr:rowOff>
        </xdr:to>
        <xdr:sp macro="[0]!TagList_Module.TagListBox_Change">
          <xdr:nvSpPr>
            <xdr:cNvPr id="5124" name="TagListBox" hidden="1">
              <a:extLst>
                <a:ext uri="{63B3BB69-23CF-44E3-9099-C40C66FF867C}">
                  <a14:compatExt spid="_x0000_s5124"/>
                </a:ext>
              </a:extLst>
            </xdr:cNvPr>
            <xdr:cNvSpPr/>
          </xdr:nvSpPr>
          <xdr:spPr>
            <a:xfrm>
              <a:off x="4320540" y="466725"/>
              <a:ext cx="2057400" cy="2007870"/>
            </a:xfrm>
            <a:prstGeom prst="rect">
              <a:avLst/>
            </a:prstGeom>
          </xdr:spPr>
        </xdr:sp>
        <xdr:clientData/>
      </xdr:twoCellAnchor>
    </mc:Choice>
    <mc:Fallback/>
  </mc:AlternateContent>
  <xdr:twoCellAnchor>
    <xdr:from>
      <xdr:col>63</xdr:col>
      <xdr:colOff>0</xdr:colOff>
      <xdr:row>41</xdr:row>
      <xdr:rowOff>0</xdr:rowOff>
    </xdr:from>
    <xdr:to>
      <xdr:col>93</xdr:col>
      <xdr:colOff>0</xdr:colOff>
      <xdr:row>43</xdr:row>
      <xdr:rowOff>30480</xdr:rowOff>
    </xdr:to>
    <xdr:sp>
      <xdr:nvSpPr>
        <xdr:cNvPr id="5125" name="TagEditBox"/>
        <xdr:cNvSpPr>
          <a:spLocks noRot="1"/>
        </xdr:cNvSpPr>
      </xdr:nvSpPr>
      <xdr:spPr>
        <a:xfrm>
          <a:off x="4320540" y="2733675"/>
          <a:ext cx="205740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24FI099.PV</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34</xdr:col>
          <xdr:colOff>0</xdr:colOff>
          <xdr:row>45</xdr:row>
          <xdr:rowOff>0</xdr:rowOff>
        </xdr:from>
        <xdr:to>
          <xdr:col>43</xdr:col>
          <xdr:colOff>0</xdr:colOff>
          <xdr:row>48</xdr:row>
          <xdr:rowOff>0</xdr:rowOff>
        </xdr:to>
        <xdr:sp>
          <xdr:nvSpPr>
            <xdr:cNvPr id="5122" name="OKButton" hidden="1">
              <a:extLst>
                <a:ext uri="{63B3BB69-23CF-44E3-9099-C40C66FF867C}">
                  <a14:compatExt spid="_x0000_s5122"/>
                </a:ext>
              </a:extLst>
            </xdr:cNvPr>
            <xdr:cNvSpPr/>
          </xdr:nvSpPr>
          <xdr:spPr>
            <a:xfrm>
              <a:off x="2331720" y="300037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34</xdr:col>
          <xdr:colOff>0</xdr:colOff>
          <xdr:row>49</xdr:row>
          <xdr:rowOff>0</xdr:rowOff>
        </xdr:from>
        <xdr:to>
          <xdr:col>43</xdr:col>
          <xdr:colOff>0</xdr:colOff>
          <xdr:row>52</xdr:row>
          <xdr:rowOff>0</xdr:rowOff>
        </xdr:to>
        <xdr:sp>
          <xdr:nvSpPr>
            <xdr:cNvPr id="5123" name="CancelButton" hidden="1">
              <a:extLst>
                <a:ext uri="{63B3BB69-23CF-44E3-9099-C40C66FF867C}">
                  <a14:compatExt spid="_x0000_s5123"/>
                </a:ext>
              </a:extLst>
            </xdr:cNvPr>
            <xdr:cNvSpPr/>
          </xdr:nvSpPr>
          <xdr:spPr>
            <a:xfrm>
              <a:off x="2331720" y="326707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Cancel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63</xdr:col>
      <xdr:colOff>0</xdr:colOff>
      <xdr:row>47</xdr:row>
      <xdr:rowOff>0</xdr:rowOff>
    </xdr:from>
    <xdr:to>
      <xdr:col>93</xdr:col>
      <xdr:colOff>0</xdr:colOff>
      <xdr:row>53</xdr:row>
      <xdr:rowOff>15240</xdr:rowOff>
    </xdr:to>
    <xdr:sp>
      <xdr:nvSpPr>
        <xdr:cNvPr id="5139" name="TagDescriptionBox"/>
        <xdr:cNvSpPr>
          <a:spLocks noRot="1"/>
        </xdr:cNvSpPr>
      </xdr:nvSpPr>
      <xdr:spPr>
        <a:xfrm>
          <a:off x="4320540" y="3133725"/>
          <a:ext cx="2057400" cy="41529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Plant 2-BTX-Fuel Gas to Mixed Xylene Reboiler East-Flow</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xdr:twoCellAnchor>
    <xdr:from>
      <xdr:col>34</xdr:col>
      <xdr:colOff>0</xdr:colOff>
      <xdr:row>27</xdr:row>
      <xdr:rowOff>0</xdr:rowOff>
    </xdr:from>
    <xdr:to>
      <xdr:col>59</xdr:col>
      <xdr:colOff>0</xdr:colOff>
      <xdr:row>31</xdr:row>
      <xdr:rowOff>22860</xdr:rowOff>
    </xdr:to>
    <xdr:sp>
      <xdr:nvSpPr>
        <xdr:cNvPr id="5146" name="CollectorDescr"/>
        <xdr:cNvSpPr>
          <a:spLocks noRot="1"/>
        </xdr:cNvSpPr>
      </xdr:nvSpPr>
      <xdr:spPr>
        <a:xfrm>
          <a:off x="2331720" y="1800225"/>
          <a:ext cx="1714500" cy="28956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TDC3000 CM50 Instance 1 - Read, Public (PDH)</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63</xdr:col>
          <xdr:colOff>0</xdr:colOff>
          <xdr:row>38</xdr:row>
          <xdr:rowOff>0</xdr:rowOff>
        </xdr:from>
        <xdr:to>
          <xdr:col>74</xdr:col>
          <xdr:colOff>0</xdr:colOff>
          <xdr:row>40</xdr:row>
          <xdr:rowOff>30480</xdr:rowOff>
        </xdr:to>
        <xdr:sp>
          <xdr:nvSpPr>
            <xdr:cNvPr id="5134" name="Label 14" hidden="1">
              <a:extLst>
                <a:ext uri="{63B3BB69-23CF-44E3-9099-C40C66FF867C}">
                  <a14:compatExt spid="_x0000_s5134"/>
                </a:ext>
              </a:extLst>
            </xdr:cNvPr>
            <xdr:cNvSpPr/>
          </xdr:nvSpPr>
          <xdr:spPr>
            <a:xfrm>
              <a:off x="4320540" y="2533650"/>
              <a:ext cx="7543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Selected Tag:</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xdr:row>
          <xdr:rowOff>0</xdr:rowOff>
        </xdr:from>
        <xdr:to>
          <xdr:col>61</xdr:col>
          <xdr:colOff>0</xdr:colOff>
          <xdr:row>19</xdr:row>
          <xdr:rowOff>0</xdr:rowOff>
        </xdr:to>
        <xdr:sp>
          <xdr:nvSpPr>
            <xdr:cNvPr id="5138" name="Group Box 18" hidden="1">
              <a:extLst>
                <a:ext uri="{63B3BB69-23CF-44E3-9099-C40C66FF867C}">
                  <a14:compatExt spid="_x0000_s5138"/>
                </a:ext>
              </a:extLst>
            </xdr:cNvPr>
            <xdr:cNvSpPr/>
          </xdr:nvSpPr>
          <xdr:spPr>
            <a:xfrm>
              <a:off x="2194560" y="333375"/>
              <a:ext cx="1988820" cy="93345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Find in current Tag List: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44</xdr:row>
          <xdr:rowOff>0</xdr:rowOff>
        </xdr:from>
        <xdr:to>
          <xdr:col>75</xdr:col>
          <xdr:colOff>0</xdr:colOff>
          <xdr:row>46</xdr:row>
          <xdr:rowOff>30480</xdr:rowOff>
        </xdr:to>
        <xdr:sp>
          <xdr:nvSpPr>
            <xdr:cNvPr id="5140" name="Label 20" hidden="1">
              <a:extLst>
                <a:ext uri="{63B3BB69-23CF-44E3-9099-C40C66FF867C}">
                  <a14:compatExt spid="_x0000_s5140"/>
                </a:ext>
              </a:extLst>
            </xdr:cNvPr>
            <xdr:cNvSpPr/>
          </xdr:nvSpPr>
          <xdr:spPr>
            <a:xfrm>
              <a:off x="4320540" y="2933700"/>
              <a:ext cx="82296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Tag Description:</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43</xdr:row>
          <xdr:rowOff>0</xdr:rowOff>
        </xdr:from>
        <xdr:to>
          <xdr:col>61</xdr:col>
          <xdr:colOff>0</xdr:colOff>
          <xdr:row>45</xdr:row>
          <xdr:rowOff>30480</xdr:rowOff>
        </xdr:to>
        <xdr:sp>
          <xdr:nvSpPr>
            <xdr:cNvPr id="5144" name="Label 24" hidden="1">
              <a:extLst>
                <a:ext uri="{63B3BB69-23CF-44E3-9099-C40C66FF867C}">
                  <a14:compatExt spid="_x0000_s5144"/>
                </a:ext>
              </a:extLst>
            </xdr:cNvPr>
            <xdr:cNvSpPr/>
          </xdr:nvSpPr>
          <xdr:spPr>
            <a:xfrm>
              <a:off x="3291840" y="2867025"/>
              <a:ext cx="89154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Copy Tag to Cell: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50</xdr:row>
          <xdr:rowOff>0</xdr:rowOff>
        </xdr:from>
        <xdr:to>
          <xdr:col>61</xdr:col>
          <xdr:colOff>0</xdr:colOff>
          <xdr:row>53</xdr:row>
          <xdr:rowOff>0</xdr:rowOff>
        </xdr:to>
        <xdr:sp macro="[0]!Copy_Button_Click">
          <xdr:nvSpPr>
            <xdr:cNvPr id="5147" name="CopyOption" hidden="1">
              <a:extLst>
                <a:ext uri="{63B3BB69-23CF-44E3-9099-C40C66FF867C}">
                  <a14:compatExt spid="_x0000_s5147"/>
                </a:ext>
              </a:extLst>
            </xdr:cNvPr>
            <xdr:cNvSpPr/>
          </xdr:nvSpPr>
          <xdr:spPr>
            <a:xfrm>
              <a:off x="3223260" y="3333750"/>
              <a:ext cx="9601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Copy Tag </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34</xdr:col>
      <xdr:colOff>0</xdr:colOff>
      <xdr:row>37</xdr:row>
      <xdr:rowOff>0</xdr:rowOff>
    </xdr:from>
    <xdr:to>
      <xdr:col>49</xdr:col>
      <xdr:colOff>0</xdr:colOff>
      <xdr:row>39</xdr:row>
      <xdr:rowOff>30480</xdr:rowOff>
    </xdr:to>
    <xdr:sp>
      <xdr:nvSpPr>
        <xdr:cNvPr id="5149" name="TagFilterBox"/>
        <xdr:cNvSpPr>
          <a:spLocks noRot="1"/>
        </xdr:cNvSpPr>
      </xdr:nvSpPr>
      <xdr:spPr>
        <a:xfrm>
          <a:off x="2331720" y="2466975"/>
          <a:ext cx="1028700" cy="163830"/>
        </a:xfrm>
        <a:prstGeom prst="rect">
          <a:avLst/>
        </a:prstGeom>
      </xdr:spPr>
    </xdr:sp>
    <xdr:clientData/>
  </xdr:twoCellAnchor>
  <mc:AlternateContent xmlns:mc="http://schemas.openxmlformats.org/markup-compatibility/2006">
    <mc:Choice xmlns:a14="http://schemas.microsoft.com/office/drawing/2010/main" Requires="a14">
      <xdr:twoCellAnchor>
        <xdr:from>
          <xdr:col>50</xdr:col>
          <xdr:colOff>0</xdr:colOff>
          <xdr:row>37</xdr:row>
          <xdr:rowOff>0</xdr:rowOff>
        </xdr:from>
        <xdr:to>
          <xdr:col>59</xdr:col>
          <xdr:colOff>0</xdr:colOff>
          <xdr:row>40</xdr:row>
          <xdr:rowOff>0</xdr:rowOff>
        </xdr:to>
        <xdr:sp macro="[0]!TagListFilterButton_click">
          <xdr:nvSpPr>
            <xdr:cNvPr id="5150" name="FilterButton" hidden="1">
              <a:extLst>
                <a:ext uri="{63B3BB69-23CF-44E3-9099-C40C66FF867C}">
                  <a14:compatExt spid="_x0000_s5150"/>
                </a:ext>
              </a:extLst>
            </xdr:cNvPr>
            <xdr:cNvSpPr/>
          </xdr:nvSpPr>
          <xdr:spPr>
            <a:xfrm>
              <a:off x="3429000" y="246697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Fetch</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21</xdr:row>
          <xdr:rowOff>0</xdr:rowOff>
        </xdr:from>
        <xdr:to>
          <xdr:col>61</xdr:col>
          <xdr:colOff>0</xdr:colOff>
          <xdr:row>33</xdr:row>
          <xdr:rowOff>0</xdr:rowOff>
        </xdr:to>
        <xdr:sp>
          <xdr:nvSpPr>
            <xdr:cNvPr id="5151" name="Group Box 31" hidden="1">
              <a:extLst>
                <a:ext uri="{63B3BB69-23CF-44E3-9099-C40C66FF867C}">
                  <a14:compatExt spid="_x0000_s5151"/>
                </a:ext>
              </a:extLst>
            </xdr:cNvPr>
            <xdr:cNvSpPr/>
          </xdr:nvSpPr>
          <xdr:spPr>
            <a:xfrm>
              <a:off x="2194560" y="1400175"/>
              <a:ext cx="1988820" cy="80010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Get Tag List by Collector:</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4</xdr:row>
          <xdr:rowOff>0</xdr:rowOff>
        </xdr:from>
        <xdr:to>
          <xdr:col>74</xdr:col>
          <xdr:colOff>0</xdr:colOff>
          <xdr:row>6</xdr:row>
          <xdr:rowOff>30480</xdr:rowOff>
        </xdr:to>
        <xdr:sp>
          <xdr:nvSpPr>
            <xdr:cNvPr id="5154" name="Label 34" hidden="1">
              <a:extLst>
                <a:ext uri="{63B3BB69-23CF-44E3-9099-C40C66FF867C}">
                  <a14:compatExt spid="_x0000_s5154"/>
                </a:ext>
              </a:extLst>
            </xdr:cNvPr>
            <xdr:cNvSpPr/>
          </xdr:nvSpPr>
          <xdr:spPr>
            <a:xfrm>
              <a:off x="4320540" y="266700"/>
              <a:ext cx="7543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Tag List: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35</xdr:row>
          <xdr:rowOff>0</xdr:rowOff>
        </xdr:from>
        <xdr:to>
          <xdr:col>61</xdr:col>
          <xdr:colOff>0</xdr:colOff>
          <xdr:row>42</xdr:row>
          <xdr:rowOff>0</xdr:rowOff>
        </xdr:to>
        <xdr:sp>
          <xdr:nvSpPr>
            <xdr:cNvPr id="5155" name="Group Box 35" hidden="1">
              <a:extLst>
                <a:ext uri="{63B3BB69-23CF-44E3-9099-C40C66FF867C}">
                  <a14:compatExt spid="_x0000_s5155"/>
                </a:ext>
              </a:extLst>
            </xdr:cNvPr>
            <xdr:cNvSpPr/>
          </xdr:nvSpPr>
          <xdr:spPr>
            <a:xfrm>
              <a:off x="2194560" y="2333625"/>
              <a:ext cx="1988820" cy="466725"/>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Get Tag List by Filter:</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17</xdr:col>
      <xdr:colOff>0</xdr:colOff>
      <xdr:row>3</xdr:row>
      <xdr:rowOff>0</xdr:rowOff>
    </xdr:from>
    <xdr:to>
      <xdr:col>58</xdr:col>
      <xdr:colOff>0</xdr:colOff>
      <xdr:row>14</xdr:row>
      <xdr:rowOff>0</xdr:rowOff>
    </xdr:to>
    <xdr:sp>
      <xdr:nvSpPr>
        <xdr:cNvPr id="6145" name="Dialog 1"/>
        <xdr:cNvSpPr>
          <a:spLocks noRot="1"/>
        </xdr:cNvSpPr>
      </xdr:nvSpPr>
      <xdr:spPr>
        <a:xfrm>
          <a:off x="1165860" y="200025"/>
          <a:ext cx="2811780" cy="733425"/>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Login</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xdr:twoCellAnchor>
    <xdr:from>
      <xdr:col>27</xdr:col>
      <xdr:colOff>0</xdr:colOff>
      <xdr:row>7</xdr:row>
      <xdr:rowOff>0</xdr:rowOff>
    </xdr:from>
    <xdr:to>
      <xdr:col>44</xdr:col>
      <xdr:colOff>0</xdr:colOff>
      <xdr:row>9</xdr:row>
      <xdr:rowOff>30480</xdr:rowOff>
    </xdr:to>
    <xdr:sp>
      <xdr:nvSpPr>
        <xdr:cNvPr id="6151" name="UsernameBox"/>
        <xdr:cNvSpPr>
          <a:spLocks noRot="1"/>
        </xdr:cNvSpPr>
      </xdr:nvSpPr>
      <xdr:spPr>
        <a:xfrm>
          <a:off x="1851660" y="466725"/>
          <a:ext cx="1165860" cy="163830"/>
        </a:xfrm>
        <a:prstGeom prst="rect">
          <a:avLst/>
        </a:prstGeom>
      </xdr:spPr>
    </xdr:sp>
    <xdr:clientData/>
  </xdr:twoCellAnchor>
  <xdr:twoCellAnchor>
    <xdr:from>
      <xdr:col>27</xdr:col>
      <xdr:colOff>0</xdr:colOff>
      <xdr:row>10</xdr:row>
      <xdr:rowOff>0</xdr:rowOff>
    </xdr:from>
    <xdr:to>
      <xdr:col>44</xdr:col>
      <xdr:colOff>0</xdr:colOff>
      <xdr:row>12</xdr:row>
      <xdr:rowOff>30480</xdr:rowOff>
    </xdr:to>
    <xdr:sp>
      <xdr:nvSpPr>
        <xdr:cNvPr id="6154" name="PasswordBox"/>
        <xdr:cNvSpPr>
          <a:spLocks noRot="1"/>
        </xdr:cNvSpPr>
      </xdr:nvSpPr>
      <xdr:spPr>
        <a:xfrm>
          <a:off x="1851660" y="666750"/>
          <a:ext cx="1165860" cy="163830"/>
        </a:xfrm>
        <a:prstGeom prst="rect">
          <a:avLst/>
        </a:prstGeom>
      </xdr:spPr>
    </xdr:sp>
    <xdr:clientData/>
  </xdr:twoCellAnchor>
  <mc:AlternateContent xmlns:mc="http://schemas.openxmlformats.org/markup-compatibility/2006">
    <mc:Choice xmlns:a14="http://schemas.microsoft.com/office/drawing/2010/main" Requires="a14">
      <xdr:twoCellAnchor>
        <xdr:from>
          <xdr:col>46</xdr:col>
          <xdr:colOff>0</xdr:colOff>
          <xdr:row>6</xdr:row>
          <xdr:rowOff>0</xdr:rowOff>
        </xdr:from>
        <xdr:to>
          <xdr:col>56</xdr:col>
          <xdr:colOff>0</xdr:colOff>
          <xdr:row>9</xdr:row>
          <xdr:rowOff>0</xdr:rowOff>
        </xdr:to>
        <xdr:sp>
          <xdr:nvSpPr>
            <xdr:cNvPr id="6146" name="Button 2" hidden="1">
              <a:extLst>
                <a:ext uri="{63B3BB69-23CF-44E3-9099-C40C66FF867C}">
                  <a14:compatExt spid="_x0000_s6146"/>
                </a:ext>
              </a:extLst>
            </xdr:cNvPr>
            <xdr:cNvSpPr/>
          </xdr:nvSpPr>
          <xdr:spPr>
            <a:xfrm>
              <a:off x="3154680" y="400050"/>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46</xdr:col>
          <xdr:colOff>0</xdr:colOff>
          <xdr:row>10</xdr:row>
          <xdr:rowOff>0</xdr:rowOff>
        </xdr:from>
        <xdr:to>
          <xdr:col>56</xdr:col>
          <xdr:colOff>0</xdr:colOff>
          <xdr:row>13</xdr:row>
          <xdr:rowOff>0</xdr:rowOff>
        </xdr:to>
        <xdr:sp>
          <xdr:nvSpPr>
            <xdr:cNvPr id="6147" name="Button 3" hidden="1">
              <a:extLst>
                <a:ext uri="{63B3BB69-23CF-44E3-9099-C40C66FF867C}">
                  <a14:compatExt spid="_x0000_s6147"/>
                </a:ext>
              </a:extLst>
            </xdr:cNvPr>
            <xdr:cNvSpPr/>
          </xdr:nvSpPr>
          <xdr:spPr>
            <a:xfrm>
              <a:off x="3154680" y="666750"/>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Cancel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xdr:row>
          <xdr:rowOff>0</xdr:rowOff>
        </xdr:from>
        <xdr:to>
          <xdr:col>27</xdr:col>
          <xdr:colOff>0</xdr:colOff>
          <xdr:row>12</xdr:row>
          <xdr:rowOff>30480</xdr:rowOff>
        </xdr:to>
        <xdr:sp>
          <xdr:nvSpPr>
            <xdr:cNvPr id="6149" name="Label 5" hidden="1">
              <a:extLst>
                <a:ext uri="{63B3BB69-23CF-44E3-9099-C40C66FF867C}">
                  <a14:compatExt spid="_x0000_s6149"/>
                </a:ext>
              </a:extLst>
            </xdr:cNvPr>
            <xdr:cNvSpPr/>
          </xdr:nvSpPr>
          <xdr:spPr>
            <a:xfrm>
              <a:off x="1234440" y="666750"/>
              <a:ext cx="6172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Password</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xdr:row>
          <xdr:rowOff>0</xdr:rowOff>
        </xdr:from>
        <xdr:to>
          <xdr:col>27</xdr:col>
          <xdr:colOff>0</xdr:colOff>
          <xdr:row>9</xdr:row>
          <xdr:rowOff>30480</xdr:rowOff>
        </xdr:to>
        <xdr:sp>
          <xdr:nvSpPr>
            <xdr:cNvPr id="6150" name="Label 6" hidden="1">
              <a:extLst>
                <a:ext uri="{63B3BB69-23CF-44E3-9099-C40C66FF867C}">
                  <a14:compatExt spid="_x0000_s6150"/>
                </a:ext>
              </a:extLst>
            </xdr:cNvPr>
            <xdr:cNvSpPr/>
          </xdr:nvSpPr>
          <xdr:spPr>
            <a:xfrm>
              <a:off x="1234440" y="466725"/>
              <a:ext cx="6172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Username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10</xdr:col>
      <xdr:colOff>2390775</xdr:colOff>
      <xdr:row>5</xdr:row>
      <xdr:rowOff>28575</xdr:rowOff>
    </xdr:from>
    <xdr:to>
      <xdr:col>10</xdr:col>
      <xdr:colOff>5162550</xdr:colOff>
      <xdr:row>8</xdr:row>
      <xdr:rowOff>114300</xdr:rowOff>
    </xdr:to>
    <xdr:sp>
      <xdr:nvSpPr>
        <xdr:cNvPr id="2" name="TextBox 1"/>
        <xdr:cNvSpPr txBox="1"/>
      </xdr:nvSpPr>
      <xdr:spPr>
        <a:xfrm>
          <a:off x="10455275" y="866775"/>
          <a:ext cx="2771775" cy="13506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mseth Spring 2018 time change: occured</a:t>
          </a:r>
          <a:r>
            <a:rPr lang="en-CA" sz="1100" baseline="0"/>
            <a:t> March 11 at 3am</a:t>
          </a:r>
          <a:endParaRPr lang="en-CA" sz="1100" baseline="0"/>
        </a:p>
        <a:p>
          <a:r>
            <a:rPr lang="en-CA" sz="1100" baseline="0"/>
            <a:t>Pull start march 1 to end march 12 which pulls data for march 1 to 10. Create data for the 11th by pulling hourly  start 11th end 12th. Then run 13th to today.</a:t>
          </a:r>
          <a:endParaRPr lang="en-CA" sz="1100"/>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4</xdr:col>
      <xdr:colOff>552450</xdr:colOff>
      <xdr:row>2</xdr:row>
      <xdr:rowOff>76200</xdr:rowOff>
    </xdr:from>
    <xdr:to>
      <xdr:col>6</xdr:col>
      <xdr:colOff>38100</xdr:colOff>
      <xdr:row>7</xdr:row>
      <xdr:rowOff>114300</xdr:rowOff>
    </xdr:to>
    <xdr:sp>
      <xdr:nvSpPr>
        <xdr:cNvPr id="2" name="Rectangle 1"/>
        <xdr:cNvSpPr/>
      </xdr:nvSpPr>
      <xdr:spPr>
        <a:xfrm>
          <a:off x="3021330" y="411480"/>
          <a:ext cx="720090" cy="876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r>
            <a:rPr lang="en-US" sz="1100"/>
            <a:t>Suncor</a:t>
          </a:r>
          <a:endParaRPr lang="en-US" sz="1100"/>
        </a:p>
        <a:p>
          <a:pPr algn="l"/>
          <a:r>
            <a:rPr lang="en-US" sz="1100"/>
            <a:t>Tk58</a:t>
          </a:r>
          <a:endParaRPr lang="en-US" sz="1100"/>
        </a:p>
      </xdr:txBody>
    </xdr:sp>
    <xdr:clientData/>
  </xdr:twoCellAnchor>
  <xdr:twoCellAnchor>
    <xdr:from>
      <xdr:col>4</xdr:col>
      <xdr:colOff>581025</xdr:colOff>
      <xdr:row>9</xdr:row>
      <xdr:rowOff>152400</xdr:rowOff>
    </xdr:from>
    <xdr:to>
      <xdr:col>6</xdr:col>
      <xdr:colOff>66675</xdr:colOff>
      <xdr:row>15</xdr:row>
      <xdr:rowOff>28575</xdr:rowOff>
    </xdr:to>
    <xdr:sp>
      <xdr:nvSpPr>
        <xdr:cNvPr id="3" name="Rectangle 2"/>
        <xdr:cNvSpPr/>
      </xdr:nvSpPr>
      <xdr:spPr>
        <a:xfrm>
          <a:off x="3049905" y="1661160"/>
          <a:ext cx="720090" cy="8820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Suncor</a:t>
          </a:r>
          <a:endParaRPr lang="en-US" sz="1100"/>
        </a:p>
        <a:p>
          <a:pPr algn="l"/>
          <a:r>
            <a:rPr lang="en-US" sz="1100"/>
            <a:t>Tk 14,</a:t>
          </a:r>
          <a:r>
            <a:rPr lang="en-US" sz="1100" baseline="0"/>
            <a:t> 33, 34</a:t>
          </a:r>
          <a:endParaRPr lang="en-US" sz="1100"/>
        </a:p>
      </xdr:txBody>
    </xdr:sp>
    <xdr:clientData/>
  </xdr:twoCellAnchor>
  <xdr:twoCellAnchor>
    <xdr:from>
      <xdr:col>2</xdr:col>
      <xdr:colOff>19050</xdr:colOff>
      <xdr:row>8</xdr:row>
      <xdr:rowOff>9525</xdr:rowOff>
    </xdr:from>
    <xdr:to>
      <xdr:col>4</xdr:col>
      <xdr:colOff>9525</xdr:colOff>
      <xdr:row>8</xdr:row>
      <xdr:rowOff>9525</xdr:rowOff>
    </xdr:to>
    <xdr:cxnSp>
      <xdr:nvCxnSpPr>
        <xdr:cNvPr id="5" name="Straight Arrow Connector 4"/>
        <xdr:cNvCxnSpPr/>
      </xdr:nvCxnSpPr>
      <xdr:spPr>
        <a:xfrm>
          <a:off x="1253490" y="1350645"/>
          <a:ext cx="122491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0</xdr:rowOff>
    </xdr:from>
    <xdr:to>
      <xdr:col>4</xdr:col>
      <xdr:colOff>590550</xdr:colOff>
      <xdr:row>5</xdr:row>
      <xdr:rowOff>9525</xdr:rowOff>
    </xdr:to>
    <xdr:cxnSp>
      <xdr:nvCxnSpPr>
        <xdr:cNvPr id="6" name="Straight Arrow Connector 5"/>
        <xdr:cNvCxnSpPr/>
      </xdr:nvCxnSpPr>
      <xdr:spPr>
        <a:xfrm flipV="1">
          <a:off x="2487930" y="838200"/>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1</xdr:rowOff>
    </xdr:from>
    <xdr:to>
      <xdr:col>4</xdr:col>
      <xdr:colOff>19050</xdr:colOff>
      <xdr:row>8</xdr:row>
      <xdr:rowOff>57150</xdr:rowOff>
    </xdr:to>
    <xdr:cxnSp>
      <xdr:nvCxnSpPr>
        <xdr:cNvPr id="8" name="Straight Arrow Connector 7"/>
        <xdr:cNvCxnSpPr/>
      </xdr:nvCxnSpPr>
      <xdr:spPr>
        <a:xfrm flipV="1">
          <a:off x="2487930" y="838200"/>
          <a:ext cx="0" cy="56007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12</xdr:row>
      <xdr:rowOff>28575</xdr:rowOff>
    </xdr:from>
    <xdr:to>
      <xdr:col>4</xdr:col>
      <xdr:colOff>571500</xdr:colOff>
      <xdr:row>12</xdr:row>
      <xdr:rowOff>38100</xdr:rowOff>
    </xdr:to>
    <xdr:cxnSp>
      <xdr:nvCxnSpPr>
        <xdr:cNvPr id="11" name="Straight Arrow Connector 10"/>
        <xdr:cNvCxnSpPr/>
      </xdr:nvCxnSpPr>
      <xdr:spPr>
        <a:xfrm flipV="1">
          <a:off x="2468880" y="204025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600075</xdr:colOff>
      <xdr:row>8</xdr:row>
      <xdr:rowOff>85727</xdr:rowOff>
    </xdr:from>
    <xdr:to>
      <xdr:col>4</xdr:col>
      <xdr:colOff>0</xdr:colOff>
      <xdr:row>12</xdr:row>
      <xdr:rowOff>47625</xdr:rowOff>
    </xdr:to>
    <xdr:cxnSp>
      <xdr:nvCxnSpPr>
        <xdr:cNvPr id="12" name="Straight Arrow Connector 11"/>
        <xdr:cNvCxnSpPr/>
      </xdr:nvCxnSpPr>
      <xdr:spPr>
        <a:xfrm flipH="1">
          <a:off x="2451735" y="1426845"/>
          <a:ext cx="17145" cy="63246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38100</xdr:colOff>
      <xdr:row>10</xdr:row>
      <xdr:rowOff>0</xdr:rowOff>
    </xdr:from>
    <xdr:to>
      <xdr:col>4</xdr:col>
      <xdr:colOff>28575</xdr:colOff>
      <xdr:row>10</xdr:row>
      <xdr:rowOff>0</xdr:rowOff>
    </xdr:to>
    <xdr:cxnSp>
      <xdr:nvCxnSpPr>
        <xdr:cNvPr id="14" name="Straight Arrow Connector 13"/>
        <xdr:cNvCxnSpPr/>
      </xdr:nvCxnSpPr>
      <xdr:spPr>
        <a:xfrm>
          <a:off x="1272540" y="1676400"/>
          <a:ext cx="122491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85725</xdr:colOff>
      <xdr:row>5</xdr:row>
      <xdr:rowOff>0</xdr:rowOff>
    </xdr:from>
    <xdr:to>
      <xdr:col>7</xdr:col>
      <xdr:colOff>47625</xdr:colOff>
      <xdr:row>5</xdr:row>
      <xdr:rowOff>9525</xdr:rowOff>
    </xdr:to>
    <xdr:cxnSp>
      <xdr:nvCxnSpPr>
        <xdr:cNvPr id="15" name="Straight Arrow Connector 14"/>
        <xdr:cNvCxnSpPr/>
      </xdr:nvCxnSpPr>
      <xdr:spPr>
        <a:xfrm flipV="1">
          <a:off x="3789045" y="838200"/>
          <a:ext cx="57912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571500</xdr:colOff>
      <xdr:row>2</xdr:row>
      <xdr:rowOff>85725</xdr:rowOff>
    </xdr:from>
    <xdr:to>
      <xdr:col>6</xdr:col>
      <xdr:colOff>47625</xdr:colOff>
      <xdr:row>4</xdr:row>
      <xdr:rowOff>133350</xdr:rowOff>
    </xdr:to>
    <xdr:sp>
      <xdr:nvSpPr>
        <xdr:cNvPr id="16" name="Rectangle 15"/>
        <xdr:cNvSpPr/>
      </xdr:nvSpPr>
      <xdr:spPr>
        <a:xfrm>
          <a:off x="3040380" y="421005"/>
          <a:ext cx="710565" cy="38290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Shell</a:t>
          </a:r>
          <a:endParaRPr lang="en-US" sz="1100"/>
        </a:p>
      </xdr:txBody>
    </xdr:sp>
    <xdr:clientData/>
  </xdr:twoCellAnchor>
  <xdr:twoCellAnchor>
    <xdr:from>
      <xdr:col>7</xdr:col>
      <xdr:colOff>9525</xdr:colOff>
      <xdr:row>9</xdr:row>
      <xdr:rowOff>9526</xdr:rowOff>
    </xdr:from>
    <xdr:to>
      <xdr:col>7</xdr:col>
      <xdr:colOff>9525</xdr:colOff>
      <xdr:row>12</xdr:row>
      <xdr:rowOff>66675</xdr:rowOff>
    </xdr:to>
    <xdr:cxnSp>
      <xdr:nvCxnSpPr>
        <xdr:cNvPr id="17" name="Straight Arrow Connector 16"/>
        <xdr:cNvCxnSpPr/>
      </xdr:nvCxnSpPr>
      <xdr:spPr>
        <a:xfrm flipV="1">
          <a:off x="4330065" y="1518285"/>
          <a:ext cx="0" cy="56007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5</xdr:row>
      <xdr:rowOff>38100</xdr:rowOff>
    </xdr:from>
    <xdr:to>
      <xdr:col>7</xdr:col>
      <xdr:colOff>19050</xdr:colOff>
      <xdr:row>9</xdr:row>
      <xdr:rowOff>0</xdr:rowOff>
    </xdr:to>
    <xdr:cxnSp>
      <xdr:nvCxnSpPr>
        <xdr:cNvPr id="18" name="Straight Arrow Connector 17"/>
        <xdr:cNvCxnSpPr/>
      </xdr:nvCxnSpPr>
      <xdr:spPr>
        <a:xfrm>
          <a:off x="4330065" y="876300"/>
          <a:ext cx="9525" cy="63246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66675</xdr:colOff>
      <xdr:row>12</xdr:row>
      <xdr:rowOff>90488</xdr:rowOff>
    </xdr:from>
    <xdr:to>
      <xdr:col>6</xdr:col>
      <xdr:colOff>590550</xdr:colOff>
      <xdr:row>12</xdr:row>
      <xdr:rowOff>104775</xdr:rowOff>
    </xdr:to>
    <xdr:cxnSp>
      <xdr:nvCxnSpPr>
        <xdr:cNvPr id="20" name="Straight Arrow Connector 19"/>
        <xdr:cNvCxnSpPr>
          <a:stCxn id="3" idx="3"/>
        </xdr:cNvCxnSpPr>
      </xdr:nvCxnSpPr>
      <xdr:spPr>
        <a:xfrm>
          <a:off x="3769995" y="2101850"/>
          <a:ext cx="523875" cy="146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9</xdr:row>
      <xdr:rowOff>9525</xdr:rowOff>
    </xdr:from>
    <xdr:to>
      <xdr:col>8</xdr:col>
      <xdr:colOff>600075</xdr:colOff>
      <xdr:row>9</xdr:row>
      <xdr:rowOff>9525</xdr:rowOff>
    </xdr:to>
    <xdr:cxnSp>
      <xdr:nvCxnSpPr>
        <xdr:cNvPr id="23" name="Straight Arrow Connector 22"/>
        <xdr:cNvCxnSpPr/>
      </xdr:nvCxnSpPr>
      <xdr:spPr>
        <a:xfrm>
          <a:off x="4320540" y="1518285"/>
          <a:ext cx="121729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lesar01\sarnia\Production%20Accounting\Process\2013\03%20March\2013%2003%20March%20ULSD%20Processing-Missing%20Data.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Phd Host"/>
      <sheetName val="ODBC_Module"/>
      <sheetName val="PHD_Core"/>
      <sheetName val="DwayTagList"/>
      <sheetName val="Auto_Module"/>
      <sheetName val="Scratch"/>
      <sheetName val="ODBC_Globals"/>
      <sheetName val="Convert_Module"/>
      <sheetName val="Convert_Dialog"/>
      <sheetName val="Extract Data"/>
      <sheetName val="Data Sheet"/>
      <sheetName val="Tag List"/>
      <sheetName val="TagList_Module"/>
      <sheetName val="Phd Login"/>
      <sheetName val="Taglist"/>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A2" t="str">
            <v>12TI199.PV</v>
          </cell>
          <cell r="B2" t="str">
            <v>CAT TO TOP OF KILN 6</v>
          </cell>
        </row>
        <row r="3">
          <cell r="A3" t="str">
            <v>12TI499.PV</v>
          </cell>
          <cell r="B3" t="str">
            <v>E-187 A&amp;B OUTLET - UPPER CIRC. REFLUX</v>
          </cell>
        </row>
        <row r="4">
          <cell r="A4" t="str">
            <v>17TI299.PV</v>
          </cell>
          <cell r="B4" t="str">
            <v>H-107 TUBE 27 TO R102</v>
          </cell>
        </row>
        <row r="5">
          <cell r="A5" t="str">
            <v>21TI099.PV</v>
          </cell>
          <cell r="B5" t="str">
            <v>Plant 2-Crude-Heater Pass 2 Tubewall-Temperature</v>
          </cell>
        </row>
        <row r="6">
          <cell r="A6" t="str">
            <v>22TI099.PV</v>
          </cell>
          <cell r="B6" t="str">
            <v>Plant 2-Pretreater-H02 Radiant Pass 3 Outlet-Temperature</v>
          </cell>
        </row>
        <row r="7">
          <cell r="A7" t="str">
            <v>22TI199.PV</v>
          </cell>
          <cell r="B7" t="str">
            <v>Plant 2-Pretreater-Nap. Splitter Bottoms to H03-Temperature</v>
          </cell>
        </row>
        <row r="8">
          <cell r="A8" t="str">
            <v>24FI099.PV</v>
          </cell>
          <cell r="B8" t="str">
            <v>Plant 2-BTX-Fuel Gas to Mixed Xylene Reboiler East-Flow</v>
          </cell>
        </row>
        <row r="9">
          <cell r="A9" t="str">
            <v>24FI099Z.OPTOUT</v>
          </cell>
          <cell r="B9" t="str">
            <v>FUEL GAS TO 2-4-H.02(E)</v>
          </cell>
        </row>
        <row r="10">
          <cell r="A10" t="str">
            <v>24FI099Z.PARINP</v>
          </cell>
          <cell r="B10" t="str">
            <v>FUEL GAS TO 24H02(E) (OPT H/AV</v>
          </cell>
        </row>
        <row r="11">
          <cell r="A11" t="str">
            <v>24FI099Z.PAROUT</v>
          </cell>
          <cell r="B11" t="str">
            <v>FUEL GAS TO 2-4-H.02(E)</v>
          </cell>
        </row>
        <row r="12">
          <cell r="A12" t="str">
            <v>24FI099Z.SSDEV</v>
          </cell>
          <cell r="B12" t="str">
            <v>FUEL GAS TO 2-4-H.02(E)</v>
          </cell>
        </row>
        <row r="13">
          <cell r="A13" t="str">
            <v>31CHI99.PV</v>
          </cell>
          <cell r="B13" t="str">
            <v>FRESH FEED 99% POINT BY SIMDIST</v>
          </cell>
        </row>
        <row r="14">
          <cell r="A14" t="str">
            <v>32TI199.PV</v>
          </cell>
          <cell r="B14" t="str">
            <v>PLANT 3 FRACT H-01 OUTLET PASS 2 TEMPERATURE</v>
          </cell>
        </row>
        <row r="15">
          <cell r="A15" t="str">
            <v>33FC999.PV</v>
          </cell>
          <cell r="B15" t="str">
            <v>LARRY'S PV</v>
          </cell>
        </row>
        <row r="16">
          <cell r="A16" t="str">
            <v>33TI199$.CV</v>
          </cell>
          <cell r="B16" t="str">
            <v>33E04 OUTLET TEMPERATURE</v>
          </cell>
        </row>
        <row r="17">
          <cell r="A17" t="str">
            <v>33TI199.PV</v>
          </cell>
          <cell r="B17" t="str">
            <v>PLANT 3 HYDROGEN SHIFT WASTE HEAT EXCH OUTLET TEMPERATURE</v>
          </cell>
        </row>
        <row r="18">
          <cell r="A18" t="str">
            <v>33TI199I.CV</v>
          </cell>
          <cell r="B18" t="str">
            <v>33E04 OUTLET TEMPERATURE</v>
          </cell>
        </row>
        <row r="19">
          <cell r="A19" t="str">
            <v>33TI199O.CV</v>
          </cell>
          <cell r="B19" t="str">
            <v>33E04 OUTLET TEMPERATURE</v>
          </cell>
        </row>
        <row r="20">
          <cell r="A20" t="str">
            <v>33TI199P.CV</v>
          </cell>
          <cell r="B20" t="str">
            <v>33E04 OUTLET TEMPERATURE</v>
          </cell>
        </row>
        <row r="21">
          <cell r="A21" t="str">
            <v>CALCTEST99</v>
          </cell>
          <cell r="B21" t="str">
            <v>LARRY'S TEST</v>
          </cell>
        </row>
      </sheetData>
      <sheetData sheetId="15"/>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9" Type="http://schemas.openxmlformats.org/officeDocument/2006/relationships/ctrlProp" Target="../ctrlProps/ctrlProp10.xml"/><Relationship Id="rId8" Type="http://schemas.openxmlformats.org/officeDocument/2006/relationships/ctrlProp" Target="../ctrlProps/ctrlProp9.xml"/><Relationship Id="rId7" Type="http://schemas.openxmlformats.org/officeDocument/2006/relationships/ctrlProp" Target="../ctrlProps/ctrlProp8.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3" Type="http://schemas.openxmlformats.org/officeDocument/2006/relationships/ctrlProp" Target="../ctrlProps/ctrlProp4.xml"/><Relationship Id="rId2" Type="http://schemas.openxmlformats.org/officeDocument/2006/relationships/vmlDrawing" Target="../drawings/vmlDrawing2.vml"/><Relationship Id="rId11" Type="http://schemas.openxmlformats.org/officeDocument/2006/relationships/ctrlProp" Target="../ctrlProps/ctrlProp12.xml"/><Relationship Id="rId10" Type="http://schemas.openxmlformats.org/officeDocument/2006/relationships/ctrlProp" Target="../ctrlProps/ctrlProp1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hyperlink" Target="../ulsd" TargetMode="External"/></Relationships>
</file>

<file path=xl/worksheets/_rels/sheet11.xml.rels><?xml version="1.0" encoding="UTF-8" standalone="yes"?>
<Relationships xmlns="http://schemas.openxmlformats.org/package/2006/relationships"><Relationship Id="rId9" Type="http://schemas.openxmlformats.org/officeDocument/2006/relationships/ctrlProp" Target="../ctrlProps/ctrlProp19.xml"/><Relationship Id="rId8" Type="http://schemas.openxmlformats.org/officeDocument/2006/relationships/ctrlProp" Target="../ctrlProps/ctrlProp18.xml"/><Relationship Id="rId7" Type="http://schemas.openxmlformats.org/officeDocument/2006/relationships/ctrlProp" Target="../ctrlProps/ctrlProp17.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3" Type="http://schemas.openxmlformats.org/officeDocument/2006/relationships/ctrlProp" Target="../ctrlProps/ctrlProp13.xml"/><Relationship Id="rId2" Type="http://schemas.openxmlformats.org/officeDocument/2006/relationships/vmlDrawing" Target="../drawings/vmlDrawing4.vml"/><Relationship Id="rId12" Type="http://schemas.openxmlformats.org/officeDocument/2006/relationships/ctrlProp" Target="../ctrlProps/ctrlProp22.xml"/><Relationship Id="rId11" Type="http://schemas.openxmlformats.org/officeDocument/2006/relationships/ctrlProp" Target="../ctrlProps/ctrlProp21.xml"/><Relationship Id="rId10" Type="http://schemas.openxmlformats.org/officeDocument/2006/relationships/ctrlProp" Target="../ctrlProps/ctrlProp20.xml"/><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6" Type="http://schemas.openxmlformats.org/officeDocument/2006/relationships/hyperlink" Target="mailto:craig.balliant@shell.com" TargetMode="External"/><Relationship Id="rId5" Type="http://schemas.openxmlformats.org/officeDocument/2006/relationships/hyperlink" Target="mailto:guhamel@suncor.com" TargetMode="External"/><Relationship Id="rId4" Type="http://schemas.openxmlformats.org/officeDocument/2006/relationships/hyperlink" Target="mailto:Elpidio.Guillermo-Jr@shell.com%20or" TargetMode="External"/><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9" Type="http://schemas.openxmlformats.org/officeDocument/2006/relationships/ctrlProp" Target="../ctrlProps/ctrlProp29.xml"/><Relationship Id="rId8" Type="http://schemas.openxmlformats.org/officeDocument/2006/relationships/ctrlProp" Target="../ctrlProps/ctrlProp28.xml"/><Relationship Id="rId7" Type="http://schemas.openxmlformats.org/officeDocument/2006/relationships/ctrlProp" Target="../ctrlProps/ctrlProp27.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3" Type="http://schemas.openxmlformats.org/officeDocument/2006/relationships/ctrlProp" Target="../ctrlProps/ctrlProp23.xml"/><Relationship Id="rId20" Type="http://schemas.openxmlformats.org/officeDocument/2006/relationships/ctrlProp" Target="../ctrlProps/ctrlProp40.xml"/><Relationship Id="rId2" Type="http://schemas.openxmlformats.org/officeDocument/2006/relationships/vmlDrawing" Target="../drawings/vmlDrawing6.vml"/><Relationship Id="rId19" Type="http://schemas.openxmlformats.org/officeDocument/2006/relationships/ctrlProp" Target="../ctrlProps/ctrlProp39.xml"/><Relationship Id="rId18" Type="http://schemas.openxmlformats.org/officeDocument/2006/relationships/ctrlProp" Target="../ctrlProps/ctrlProp38.xml"/><Relationship Id="rId17" Type="http://schemas.openxmlformats.org/officeDocument/2006/relationships/ctrlProp" Target="../ctrlProps/ctrlProp37.xml"/><Relationship Id="rId16" Type="http://schemas.openxmlformats.org/officeDocument/2006/relationships/ctrlProp" Target="../ctrlProps/ctrlProp36.xml"/><Relationship Id="rId15" Type="http://schemas.openxmlformats.org/officeDocument/2006/relationships/ctrlProp" Target="../ctrlProps/ctrlProp35.xml"/><Relationship Id="rId14" Type="http://schemas.openxmlformats.org/officeDocument/2006/relationships/ctrlProp" Target="../ctrlProps/ctrlProp34.xml"/><Relationship Id="rId13" Type="http://schemas.openxmlformats.org/officeDocument/2006/relationships/ctrlProp" Target="../ctrlProps/ctrlProp33.xml"/><Relationship Id="rId12" Type="http://schemas.openxmlformats.org/officeDocument/2006/relationships/ctrlProp" Target="../ctrlProps/ctrlProp32.xml"/><Relationship Id="rId11" Type="http://schemas.openxmlformats.org/officeDocument/2006/relationships/ctrlProp" Target="../ctrlProps/ctrlProp31.xml"/><Relationship Id="rId10" Type="http://schemas.openxmlformats.org/officeDocument/2006/relationships/ctrlProp" Target="../ctrlProps/ctrlProp30.xml"/><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 Id="rId3" Type="http://schemas.openxmlformats.org/officeDocument/2006/relationships/ctrlProp" Target="../ctrlProps/ctrlProp4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3590B4C8-3408-4C22-A182-96D6E61B41FC}" scale="0" showRowCol="0" outlineSymbols="0" zeroValues="0" state="hidden">
      <pageMargins left="0.75" right="0.75" top="1" bottom="1" header="0.5" footer="0.5"/>
      <pageSetup paperSize="1" orientation="portrait"/>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pageSetup paperSize="1" orientation="portrait"/>
      <headerFooter alignWithMargins="0">
        <oddHeader>&amp;C&amp;A</oddHeader>
        <oddFooter>&amp;CPage &amp;P</oddFooter>
      </headerFooter>
    </customSheetView>
    <customSheetView guid="{8BDDDDA7-D938-494A-80FC-9A81AD854C12}" scale="0" showRowCol="0" outlineSymbols="0" zeroValues="0" state="hidden">
      <pageMargins left="0.75" right="0.75" top="1" bottom="1" header="0.5" footer="0.5"/>
      <pageSetup paperSize="1" orientation="portrait"/>
      <headerFooter alignWithMargins="0">
        <oddHeader>&amp;C&amp;A</oddHeader>
        <oddFooter>&amp;CPage &amp;P</oddFooter>
      </headerFooter>
    </customSheetView>
  </customSheetViews>
  <pageMargins left="0.75" right="0.75" top="1" bottom="1" header="0.5" footer="0.5"/>
  <pageSetup paperSize="1" orientation="portrait"/>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6" name="Button 2" r:id="rId3">
              <controlPr defaultSize="0">
                <anchor moveWithCells="1" sizeWithCells="1">
                  <from>
                    <xdr:col>58</xdr:col>
                    <xdr:colOff>0</xdr:colOff>
                    <xdr:row>13</xdr:row>
                    <xdr:rowOff>0</xdr:rowOff>
                  </from>
                  <to>
                    <xdr:col>68</xdr:col>
                    <xdr:colOff>0</xdr:colOff>
                    <xdr:row>16</xdr:row>
                    <xdr:rowOff>0</xdr:rowOff>
                  </to>
                </anchor>
              </controlPr>
            </control>
          </mc:Choice>
        </mc:AlternateContent>
        <mc:AlternateContent xmlns:mc="http://schemas.openxmlformats.org/markup-compatibility/2006">
          <mc:Choice Requires="x14">
            <control shapeId="1027" name="Button 3" r:id="rId4">
              <controlPr defaultSize="0">
                <anchor moveWithCells="1" sizeWithCells="1">
                  <from>
                    <xdr:col>58</xdr:col>
                    <xdr:colOff>0</xdr:colOff>
                    <xdr:row>17</xdr:row>
                    <xdr:rowOff>0</xdr:rowOff>
                  </from>
                  <to>
                    <xdr:col>68</xdr:col>
                    <xdr:colOff>0</xdr:colOff>
                    <xdr:row>20</xdr:row>
                    <xdr:rowOff>0</xdr:rowOff>
                  </to>
                </anchor>
              </controlPr>
            </control>
          </mc:Choice>
        </mc:AlternateContent>
        <mc:AlternateContent xmlns:mc="http://schemas.openxmlformats.org/markup-compatibility/2006">
          <mc:Choice Requires="x14">
            <control shapeId="1029" name="Label 5" r:id="rId5">
              <controlPr defaultSize="0">
                <anchor moveWithCells="1">
                  <from>
                    <xdr:col>33</xdr:col>
                    <xdr:colOff>0</xdr:colOff>
                    <xdr:row>13</xdr:row>
                    <xdr:rowOff>0</xdr:rowOff>
                  </from>
                  <to>
                    <xdr:col>52</xdr:col>
                    <xdr:colOff>0</xdr:colOff>
                    <xdr:row>15</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4583"/>
  <sheetViews>
    <sheetView workbookViewId="0">
      <selection activeCell="A4604" sqref="A4604"/>
    </sheetView>
  </sheetViews>
  <sheetFormatPr defaultColWidth="9" defaultRowHeight="13.2" outlineLevelCol="2"/>
  <cols>
    <col min="1" max="1" width="13" customWidth="1"/>
    <col min="2" max="2" width="41.2685185185185" customWidth="1"/>
    <col min="3" max="3" width="26.1759259259259" customWidth="1"/>
  </cols>
  <sheetData>
    <row r="1" spans="1:3">
      <c r="A1" t="s">
        <v>0</v>
      </c>
      <c r="B1" t="s">
        <v>1</v>
      </c>
      <c r="C1" t="s">
        <v>2</v>
      </c>
    </row>
    <row r="2" spans="1:3">
      <c r="A2" t="s">
        <v>3</v>
      </c>
      <c r="B2" t="s">
        <v>4</v>
      </c>
      <c r="C2" t="s">
        <v>5</v>
      </c>
    </row>
    <row r="3" spans="1:3">
      <c r="A3" t="s">
        <v>6</v>
      </c>
      <c r="B3" t="s">
        <v>7</v>
      </c>
      <c r="C3" t="s">
        <v>8</v>
      </c>
    </row>
    <row r="4" spans="1:3">
      <c r="A4" t="s">
        <v>9</v>
      </c>
      <c r="B4" t="s">
        <v>10</v>
      </c>
      <c r="C4" t="s">
        <v>11</v>
      </c>
    </row>
    <row r="5" spans="1:3">
      <c r="A5" t="s">
        <v>12</v>
      </c>
      <c r="B5" t="s">
        <v>13</v>
      </c>
      <c r="C5" t="s">
        <v>14</v>
      </c>
    </row>
    <row r="6" spans="1:3">
      <c r="A6" t="s">
        <v>15</v>
      </c>
      <c r="B6" t="s">
        <v>16</v>
      </c>
      <c r="C6" t="s">
        <v>17</v>
      </c>
    </row>
    <row r="7" spans="1:3">
      <c r="A7" t="s">
        <v>18</v>
      </c>
      <c r="B7" t="s">
        <v>16</v>
      </c>
      <c r="C7" t="s">
        <v>19</v>
      </c>
    </row>
    <row r="8" spans="1:3">
      <c r="A8" t="s">
        <v>20</v>
      </c>
      <c r="B8" t="s">
        <v>21</v>
      </c>
      <c r="C8" t="s">
        <v>22</v>
      </c>
    </row>
    <row r="9" spans="1:3">
      <c r="A9" t="s">
        <v>23</v>
      </c>
      <c r="B9" t="s">
        <v>7</v>
      </c>
      <c r="C9" t="s">
        <v>24</v>
      </c>
    </row>
    <row r="10" spans="1:3">
      <c r="A10" t="s">
        <v>25</v>
      </c>
      <c r="B10" t="s">
        <v>26</v>
      </c>
      <c r="C10" t="s">
        <v>27</v>
      </c>
    </row>
    <row r="11" spans="1:3">
      <c r="A11" t="s">
        <v>28</v>
      </c>
      <c r="B11" t="s">
        <v>7</v>
      </c>
      <c r="C11" t="s">
        <v>29</v>
      </c>
    </row>
    <row r="12" spans="1:3">
      <c r="A12" t="s">
        <v>30</v>
      </c>
      <c r="B12" t="s">
        <v>31</v>
      </c>
      <c r="C12" t="s">
        <v>32</v>
      </c>
    </row>
    <row r="13" spans="1:3">
      <c r="A13" t="s">
        <v>33</v>
      </c>
      <c r="B13" t="s">
        <v>31</v>
      </c>
      <c r="C13" t="s">
        <v>34</v>
      </c>
    </row>
    <row r="14" spans="1:3">
      <c r="A14" t="s">
        <v>35</v>
      </c>
      <c r="B14" t="s">
        <v>36</v>
      </c>
      <c r="C14" t="s">
        <v>37</v>
      </c>
    </row>
    <row r="15" spans="1:3">
      <c r="A15" t="s">
        <v>38</v>
      </c>
      <c r="B15" t="s">
        <v>36</v>
      </c>
      <c r="C15" t="s">
        <v>39</v>
      </c>
    </row>
    <row r="16" spans="1:3">
      <c r="A16" t="s">
        <v>40</v>
      </c>
      <c r="B16" t="s">
        <v>41</v>
      </c>
      <c r="C16" s="256" t="s">
        <v>42</v>
      </c>
    </row>
    <row r="17" spans="1:3">
      <c r="A17" t="s">
        <v>43</v>
      </c>
      <c r="B17" t="s">
        <v>41</v>
      </c>
      <c r="C17" s="256" t="s">
        <v>44</v>
      </c>
    </row>
    <row r="18" spans="1:3">
      <c r="A18" t="s">
        <v>45</v>
      </c>
      <c r="B18" t="s">
        <v>46</v>
      </c>
      <c r="C18" s="256" t="s">
        <v>47</v>
      </c>
    </row>
    <row r="19" spans="1:3">
      <c r="A19" t="s">
        <v>48</v>
      </c>
      <c r="B19" t="s">
        <v>46</v>
      </c>
      <c r="C19" s="256" t="s">
        <v>49</v>
      </c>
    </row>
    <row r="20" spans="1:3">
      <c r="A20" t="s">
        <v>50</v>
      </c>
      <c r="B20" t="s">
        <v>51</v>
      </c>
      <c r="C20" s="256" t="s">
        <v>52</v>
      </c>
    </row>
    <row r="21" spans="1:3">
      <c r="A21" t="s">
        <v>53</v>
      </c>
      <c r="B21" t="s">
        <v>51</v>
      </c>
      <c r="C21" s="256" t="s">
        <v>54</v>
      </c>
    </row>
    <row r="22" spans="1:3">
      <c r="A22" t="s">
        <v>55</v>
      </c>
      <c r="B22" t="s">
        <v>56</v>
      </c>
      <c r="C22" s="256" t="s">
        <v>57</v>
      </c>
    </row>
    <row r="23" spans="1:3">
      <c r="A23" t="s">
        <v>58</v>
      </c>
      <c r="B23" t="s">
        <v>56</v>
      </c>
      <c r="C23" s="256" t="s">
        <v>59</v>
      </c>
    </row>
    <row r="24" spans="1:3">
      <c r="A24" t="s">
        <v>60</v>
      </c>
      <c r="B24" t="s">
        <v>61</v>
      </c>
      <c r="C24" s="256" t="s">
        <v>62</v>
      </c>
    </row>
    <row r="25" spans="1:3">
      <c r="A25" t="s">
        <v>63</v>
      </c>
      <c r="B25" t="s">
        <v>64</v>
      </c>
      <c r="C25" s="256" t="s">
        <v>65</v>
      </c>
    </row>
    <row r="26" spans="1:3">
      <c r="A26" t="s">
        <v>66</v>
      </c>
      <c r="B26" t="s">
        <v>67</v>
      </c>
      <c r="C26" s="74" t="s">
        <v>68</v>
      </c>
    </row>
    <row r="27" spans="1:3">
      <c r="A27" t="s">
        <v>69</v>
      </c>
      <c r="B27" t="s">
        <v>70</v>
      </c>
      <c r="C27" t="s">
        <v>71</v>
      </c>
    </row>
    <row r="28" spans="1:3">
      <c r="A28" t="s">
        <v>72</v>
      </c>
      <c r="B28" t="s">
        <v>73</v>
      </c>
      <c r="C28" t="s">
        <v>74</v>
      </c>
    </row>
    <row r="29" spans="1:3">
      <c r="A29" t="s">
        <v>75</v>
      </c>
      <c r="C29" s="257" t="s">
        <v>76</v>
      </c>
    </row>
    <row r="30" spans="1:3">
      <c r="A30" t="s">
        <v>77</v>
      </c>
      <c r="C30" s="257" t="s">
        <v>78</v>
      </c>
    </row>
    <row r="31" spans="1:3">
      <c r="A31" t="s">
        <v>79</v>
      </c>
      <c r="C31" s="257" t="s">
        <v>80</v>
      </c>
    </row>
    <row r="32" spans="1:3">
      <c r="A32" t="s">
        <v>81</v>
      </c>
      <c r="C32" s="257" t="s">
        <v>82</v>
      </c>
    </row>
    <row r="33" spans="1:3">
      <c r="A33" t="s">
        <v>83</v>
      </c>
      <c r="C33" s="257" t="s">
        <v>84</v>
      </c>
    </row>
    <row r="34" spans="1:3">
      <c r="A34" t="s">
        <v>85</v>
      </c>
      <c r="C34" s="257" t="s">
        <v>86</v>
      </c>
    </row>
    <row r="35" spans="1:3">
      <c r="A35" t="s">
        <v>87</v>
      </c>
      <c r="C35" s="257" t="s">
        <v>88</v>
      </c>
    </row>
    <row r="36" spans="1:3">
      <c r="A36" t="s">
        <v>89</v>
      </c>
      <c r="C36" s="257" t="s">
        <v>90</v>
      </c>
    </row>
    <row r="37" spans="1:3">
      <c r="A37" t="s">
        <v>91</v>
      </c>
      <c r="C37" s="257" t="s">
        <v>92</v>
      </c>
    </row>
    <row r="38" spans="1:3">
      <c r="A38" t="s">
        <v>93</v>
      </c>
      <c r="C38" s="257" t="s">
        <v>94</v>
      </c>
    </row>
    <row r="39" spans="1:3">
      <c r="A39" t="s">
        <v>95</v>
      </c>
      <c r="C39" s="257" t="s">
        <v>96</v>
      </c>
    </row>
    <row r="40" spans="1:3">
      <c r="A40" t="s">
        <v>97</v>
      </c>
      <c r="C40" s="257" t="s">
        <v>98</v>
      </c>
    </row>
    <row r="41" spans="1:3">
      <c r="A41" t="s">
        <v>99</v>
      </c>
      <c r="C41" s="257" t="s">
        <v>100</v>
      </c>
    </row>
    <row r="42" spans="1:3">
      <c r="A42" t="s">
        <v>101</v>
      </c>
      <c r="C42" s="257" t="s">
        <v>102</v>
      </c>
    </row>
    <row r="43" spans="1:3">
      <c r="A43" t="s">
        <v>103</v>
      </c>
      <c r="C43" s="257" t="s">
        <v>104</v>
      </c>
    </row>
    <row r="44" spans="1:3">
      <c r="A44" t="s">
        <v>105</v>
      </c>
      <c r="C44" s="257" t="s">
        <v>106</v>
      </c>
    </row>
    <row r="45" spans="1:3">
      <c r="A45" t="s">
        <v>107</v>
      </c>
      <c r="C45" s="257" t="s">
        <v>108</v>
      </c>
    </row>
    <row r="46" spans="1:3">
      <c r="A46" t="s">
        <v>109</v>
      </c>
      <c r="C46" s="257" t="s">
        <v>110</v>
      </c>
    </row>
    <row r="47" spans="1:3">
      <c r="A47" t="s">
        <v>111</v>
      </c>
      <c r="C47" s="257" t="s">
        <v>112</v>
      </c>
    </row>
    <row r="48" spans="1:3">
      <c r="A48" t="s">
        <v>113</v>
      </c>
      <c r="C48" s="257" t="s">
        <v>114</v>
      </c>
    </row>
    <row r="49" spans="1:3">
      <c r="A49" t="s">
        <v>115</v>
      </c>
      <c r="C49" s="257" t="s">
        <v>116</v>
      </c>
    </row>
    <row r="50" spans="1:3">
      <c r="A50" t="s">
        <v>117</v>
      </c>
      <c r="C50" s="257" t="s">
        <v>118</v>
      </c>
    </row>
    <row r="51" spans="1:3">
      <c r="A51" t="s">
        <v>119</v>
      </c>
      <c r="B51" t="s">
        <v>120</v>
      </c>
      <c r="C51" t="s">
        <v>121</v>
      </c>
    </row>
    <row r="52" spans="1:3">
      <c r="A52" t="s">
        <v>122</v>
      </c>
      <c r="B52" t="s">
        <v>123</v>
      </c>
      <c r="C52" t="s">
        <v>124</v>
      </c>
    </row>
    <row r="53" spans="1:3">
      <c r="A53" t="s">
        <v>125</v>
      </c>
      <c r="B53" t="s">
        <v>126</v>
      </c>
      <c r="C53" t="s">
        <v>127</v>
      </c>
    </row>
    <row r="54" spans="1:3">
      <c r="A54" t="s">
        <v>128</v>
      </c>
      <c r="B54" t="s">
        <v>129</v>
      </c>
      <c r="C54" t="s">
        <v>130</v>
      </c>
    </row>
    <row r="55" spans="1:3">
      <c r="A55" t="s">
        <v>131</v>
      </c>
      <c r="B55" t="s">
        <v>132</v>
      </c>
      <c r="C55" t="s">
        <v>133</v>
      </c>
    </row>
    <row r="56" spans="1:3">
      <c r="A56" t="s">
        <v>134</v>
      </c>
      <c r="B56" t="s">
        <v>135</v>
      </c>
      <c r="C56" t="s">
        <v>136</v>
      </c>
    </row>
    <row r="57" spans="1:3">
      <c r="A57" t="s">
        <v>137</v>
      </c>
      <c r="B57" t="s">
        <v>138</v>
      </c>
      <c r="C57" t="s">
        <v>139</v>
      </c>
    </row>
    <row r="58" spans="1:3">
      <c r="A58" t="s">
        <v>140</v>
      </c>
      <c r="B58" t="s">
        <v>141</v>
      </c>
      <c r="C58" t="s">
        <v>142</v>
      </c>
    </row>
    <row r="59" spans="1:3">
      <c r="A59" t="s">
        <v>143</v>
      </c>
      <c r="B59" t="s">
        <v>144</v>
      </c>
      <c r="C59" t="s">
        <v>145</v>
      </c>
    </row>
    <row r="60" spans="1:3">
      <c r="A60" t="s">
        <v>146</v>
      </c>
      <c r="B60" t="s">
        <v>147</v>
      </c>
      <c r="C60" t="s">
        <v>148</v>
      </c>
    </row>
    <row r="61" spans="1:3">
      <c r="A61" t="s">
        <v>149</v>
      </c>
      <c r="B61" t="s">
        <v>150</v>
      </c>
      <c r="C61" t="s">
        <v>151</v>
      </c>
    </row>
    <row r="62" spans="1:3">
      <c r="A62" t="s">
        <v>152</v>
      </c>
      <c r="B62" t="s">
        <v>153</v>
      </c>
      <c r="C62" t="s">
        <v>154</v>
      </c>
    </row>
    <row r="63" spans="1:3">
      <c r="A63" t="s">
        <v>155</v>
      </c>
      <c r="B63" t="s">
        <v>156</v>
      </c>
      <c r="C63" t="s">
        <v>157</v>
      </c>
    </row>
    <row r="64" spans="1:3">
      <c r="A64" t="s">
        <v>158</v>
      </c>
      <c r="B64" t="s">
        <v>159</v>
      </c>
      <c r="C64" t="s">
        <v>160</v>
      </c>
    </row>
    <row r="65" spans="1:3">
      <c r="A65" t="s">
        <v>161</v>
      </c>
      <c r="B65" t="s">
        <v>162</v>
      </c>
      <c r="C65" t="s">
        <v>163</v>
      </c>
    </row>
    <row r="66" spans="1:3">
      <c r="A66" t="s">
        <v>164</v>
      </c>
      <c r="B66" t="s">
        <v>165</v>
      </c>
      <c r="C66" t="s">
        <v>166</v>
      </c>
    </row>
    <row r="67" spans="1:3">
      <c r="A67" t="s">
        <v>167</v>
      </c>
      <c r="B67" t="s">
        <v>168</v>
      </c>
      <c r="C67" t="s">
        <v>169</v>
      </c>
    </row>
    <row r="68" spans="1:3">
      <c r="A68" t="s">
        <v>170</v>
      </c>
      <c r="B68" t="s">
        <v>171</v>
      </c>
      <c r="C68" t="s">
        <v>172</v>
      </c>
    </row>
    <row r="69" spans="1:3">
      <c r="A69" t="s">
        <v>173</v>
      </c>
      <c r="B69" t="s">
        <v>174</v>
      </c>
      <c r="C69" t="s">
        <v>175</v>
      </c>
    </row>
    <row r="70" spans="1:3">
      <c r="A70" t="s">
        <v>176</v>
      </c>
      <c r="B70" t="s">
        <v>177</v>
      </c>
      <c r="C70" t="s">
        <v>178</v>
      </c>
    </row>
    <row r="71" spans="1:3">
      <c r="A71" t="s">
        <v>179</v>
      </c>
      <c r="B71" t="s">
        <v>180</v>
      </c>
      <c r="C71" t="s">
        <v>181</v>
      </c>
    </row>
    <row r="72" spans="1:3">
      <c r="A72" t="s">
        <v>182</v>
      </c>
      <c r="B72" t="s">
        <v>183</v>
      </c>
      <c r="C72" t="s">
        <v>184</v>
      </c>
    </row>
    <row r="73" spans="1:3">
      <c r="A73" t="s">
        <v>185</v>
      </c>
      <c r="B73" t="s">
        <v>186</v>
      </c>
      <c r="C73" t="s">
        <v>187</v>
      </c>
    </row>
    <row r="74" spans="1:3">
      <c r="A74" t="s">
        <v>188</v>
      </c>
      <c r="B74" t="s">
        <v>189</v>
      </c>
      <c r="C74" t="s">
        <v>190</v>
      </c>
    </row>
    <row r="75" spans="1:3">
      <c r="A75" t="s">
        <v>191</v>
      </c>
      <c r="B75" t="s">
        <v>192</v>
      </c>
      <c r="C75" t="s">
        <v>193</v>
      </c>
    </row>
    <row r="76" spans="1:3">
      <c r="A76" t="s">
        <v>194</v>
      </c>
      <c r="B76" t="s">
        <v>195</v>
      </c>
      <c r="C76" t="s">
        <v>196</v>
      </c>
    </row>
    <row r="77" spans="1:3">
      <c r="A77" t="s">
        <v>197</v>
      </c>
      <c r="B77" t="s">
        <v>198</v>
      </c>
      <c r="C77" t="s">
        <v>199</v>
      </c>
    </row>
    <row r="78" spans="1:3">
      <c r="A78" t="s">
        <v>200</v>
      </c>
      <c r="B78" t="s">
        <v>201</v>
      </c>
      <c r="C78" t="s">
        <v>202</v>
      </c>
    </row>
    <row r="79" spans="1:3">
      <c r="A79" t="s">
        <v>203</v>
      </c>
      <c r="B79" t="s">
        <v>204</v>
      </c>
      <c r="C79" t="s">
        <v>205</v>
      </c>
    </row>
    <row r="80" spans="1:3">
      <c r="A80" t="s">
        <v>206</v>
      </c>
      <c r="B80" t="s">
        <v>207</v>
      </c>
      <c r="C80" t="s">
        <v>208</v>
      </c>
    </row>
    <row r="81" spans="1:3">
      <c r="A81" t="s">
        <v>209</v>
      </c>
      <c r="B81" t="s">
        <v>4</v>
      </c>
      <c r="C81" t="s">
        <v>210</v>
      </c>
    </row>
    <row r="82" spans="1:3">
      <c r="A82" t="s">
        <v>211</v>
      </c>
      <c r="B82" t="s">
        <v>212</v>
      </c>
      <c r="C82" t="s">
        <v>213</v>
      </c>
    </row>
    <row r="83" spans="1:3">
      <c r="A83" t="s">
        <v>214</v>
      </c>
      <c r="B83" t="s">
        <v>215</v>
      </c>
      <c r="C83" t="s">
        <v>216</v>
      </c>
    </row>
    <row r="84" spans="1:3">
      <c r="A84" t="s">
        <v>217</v>
      </c>
      <c r="B84" t="s">
        <v>218</v>
      </c>
      <c r="C84" t="s">
        <v>219</v>
      </c>
    </row>
    <row r="85" spans="1:3">
      <c r="A85" t="s">
        <v>220</v>
      </c>
      <c r="B85" t="s">
        <v>221</v>
      </c>
      <c r="C85" t="s">
        <v>222</v>
      </c>
    </row>
    <row r="86" spans="1:3">
      <c r="A86" t="s">
        <v>223</v>
      </c>
      <c r="B86" t="s">
        <v>224</v>
      </c>
      <c r="C86" t="s">
        <v>225</v>
      </c>
    </row>
    <row r="87" spans="1:3">
      <c r="A87" t="s">
        <v>226</v>
      </c>
      <c r="B87" t="s">
        <v>227</v>
      </c>
      <c r="C87" t="s">
        <v>228</v>
      </c>
    </row>
    <row r="88" spans="1:3">
      <c r="A88" t="s">
        <v>229</v>
      </c>
      <c r="B88" t="s">
        <v>230</v>
      </c>
      <c r="C88" t="s">
        <v>231</v>
      </c>
    </row>
    <row r="89" spans="1:3">
      <c r="A89" t="s">
        <v>232</v>
      </c>
      <c r="B89" t="s">
        <v>233</v>
      </c>
      <c r="C89" t="s">
        <v>234</v>
      </c>
    </row>
    <row r="90" spans="1:3">
      <c r="A90" t="s">
        <v>235</v>
      </c>
      <c r="B90" t="s">
        <v>236</v>
      </c>
      <c r="C90" t="s">
        <v>237</v>
      </c>
    </row>
    <row r="91" spans="1:3">
      <c r="A91" t="s">
        <v>238</v>
      </c>
      <c r="B91" t="s">
        <v>239</v>
      </c>
      <c r="C91" t="s">
        <v>240</v>
      </c>
    </row>
    <row r="92" spans="1:3">
      <c r="A92" t="s">
        <v>241</v>
      </c>
      <c r="B92" t="s">
        <v>242</v>
      </c>
      <c r="C92" t="s">
        <v>243</v>
      </c>
    </row>
    <row r="93" spans="1:3">
      <c r="A93" t="s">
        <v>244</v>
      </c>
      <c r="B93" t="s">
        <v>245</v>
      </c>
      <c r="C93" t="s">
        <v>246</v>
      </c>
    </row>
    <row r="94" spans="1:3">
      <c r="A94" t="s">
        <v>247</v>
      </c>
      <c r="B94" t="s">
        <v>248</v>
      </c>
      <c r="C94" t="s">
        <v>249</v>
      </c>
    </row>
    <row r="95" spans="1:3">
      <c r="A95" t="s">
        <v>250</v>
      </c>
      <c r="B95" t="s">
        <v>251</v>
      </c>
      <c r="C95" t="s">
        <v>252</v>
      </c>
    </row>
    <row r="96" spans="1:3">
      <c r="A96" t="s">
        <v>253</v>
      </c>
      <c r="B96" t="s">
        <v>254</v>
      </c>
      <c r="C96" t="s">
        <v>255</v>
      </c>
    </row>
    <row r="97" spans="1:3">
      <c r="A97" t="s">
        <v>256</v>
      </c>
      <c r="B97" t="s">
        <v>257</v>
      </c>
      <c r="C97" t="s">
        <v>258</v>
      </c>
    </row>
    <row r="98" spans="1:3">
      <c r="A98" t="s">
        <v>259</v>
      </c>
      <c r="B98" t="s">
        <v>260</v>
      </c>
      <c r="C98" t="s">
        <v>261</v>
      </c>
    </row>
    <row r="99" spans="1:3">
      <c r="A99" t="s">
        <v>262</v>
      </c>
      <c r="B99" t="s">
        <v>263</v>
      </c>
      <c r="C99" t="s">
        <v>264</v>
      </c>
    </row>
    <row r="100" spans="1:3">
      <c r="A100" t="s">
        <v>265</v>
      </c>
      <c r="B100" t="s">
        <v>266</v>
      </c>
      <c r="C100" t="s">
        <v>267</v>
      </c>
    </row>
    <row r="101" spans="1:3">
      <c r="A101" t="s">
        <v>268</v>
      </c>
      <c r="B101" t="s">
        <v>269</v>
      </c>
      <c r="C101" t="s">
        <v>270</v>
      </c>
    </row>
    <row r="102" spans="1:3">
      <c r="A102" t="s">
        <v>271</v>
      </c>
      <c r="B102" t="s">
        <v>272</v>
      </c>
      <c r="C102" t="s">
        <v>273</v>
      </c>
    </row>
    <row r="103" spans="1:3">
      <c r="A103" t="s">
        <v>274</v>
      </c>
      <c r="B103" t="s">
        <v>275</v>
      </c>
      <c r="C103" t="s">
        <v>276</v>
      </c>
    </row>
    <row r="104" spans="1:3">
      <c r="A104" t="s">
        <v>277</v>
      </c>
      <c r="B104" t="s">
        <v>278</v>
      </c>
      <c r="C104" t="s">
        <v>279</v>
      </c>
    </row>
    <row r="105" spans="1:3">
      <c r="A105" t="s">
        <v>280</v>
      </c>
      <c r="B105" t="s">
        <v>281</v>
      </c>
      <c r="C105" t="s">
        <v>282</v>
      </c>
    </row>
    <row r="106" spans="1:3">
      <c r="A106" t="s">
        <v>283</v>
      </c>
      <c r="B106" t="s">
        <v>284</v>
      </c>
      <c r="C106" t="s">
        <v>285</v>
      </c>
    </row>
    <row r="107" spans="1:3">
      <c r="A107" t="s">
        <v>286</v>
      </c>
      <c r="B107" t="s">
        <v>287</v>
      </c>
      <c r="C107" t="s">
        <v>288</v>
      </c>
    </row>
    <row r="108" spans="1:3">
      <c r="A108" t="s">
        <v>289</v>
      </c>
      <c r="B108" t="s">
        <v>290</v>
      </c>
      <c r="C108" t="s">
        <v>291</v>
      </c>
    </row>
    <row r="109" spans="1:3">
      <c r="A109" t="s">
        <v>292</v>
      </c>
      <c r="B109" t="s">
        <v>293</v>
      </c>
      <c r="C109" t="s">
        <v>294</v>
      </c>
    </row>
    <row r="110" spans="1:3">
      <c r="A110" t="s">
        <v>295</v>
      </c>
      <c r="B110" t="s">
        <v>296</v>
      </c>
      <c r="C110" t="s">
        <v>297</v>
      </c>
    </row>
    <row r="111" spans="1:3">
      <c r="A111" t="s">
        <v>298</v>
      </c>
      <c r="B111" t="s">
        <v>299</v>
      </c>
      <c r="C111" t="s">
        <v>300</v>
      </c>
    </row>
    <row r="112" spans="1:3">
      <c r="A112" t="s">
        <v>301</v>
      </c>
      <c r="B112" t="s">
        <v>302</v>
      </c>
      <c r="C112" t="s">
        <v>303</v>
      </c>
    </row>
    <row r="113" spans="1:3">
      <c r="A113" t="s">
        <v>304</v>
      </c>
      <c r="B113" t="s">
        <v>305</v>
      </c>
      <c r="C113" t="s">
        <v>306</v>
      </c>
    </row>
    <row r="114" spans="1:3">
      <c r="A114" t="s">
        <v>307</v>
      </c>
      <c r="B114" t="s">
        <v>308</v>
      </c>
      <c r="C114" t="s">
        <v>309</v>
      </c>
    </row>
    <row r="115" spans="1:3">
      <c r="A115" t="s">
        <v>310</v>
      </c>
      <c r="B115" t="s">
        <v>311</v>
      </c>
      <c r="C115" t="s">
        <v>312</v>
      </c>
    </row>
    <row r="116" spans="1:3">
      <c r="A116" t="s">
        <v>313</v>
      </c>
      <c r="B116" t="s">
        <v>314</v>
      </c>
      <c r="C116" t="s">
        <v>315</v>
      </c>
    </row>
    <row r="117" spans="1:3">
      <c r="A117" t="s">
        <v>316</v>
      </c>
      <c r="B117" t="s">
        <v>317</v>
      </c>
      <c r="C117" t="s">
        <v>318</v>
      </c>
    </row>
    <row r="118" spans="1:3">
      <c r="A118" t="s">
        <v>319</v>
      </c>
      <c r="B118" t="s">
        <v>320</v>
      </c>
      <c r="C118" t="s">
        <v>321</v>
      </c>
    </row>
    <row r="119" spans="1:3">
      <c r="A119" t="s">
        <v>322</v>
      </c>
      <c r="B119" t="s">
        <v>323</v>
      </c>
      <c r="C119" t="s">
        <v>324</v>
      </c>
    </row>
    <row r="120" spans="1:3">
      <c r="A120" t="s">
        <v>325</v>
      </c>
      <c r="B120" t="s">
        <v>326</v>
      </c>
      <c r="C120" t="s">
        <v>327</v>
      </c>
    </row>
    <row r="121" spans="1:3">
      <c r="A121" t="s">
        <v>328</v>
      </c>
      <c r="B121" t="s">
        <v>329</v>
      </c>
      <c r="C121" t="s">
        <v>330</v>
      </c>
    </row>
    <row r="122" spans="1:3">
      <c r="A122" t="s">
        <v>331</v>
      </c>
      <c r="B122" t="s">
        <v>332</v>
      </c>
      <c r="C122" t="s">
        <v>333</v>
      </c>
    </row>
    <row r="123" spans="1:3">
      <c r="A123" t="s">
        <v>334</v>
      </c>
      <c r="B123" t="s">
        <v>335</v>
      </c>
      <c r="C123" t="s">
        <v>336</v>
      </c>
    </row>
    <row r="124" spans="1:3">
      <c r="A124" t="s">
        <v>337</v>
      </c>
      <c r="B124" t="s">
        <v>338</v>
      </c>
      <c r="C124" t="s">
        <v>339</v>
      </c>
    </row>
    <row r="125" spans="1:3">
      <c r="A125" t="s">
        <v>340</v>
      </c>
      <c r="B125" t="s">
        <v>341</v>
      </c>
      <c r="C125" t="s">
        <v>342</v>
      </c>
    </row>
    <row r="126" spans="1:3">
      <c r="A126" t="s">
        <v>343</v>
      </c>
      <c r="B126" t="s">
        <v>344</v>
      </c>
      <c r="C126" t="s">
        <v>345</v>
      </c>
    </row>
    <row r="127" spans="1:3">
      <c r="A127" t="s">
        <v>346</v>
      </c>
      <c r="B127" t="s">
        <v>347</v>
      </c>
      <c r="C127" t="s">
        <v>348</v>
      </c>
    </row>
    <row r="128" spans="1:3">
      <c r="A128" t="s">
        <v>349</v>
      </c>
      <c r="B128" t="s">
        <v>350</v>
      </c>
      <c r="C128" t="s">
        <v>351</v>
      </c>
    </row>
    <row r="129" spans="1:3">
      <c r="A129" t="s">
        <v>352</v>
      </c>
      <c r="B129" t="s">
        <v>353</v>
      </c>
      <c r="C129" t="s">
        <v>354</v>
      </c>
    </row>
    <row r="130" spans="1:3">
      <c r="A130" t="s">
        <v>355</v>
      </c>
      <c r="B130" t="s">
        <v>356</v>
      </c>
      <c r="C130" t="s">
        <v>357</v>
      </c>
    </row>
    <row r="131" spans="1:3">
      <c r="A131" t="s">
        <v>358</v>
      </c>
      <c r="B131" t="s">
        <v>359</v>
      </c>
      <c r="C131" t="s">
        <v>360</v>
      </c>
    </row>
    <row r="132" spans="1:3">
      <c r="A132" t="s">
        <v>361</v>
      </c>
      <c r="B132" t="s">
        <v>362</v>
      </c>
      <c r="C132" t="s">
        <v>363</v>
      </c>
    </row>
    <row r="133" spans="1:3">
      <c r="A133" t="s">
        <v>364</v>
      </c>
      <c r="B133" t="s">
        <v>365</v>
      </c>
      <c r="C133" t="s">
        <v>366</v>
      </c>
    </row>
    <row r="134" spans="1:3">
      <c r="A134" t="s">
        <v>367</v>
      </c>
      <c r="B134" t="s">
        <v>368</v>
      </c>
      <c r="C134" t="s">
        <v>369</v>
      </c>
    </row>
    <row r="135" spans="1:3">
      <c r="A135" t="s">
        <v>370</v>
      </c>
      <c r="B135" t="s">
        <v>371</v>
      </c>
      <c r="C135" t="s">
        <v>372</v>
      </c>
    </row>
    <row r="136" spans="1:3">
      <c r="A136" t="s">
        <v>373</v>
      </c>
      <c r="B136" t="s">
        <v>374</v>
      </c>
      <c r="C136" t="s">
        <v>375</v>
      </c>
    </row>
    <row r="137" spans="1:3">
      <c r="A137" t="s">
        <v>376</v>
      </c>
      <c r="B137" t="s">
        <v>377</v>
      </c>
      <c r="C137" t="s">
        <v>378</v>
      </c>
    </row>
    <row r="138" spans="1:3">
      <c r="A138" t="s">
        <v>379</v>
      </c>
      <c r="B138" t="s">
        <v>380</v>
      </c>
      <c r="C138" t="s">
        <v>381</v>
      </c>
    </row>
    <row r="139" spans="1:3">
      <c r="A139" t="s">
        <v>382</v>
      </c>
      <c r="B139" t="s">
        <v>383</v>
      </c>
      <c r="C139" t="s">
        <v>384</v>
      </c>
    </row>
    <row r="140" spans="1:3">
      <c r="A140" t="s">
        <v>385</v>
      </c>
      <c r="B140" t="s">
        <v>386</v>
      </c>
      <c r="C140" t="s">
        <v>387</v>
      </c>
    </row>
    <row r="141" spans="1:3">
      <c r="A141" t="s">
        <v>388</v>
      </c>
      <c r="B141" t="s">
        <v>389</v>
      </c>
      <c r="C141" t="s">
        <v>390</v>
      </c>
    </row>
    <row r="142" spans="1:3">
      <c r="A142" t="s">
        <v>391</v>
      </c>
      <c r="B142" t="s">
        <v>392</v>
      </c>
      <c r="C142" t="s">
        <v>393</v>
      </c>
    </row>
    <row r="143" spans="1:3">
      <c r="A143" t="s">
        <v>394</v>
      </c>
      <c r="B143" t="s">
        <v>395</v>
      </c>
      <c r="C143" t="s">
        <v>396</v>
      </c>
    </row>
    <row r="144" spans="1:3">
      <c r="A144" t="s">
        <v>397</v>
      </c>
      <c r="B144" t="s">
        <v>398</v>
      </c>
      <c r="C144" t="s">
        <v>399</v>
      </c>
    </row>
    <row r="145" spans="1:3">
      <c r="A145" t="s">
        <v>400</v>
      </c>
      <c r="B145" t="s">
        <v>401</v>
      </c>
      <c r="C145" t="s">
        <v>402</v>
      </c>
    </row>
    <row r="146" spans="1:3">
      <c r="A146" t="s">
        <v>403</v>
      </c>
      <c r="B146" t="s">
        <v>404</v>
      </c>
      <c r="C146" t="s">
        <v>405</v>
      </c>
    </row>
    <row r="147" spans="1:3">
      <c r="A147" t="s">
        <v>406</v>
      </c>
      <c r="B147" t="s">
        <v>407</v>
      </c>
      <c r="C147" t="s">
        <v>408</v>
      </c>
    </row>
    <row r="148" spans="1:3">
      <c r="A148" t="s">
        <v>409</v>
      </c>
      <c r="B148" t="s">
        <v>410</v>
      </c>
      <c r="C148" t="s">
        <v>411</v>
      </c>
    </row>
    <row r="149" spans="1:3">
      <c r="A149" t="s">
        <v>412</v>
      </c>
      <c r="B149" t="s">
        <v>413</v>
      </c>
      <c r="C149" t="s">
        <v>414</v>
      </c>
    </row>
    <row r="150" spans="1:3">
      <c r="A150" t="s">
        <v>415</v>
      </c>
      <c r="B150" t="s">
        <v>416</v>
      </c>
      <c r="C150" t="s">
        <v>417</v>
      </c>
    </row>
    <row r="151" spans="1:3">
      <c r="A151" t="s">
        <v>418</v>
      </c>
      <c r="B151" t="s">
        <v>419</v>
      </c>
      <c r="C151" t="s">
        <v>420</v>
      </c>
    </row>
    <row r="152" spans="1:3">
      <c r="A152" t="s">
        <v>421</v>
      </c>
      <c r="B152" t="s">
        <v>422</v>
      </c>
      <c r="C152" t="s">
        <v>423</v>
      </c>
    </row>
    <row r="153" spans="1:3">
      <c r="A153" t="s">
        <v>424</v>
      </c>
      <c r="B153" t="s">
        <v>425</v>
      </c>
      <c r="C153" t="s">
        <v>426</v>
      </c>
    </row>
    <row r="154" spans="1:3">
      <c r="A154" t="s">
        <v>427</v>
      </c>
      <c r="B154" t="s">
        <v>428</v>
      </c>
      <c r="C154" t="s">
        <v>429</v>
      </c>
    </row>
    <row r="155" spans="1:3">
      <c r="A155" t="s">
        <v>430</v>
      </c>
      <c r="B155" t="s">
        <v>431</v>
      </c>
      <c r="C155" t="s">
        <v>432</v>
      </c>
    </row>
    <row r="156" spans="1:3">
      <c r="A156" t="s">
        <v>433</v>
      </c>
      <c r="B156" t="s">
        <v>434</v>
      </c>
      <c r="C156" t="s">
        <v>435</v>
      </c>
    </row>
    <row r="157" spans="1:3">
      <c r="A157" t="s">
        <v>436</v>
      </c>
      <c r="B157" t="s">
        <v>437</v>
      </c>
      <c r="C157" t="s">
        <v>438</v>
      </c>
    </row>
    <row r="158" spans="1:3">
      <c r="A158" t="s">
        <v>439</v>
      </c>
      <c r="B158" t="s">
        <v>440</v>
      </c>
      <c r="C158" t="s">
        <v>441</v>
      </c>
    </row>
    <row r="159" spans="1:3">
      <c r="A159" t="s">
        <v>442</v>
      </c>
      <c r="B159" t="s">
        <v>443</v>
      </c>
      <c r="C159" t="s">
        <v>444</v>
      </c>
    </row>
    <row r="160" spans="1:3">
      <c r="A160" t="s">
        <v>445</v>
      </c>
      <c r="B160" t="s">
        <v>446</v>
      </c>
      <c r="C160" t="s">
        <v>447</v>
      </c>
    </row>
    <row r="161" spans="1:3">
      <c r="A161" t="s">
        <v>448</v>
      </c>
      <c r="B161" t="s">
        <v>449</v>
      </c>
      <c r="C161" t="s">
        <v>450</v>
      </c>
    </row>
    <row r="162" spans="1:3">
      <c r="A162" t="s">
        <v>451</v>
      </c>
      <c r="B162" t="s">
        <v>452</v>
      </c>
      <c r="C162" t="s">
        <v>453</v>
      </c>
    </row>
    <row r="163" spans="1:3">
      <c r="A163" t="s">
        <v>454</v>
      </c>
      <c r="B163" t="s">
        <v>455</v>
      </c>
      <c r="C163" t="s">
        <v>456</v>
      </c>
    </row>
    <row r="164" spans="1:3">
      <c r="A164" t="s">
        <v>457</v>
      </c>
      <c r="B164" t="s">
        <v>458</v>
      </c>
      <c r="C164" t="s">
        <v>459</v>
      </c>
    </row>
    <row r="165" spans="1:3">
      <c r="A165" t="s">
        <v>460</v>
      </c>
      <c r="B165" t="s">
        <v>461</v>
      </c>
      <c r="C165" t="s">
        <v>462</v>
      </c>
    </row>
    <row r="166" spans="1:3">
      <c r="A166" t="s">
        <v>463</v>
      </c>
      <c r="B166" t="s">
        <v>464</v>
      </c>
      <c r="C166" t="s">
        <v>465</v>
      </c>
    </row>
    <row r="167" spans="1:3">
      <c r="A167" t="s">
        <v>466</v>
      </c>
      <c r="B167" t="s">
        <v>467</v>
      </c>
      <c r="C167" t="s">
        <v>468</v>
      </c>
    </row>
    <row r="168" spans="1:3">
      <c r="A168" t="s">
        <v>469</v>
      </c>
      <c r="B168" t="s">
        <v>470</v>
      </c>
      <c r="C168" t="s">
        <v>471</v>
      </c>
    </row>
    <row r="169" spans="1:3">
      <c r="A169" t="s">
        <v>472</v>
      </c>
      <c r="B169" t="s">
        <v>473</v>
      </c>
      <c r="C169" t="s">
        <v>474</v>
      </c>
    </row>
    <row r="170" spans="1:3">
      <c r="A170" t="s">
        <v>475</v>
      </c>
      <c r="B170" t="s">
        <v>476</v>
      </c>
      <c r="C170" t="s">
        <v>477</v>
      </c>
    </row>
    <row r="171" spans="1:3">
      <c r="A171" t="s">
        <v>478</v>
      </c>
      <c r="B171" t="s">
        <v>479</v>
      </c>
      <c r="C171" t="s">
        <v>480</v>
      </c>
    </row>
    <row r="172" spans="1:3">
      <c r="A172" t="s">
        <v>481</v>
      </c>
      <c r="B172" t="s">
        <v>482</v>
      </c>
      <c r="C172" t="s">
        <v>483</v>
      </c>
    </row>
    <row r="173" spans="1:3">
      <c r="A173" t="s">
        <v>484</v>
      </c>
      <c r="B173" t="s">
        <v>485</v>
      </c>
      <c r="C173" t="s">
        <v>486</v>
      </c>
    </row>
    <row r="174" spans="1:3">
      <c r="A174" t="s">
        <v>487</v>
      </c>
      <c r="B174" t="s">
        <v>488</v>
      </c>
      <c r="C174" t="s">
        <v>489</v>
      </c>
    </row>
    <row r="175" spans="1:3">
      <c r="A175" t="s">
        <v>490</v>
      </c>
      <c r="B175" t="s">
        <v>491</v>
      </c>
      <c r="C175" t="s">
        <v>492</v>
      </c>
    </row>
    <row r="176" spans="1:3">
      <c r="A176" t="s">
        <v>493</v>
      </c>
      <c r="B176" t="s">
        <v>494</v>
      </c>
      <c r="C176" t="s">
        <v>495</v>
      </c>
    </row>
    <row r="177" spans="1:3">
      <c r="A177" t="s">
        <v>496</v>
      </c>
      <c r="B177" t="s">
        <v>497</v>
      </c>
      <c r="C177" t="s">
        <v>498</v>
      </c>
    </row>
    <row r="178" spans="1:3">
      <c r="A178" t="s">
        <v>499</v>
      </c>
      <c r="B178" t="s">
        <v>500</v>
      </c>
      <c r="C178" t="s">
        <v>501</v>
      </c>
    </row>
    <row r="179" spans="1:3">
      <c r="A179" t="s">
        <v>502</v>
      </c>
      <c r="B179" t="s">
        <v>503</v>
      </c>
      <c r="C179" t="s">
        <v>504</v>
      </c>
    </row>
    <row r="180" spans="1:3">
      <c r="A180" t="s">
        <v>505</v>
      </c>
      <c r="B180" t="s">
        <v>506</v>
      </c>
      <c r="C180" t="s">
        <v>507</v>
      </c>
    </row>
    <row r="181" spans="1:3">
      <c r="A181" t="s">
        <v>508</v>
      </c>
      <c r="B181" t="s">
        <v>509</v>
      </c>
      <c r="C181" t="s">
        <v>510</v>
      </c>
    </row>
    <row r="182" spans="1:3">
      <c r="A182" t="s">
        <v>511</v>
      </c>
      <c r="B182" t="s">
        <v>512</v>
      </c>
      <c r="C182" t="s">
        <v>513</v>
      </c>
    </row>
    <row r="183" spans="1:3">
      <c r="A183" t="s">
        <v>514</v>
      </c>
      <c r="B183" t="s">
        <v>515</v>
      </c>
      <c r="C183" t="s">
        <v>516</v>
      </c>
    </row>
    <row r="184" spans="1:3">
      <c r="A184" t="s">
        <v>517</v>
      </c>
      <c r="B184" t="s">
        <v>518</v>
      </c>
      <c r="C184" t="s">
        <v>519</v>
      </c>
    </row>
    <row r="185" spans="1:3">
      <c r="A185" t="s">
        <v>520</v>
      </c>
      <c r="B185" t="s">
        <v>521</v>
      </c>
      <c r="C185" t="s">
        <v>522</v>
      </c>
    </row>
    <row r="186" spans="1:3">
      <c r="A186" t="s">
        <v>523</v>
      </c>
      <c r="B186" t="s">
        <v>524</v>
      </c>
      <c r="C186" t="s">
        <v>525</v>
      </c>
    </row>
    <row r="187" spans="1:3">
      <c r="A187" t="s">
        <v>526</v>
      </c>
      <c r="B187" t="s">
        <v>527</v>
      </c>
      <c r="C187" t="s">
        <v>528</v>
      </c>
    </row>
    <row r="188" spans="1:3">
      <c r="A188" t="s">
        <v>529</v>
      </c>
      <c r="B188" t="s">
        <v>530</v>
      </c>
      <c r="C188" t="s">
        <v>531</v>
      </c>
    </row>
    <row r="189" spans="1:3">
      <c r="A189" t="s">
        <v>532</v>
      </c>
      <c r="B189" t="s">
        <v>533</v>
      </c>
      <c r="C189" t="s">
        <v>534</v>
      </c>
    </row>
    <row r="190" spans="1:3">
      <c r="A190" t="s">
        <v>535</v>
      </c>
      <c r="B190" t="s">
        <v>536</v>
      </c>
      <c r="C190" t="s">
        <v>537</v>
      </c>
    </row>
    <row r="191" spans="1:3">
      <c r="A191" t="s">
        <v>538</v>
      </c>
      <c r="B191" t="s">
        <v>539</v>
      </c>
      <c r="C191" t="s">
        <v>540</v>
      </c>
    </row>
    <row r="192" spans="1:3">
      <c r="A192" t="s">
        <v>541</v>
      </c>
      <c r="B192" t="s">
        <v>542</v>
      </c>
      <c r="C192" t="s">
        <v>543</v>
      </c>
    </row>
    <row r="193" spans="1:3">
      <c r="A193" t="s">
        <v>544</v>
      </c>
      <c r="B193" t="s">
        <v>545</v>
      </c>
      <c r="C193" t="s">
        <v>546</v>
      </c>
    </row>
    <row r="194" spans="1:3">
      <c r="A194" t="s">
        <v>547</v>
      </c>
      <c r="B194" t="s">
        <v>548</v>
      </c>
      <c r="C194" t="s">
        <v>549</v>
      </c>
    </row>
    <row r="195" spans="1:3">
      <c r="A195" t="s">
        <v>550</v>
      </c>
      <c r="B195" t="s">
        <v>551</v>
      </c>
      <c r="C195" t="s">
        <v>552</v>
      </c>
    </row>
    <row r="196" spans="1:3">
      <c r="A196" t="s">
        <v>553</v>
      </c>
      <c r="B196" t="s">
        <v>554</v>
      </c>
      <c r="C196" t="s">
        <v>555</v>
      </c>
    </row>
    <row r="197" spans="1:3">
      <c r="A197" t="s">
        <v>556</v>
      </c>
      <c r="B197" t="s">
        <v>557</v>
      </c>
      <c r="C197" t="s">
        <v>558</v>
      </c>
    </row>
    <row r="198" spans="1:3">
      <c r="A198" t="s">
        <v>559</v>
      </c>
      <c r="B198" t="s">
        <v>560</v>
      </c>
      <c r="C198" t="s">
        <v>561</v>
      </c>
    </row>
    <row r="199" spans="1:3">
      <c r="A199" t="s">
        <v>562</v>
      </c>
      <c r="B199" t="s">
        <v>563</v>
      </c>
      <c r="C199" t="s">
        <v>564</v>
      </c>
    </row>
    <row r="200" spans="1:3">
      <c r="A200" t="s">
        <v>565</v>
      </c>
      <c r="B200" t="s">
        <v>566</v>
      </c>
      <c r="C200" t="s">
        <v>567</v>
      </c>
    </row>
    <row r="201" spans="1:3">
      <c r="A201" t="s">
        <v>568</v>
      </c>
      <c r="B201" t="s">
        <v>569</v>
      </c>
      <c r="C201" t="s">
        <v>570</v>
      </c>
    </row>
    <row r="202" spans="1:3">
      <c r="A202" t="s">
        <v>571</v>
      </c>
      <c r="B202" t="s">
        <v>572</v>
      </c>
      <c r="C202" t="s">
        <v>573</v>
      </c>
    </row>
    <row r="203" spans="1:3">
      <c r="A203" t="s">
        <v>574</v>
      </c>
      <c r="B203" t="s">
        <v>575</v>
      </c>
      <c r="C203" t="s">
        <v>576</v>
      </c>
    </row>
    <row r="204" spans="1:3">
      <c r="A204" t="s">
        <v>577</v>
      </c>
      <c r="B204" t="s">
        <v>578</v>
      </c>
      <c r="C204" t="s">
        <v>579</v>
      </c>
    </row>
    <row r="205" spans="1:3">
      <c r="A205" t="s">
        <v>580</v>
      </c>
      <c r="B205" t="s">
        <v>581</v>
      </c>
      <c r="C205" t="s">
        <v>582</v>
      </c>
    </row>
    <row r="206" spans="1:3">
      <c r="A206" t="s">
        <v>583</v>
      </c>
      <c r="B206" t="s">
        <v>584</v>
      </c>
      <c r="C206" t="s">
        <v>585</v>
      </c>
    </row>
    <row r="207" spans="1:3">
      <c r="A207" t="s">
        <v>586</v>
      </c>
      <c r="B207" t="s">
        <v>587</v>
      </c>
      <c r="C207" t="s">
        <v>588</v>
      </c>
    </row>
    <row r="208" spans="1:3">
      <c r="A208" t="s">
        <v>589</v>
      </c>
      <c r="B208" t="s">
        <v>590</v>
      </c>
      <c r="C208" t="s">
        <v>591</v>
      </c>
    </row>
    <row r="209" spans="1:3">
      <c r="A209" t="s">
        <v>592</v>
      </c>
      <c r="B209" t="s">
        <v>593</v>
      </c>
      <c r="C209" t="s">
        <v>594</v>
      </c>
    </row>
    <row r="210" spans="1:3">
      <c r="A210" t="s">
        <v>595</v>
      </c>
      <c r="B210" t="s">
        <v>596</v>
      </c>
      <c r="C210" t="s">
        <v>597</v>
      </c>
    </row>
    <row r="211" spans="1:3">
      <c r="A211" t="s">
        <v>598</v>
      </c>
      <c r="B211" t="s">
        <v>599</v>
      </c>
      <c r="C211" t="s">
        <v>600</v>
      </c>
    </row>
    <row r="212" spans="1:3">
      <c r="A212" t="s">
        <v>601</v>
      </c>
      <c r="B212" t="s">
        <v>602</v>
      </c>
      <c r="C212" t="s">
        <v>603</v>
      </c>
    </row>
    <row r="213" spans="1:3">
      <c r="A213" t="s">
        <v>604</v>
      </c>
      <c r="B213" t="s">
        <v>605</v>
      </c>
      <c r="C213" t="s">
        <v>606</v>
      </c>
    </row>
    <row r="214" spans="1:3">
      <c r="A214" t="s">
        <v>607</v>
      </c>
      <c r="B214" t="s">
        <v>608</v>
      </c>
      <c r="C214" t="s">
        <v>609</v>
      </c>
    </row>
    <row r="215" spans="1:3">
      <c r="A215" t="s">
        <v>610</v>
      </c>
      <c r="B215" t="s">
        <v>611</v>
      </c>
      <c r="C215" t="s">
        <v>612</v>
      </c>
    </row>
    <row r="216" spans="1:3">
      <c r="A216" t="s">
        <v>613</v>
      </c>
      <c r="B216" t="s">
        <v>614</v>
      </c>
      <c r="C216" t="s">
        <v>615</v>
      </c>
    </row>
    <row r="217" spans="1:3">
      <c r="A217" t="s">
        <v>616</v>
      </c>
      <c r="B217" t="s">
        <v>617</v>
      </c>
      <c r="C217" t="s">
        <v>618</v>
      </c>
    </row>
    <row r="218" spans="1:3">
      <c r="A218" t="s">
        <v>619</v>
      </c>
      <c r="B218" t="s">
        <v>620</v>
      </c>
      <c r="C218" t="s">
        <v>621</v>
      </c>
    </row>
    <row r="219" spans="1:3">
      <c r="A219" t="s">
        <v>622</v>
      </c>
      <c r="B219" t="s">
        <v>623</v>
      </c>
      <c r="C219" t="s">
        <v>624</v>
      </c>
    </row>
    <row r="220" spans="1:3">
      <c r="A220" t="s">
        <v>625</v>
      </c>
      <c r="B220" t="s">
        <v>626</v>
      </c>
      <c r="C220" t="s">
        <v>627</v>
      </c>
    </row>
    <row r="221" spans="1:3">
      <c r="A221" t="s">
        <v>628</v>
      </c>
      <c r="B221" t="s">
        <v>629</v>
      </c>
      <c r="C221" t="s">
        <v>630</v>
      </c>
    </row>
    <row r="222" spans="1:3">
      <c r="A222" t="s">
        <v>631</v>
      </c>
      <c r="B222" t="s">
        <v>632</v>
      </c>
      <c r="C222" t="s">
        <v>633</v>
      </c>
    </row>
    <row r="223" spans="1:3">
      <c r="A223" t="s">
        <v>634</v>
      </c>
      <c r="B223" t="s">
        <v>635</v>
      </c>
      <c r="C223" t="s">
        <v>636</v>
      </c>
    </row>
    <row r="224" spans="1:3">
      <c r="A224" t="s">
        <v>637</v>
      </c>
      <c r="B224" t="s">
        <v>638</v>
      </c>
      <c r="C224" t="s">
        <v>639</v>
      </c>
    </row>
    <row r="225" spans="1:3">
      <c r="A225" t="s">
        <v>640</v>
      </c>
      <c r="B225" t="s">
        <v>641</v>
      </c>
      <c r="C225" t="s">
        <v>642</v>
      </c>
    </row>
    <row r="226" spans="1:3">
      <c r="A226" t="s">
        <v>643</v>
      </c>
      <c r="B226" t="s">
        <v>644</v>
      </c>
      <c r="C226" t="s">
        <v>645</v>
      </c>
    </row>
    <row r="227" spans="1:3">
      <c r="A227" t="s">
        <v>646</v>
      </c>
      <c r="B227" t="s">
        <v>647</v>
      </c>
      <c r="C227" t="s">
        <v>648</v>
      </c>
    </row>
    <row r="228" spans="1:3">
      <c r="A228" t="s">
        <v>649</v>
      </c>
      <c r="B228" t="s">
        <v>650</v>
      </c>
      <c r="C228" t="s">
        <v>651</v>
      </c>
    </row>
    <row r="229" spans="1:3">
      <c r="A229" t="s">
        <v>652</v>
      </c>
      <c r="B229" t="s">
        <v>653</v>
      </c>
      <c r="C229" t="s">
        <v>654</v>
      </c>
    </row>
    <row r="230" spans="1:3">
      <c r="A230" t="s">
        <v>655</v>
      </c>
      <c r="B230" t="s">
        <v>656</v>
      </c>
      <c r="C230" t="s">
        <v>657</v>
      </c>
    </row>
    <row r="231" spans="1:3">
      <c r="A231" t="s">
        <v>658</v>
      </c>
      <c r="B231" t="s">
        <v>659</v>
      </c>
      <c r="C231" t="s">
        <v>660</v>
      </c>
    </row>
    <row r="232" spans="1:3">
      <c r="A232" t="s">
        <v>661</v>
      </c>
      <c r="B232" t="s">
        <v>662</v>
      </c>
      <c r="C232" t="s">
        <v>663</v>
      </c>
    </row>
    <row r="233" spans="1:3">
      <c r="A233" t="s">
        <v>664</v>
      </c>
      <c r="B233" t="s">
        <v>665</v>
      </c>
      <c r="C233" t="s">
        <v>666</v>
      </c>
    </row>
    <row r="234" spans="1:3">
      <c r="A234" t="s">
        <v>667</v>
      </c>
      <c r="B234" t="s">
        <v>668</v>
      </c>
      <c r="C234" t="s">
        <v>669</v>
      </c>
    </row>
    <row r="235" spans="1:3">
      <c r="A235" t="s">
        <v>670</v>
      </c>
      <c r="B235" t="s">
        <v>671</v>
      </c>
      <c r="C235" t="s">
        <v>672</v>
      </c>
    </row>
    <row r="236" spans="1:3">
      <c r="A236" t="s">
        <v>673</v>
      </c>
      <c r="B236" t="s">
        <v>674</v>
      </c>
      <c r="C236" t="s">
        <v>675</v>
      </c>
    </row>
    <row r="237" spans="1:3">
      <c r="A237" t="s">
        <v>676</v>
      </c>
      <c r="B237" t="s">
        <v>677</v>
      </c>
      <c r="C237" t="s">
        <v>678</v>
      </c>
    </row>
    <row r="238" spans="1:3">
      <c r="A238" t="s">
        <v>679</v>
      </c>
      <c r="B238" t="s">
        <v>680</v>
      </c>
      <c r="C238" t="s">
        <v>681</v>
      </c>
    </row>
    <row r="239" spans="1:3">
      <c r="A239" t="s">
        <v>682</v>
      </c>
      <c r="B239" t="s">
        <v>683</v>
      </c>
      <c r="C239" t="s">
        <v>684</v>
      </c>
    </row>
    <row r="240" spans="1:3">
      <c r="A240" t="s">
        <v>685</v>
      </c>
      <c r="B240" t="s">
        <v>686</v>
      </c>
      <c r="C240" t="s">
        <v>687</v>
      </c>
    </row>
    <row r="241" spans="1:3">
      <c r="A241" t="s">
        <v>688</v>
      </c>
      <c r="B241" t="s">
        <v>689</v>
      </c>
      <c r="C241" t="s">
        <v>690</v>
      </c>
    </row>
    <row r="242" spans="1:3">
      <c r="A242" t="s">
        <v>691</v>
      </c>
      <c r="B242" t="s">
        <v>692</v>
      </c>
      <c r="C242" t="s">
        <v>693</v>
      </c>
    </row>
    <row r="243" spans="1:3">
      <c r="A243" t="s">
        <v>694</v>
      </c>
      <c r="B243" t="s">
        <v>695</v>
      </c>
      <c r="C243" t="s">
        <v>696</v>
      </c>
    </row>
    <row r="244" spans="1:3">
      <c r="A244" t="s">
        <v>697</v>
      </c>
      <c r="B244" t="s">
        <v>698</v>
      </c>
      <c r="C244" t="s">
        <v>699</v>
      </c>
    </row>
    <row r="245" spans="1:3">
      <c r="A245" t="s">
        <v>700</v>
      </c>
      <c r="B245" t="s">
        <v>701</v>
      </c>
      <c r="C245" t="s">
        <v>702</v>
      </c>
    </row>
    <row r="246" spans="1:3">
      <c r="A246" t="s">
        <v>703</v>
      </c>
      <c r="B246" t="s">
        <v>704</v>
      </c>
      <c r="C246" t="s">
        <v>705</v>
      </c>
    </row>
    <row r="247" spans="1:3">
      <c r="A247" t="s">
        <v>706</v>
      </c>
      <c r="B247" t="s">
        <v>707</v>
      </c>
      <c r="C247" t="s">
        <v>708</v>
      </c>
    </row>
    <row r="248" spans="1:3">
      <c r="A248" t="s">
        <v>709</v>
      </c>
      <c r="B248" t="s">
        <v>710</v>
      </c>
      <c r="C248" t="s">
        <v>711</v>
      </c>
    </row>
    <row r="249" spans="1:3">
      <c r="A249" t="s">
        <v>712</v>
      </c>
      <c r="B249" t="s">
        <v>713</v>
      </c>
      <c r="C249" t="s">
        <v>714</v>
      </c>
    </row>
    <row r="250" spans="1:3">
      <c r="A250" t="s">
        <v>715</v>
      </c>
      <c r="B250" t="s">
        <v>716</v>
      </c>
      <c r="C250" t="s">
        <v>717</v>
      </c>
    </row>
    <row r="251" spans="1:3">
      <c r="A251" t="s">
        <v>718</v>
      </c>
      <c r="B251" t="s">
        <v>719</v>
      </c>
      <c r="C251" t="s">
        <v>720</v>
      </c>
    </row>
    <row r="252" spans="1:3">
      <c r="A252" t="s">
        <v>721</v>
      </c>
      <c r="B252" t="s">
        <v>722</v>
      </c>
      <c r="C252" t="s">
        <v>723</v>
      </c>
    </row>
    <row r="253" spans="1:3">
      <c r="A253" t="s">
        <v>724</v>
      </c>
      <c r="B253" t="s">
        <v>725</v>
      </c>
      <c r="C253" t="s">
        <v>726</v>
      </c>
    </row>
    <row r="254" spans="1:3">
      <c r="A254" t="s">
        <v>727</v>
      </c>
      <c r="B254" t="s">
        <v>728</v>
      </c>
      <c r="C254" t="s">
        <v>729</v>
      </c>
    </row>
    <row r="255" spans="1:3">
      <c r="A255" t="s">
        <v>730</v>
      </c>
      <c r="B255" t="s">
        <v>731</v>
      </c>
      <c r="C255" t="s">
        <v>732</v>
      </c>
    </row>
    <row r="256" spans="1:3">
      <c r="A256" t="s">
        <v>733</v>
      </c>
      <c r="B256" t="s">
        <v>734</v>
      </c>
      <c r="C256" t="s">
        <v>735</v>
      </c>
    </row>
    <row r="257" spans="1:3">
      <c r="A257" t="s">
        <v>736</v>
      </c>
      <c r="B257" t="s">
        <v>737</v>
      </c>
      <c r="C257" t="s">
        <v>738</v>
      </c>
    </row>
    <row r="258" spans="1:3">
      <c r="A258" t="s">
        <v>739</v>
      </c>
      <c r="B258" t="s">
        <v>740</v>
      </c>
      <c r="C258" t="s">
        <v>741</v>
      </c>
    </row>
    <row r="259" spans="1:3">
      <c r="A259" t="s">
        <v>742</v>
      </c>
      <c r="B259" t="s">
        <v>743</v>
      </c>
      <c r="C259" t="s">
        <v>744</v>
      </c>
    </row>
    <row r="260" spans="1:3">
      <c r="A260" t="s">
        <v>745</v>
      </c>
      <c r="B260" t="s">
        <v>746</v>
      </c>
      <c r="C260" t="s">
        <v>747</v>
      </c>
    </row>
    <row r="261" spans="1:3">
      <c r="A261" t="s">
        <v>748</v>
      </c>
      <c r="B261" t="s">
        <v>749</v>
      </c>
      <c r="C261" t="s">
        <v>750</v>
      </c>
    </row>
    <row r="262" spans="1:3">
      <c r="A262" t="s">
        <v>751</v>
      </c>
      <c r="B262" t="s">
        <v>752</v>
      </c>
      <c r="C262" t="s">
        <v>753</v>
      </c>
    </row>
    <row r="263" spans="1:3">
      <c r="A263" t="s">
        <v>754</v>
      </c>
      <c r="B263" t="s">
        <v>755</v>
      </c>
      <c r="C263" t="s">
        <v>756</v>
      </c>
    </row>
    <row r="264" spans="1:3">
      <c r="A264" t="s">
        <v>757</v>
      </c>
      <c r="B264" t="s">
        <v>758</v>
      </c>
      <c r="C264" t="s">
        <v>759</v>
      </c>
    </row>
    <row r="265" spans="1:3">
      <c r="A265" t="s">
        <v>760</v>
      </c>
      <c r="B265" t="s">
        <v>761</v>
      </c>
      <c r="C265" t="s">
        <v>762</v>
      </c>
    </row>
    <row r="266" spans="1:3">
      <c r="A266" t="s">
        <v>763</v>
      </c>
      <c r="B266" t="s">
        <v>764</v>
      </c>
      <c r="C266" t="s">
        <v>765</v>
      </c>
    </row>
    <row r="267" spans="1:3">
      <c r="A267" t="s">
        <v>766</v>
      </c>
      <c r="B267" t="s">
        <v>767</v>
      </c>
      <c r="C267" t="s">
        <v>768</v>
      </c>
    </row>
    <row r="268" spans="1:3">
      <c r="A268" t="s">
        <v>769</v>
      </c>
      <c r="B268" t="s">
        <v>770</v>
      </c>
      <c r="C268" t="s">
        <v>771</v>
      </c>
    </row>
    <row r="269" spans="1:3">
      <c r="A269" t="s">
        <v>772</v>
      </c>
      <c r="B269" t="s">
        <v>773</v>
      </c>
      <c r="C269" t="s">
        <v>774</v>
      </c>
    </row>
    <row r="270" spans="1:3">
      <c r="A270" t="s">
        <v>775</v>
      </c>
      <c r="B270" t="s">
        <v>776</v>
      </c>
      <c r="C270" t="s">
        <v>777</v>
      </c>
    </row>
    <row r="271" spans="1:3">
      <c r="A271" t="s">
        <v>778</v>
      </c>
      <c r="B271" t="s">
        <v>779</v>
      </c>
      <c r="C271" t="s">
        <v>780</v>
      </c>
    </row>
    <row r="272" spans="1:3">
      <c r="A272" t="s">
        <v>781</v>
      </c>
      <c r="B272" t="s">
        <v>782</v>
      </c>
      <c r="C272" t="s">
        <v>783</v>
      </c>
    </row>
    <row r="273" spans="1:3">
      <c r="A273" t="s">
        <v>784</v>
      </c>
      <c r="B273" t="s">
        <v>785</v>
      </c>
      <c r="C273" t="s">
        <v>786</v>
      </c>
    </row>
    <row r="274" spans="1:3">
      <c r="A274" t="s">
        <v>787</v>
      </c>
      <c r="B274" t="s">
        <v>788</v>
      </c>
      <c r="C274" t="s">
        <v>789</v>
      </c>
    </row>
    <row r="275" spans="1:3">
      <c r="A275" t="s">
        <v>790</v>
      </c>
      <c r="B275" t="s">
        <v>791</v>
      </c>
      <c r="C275" t="s">
        <v>792</v>
      </c>
    </row>
    <row r="276" spans="1:3">
      <c r="A276" t="s">
        <v>793</v>
      </c>
      <c r="B276" t="s">
        <v>794</v>
      </c>
      <c r="C276" t="s">
        <v>795</v>
      </c>
    </row>
    <row r="277" spans="1:3">
      <c r="A277" t="s">
        <v>796</v>
      </c>
      <c r="B277" t="s">
        <v>797</v>
      </c>
      <c r="C277" t="s">
        <v>798</v>
      </c>
    </row>
    <row r="278" spans="1:3">
      <c r="A278" t="s">
        <v>799</v>
      </c>
      <c r="B278" t="s">
        <v>800</v>
      </c>
      <c r="C278" t="s">
        <v>801</v>
      </c>
    </row>
    <row r="279" spans="1:3">
      <c r="A279" t="s">
        <v>802</v>
      </c>
      <c r="B279" t="s">
        <v>803</v>
      </c>
      <c r="C279" t="s">
        <v>804</v>
      </c>
    </row>
    <row r="280" spans="1:3">
      <c r="A280" t="s">
        <v>805</v>
      </c>
      <c r="B280" t="s">
        <v>806</v>
      </c>
      <c r="C280" t="s">
        <v>807</v>
      </c>
    </row>
    <row r="281" spans="1:3">
      <c r="A281" t="s">
        <v>808</v>
      </c>
      <c r="C281" s="257" t="s">
        <v>809</v>
      </c>
    </row>
    <row r="282" spans="1:3">
      <c r="A282" t="s">
        <v>810</v>
      </c>
      <c r="B282" t="s">
        <v>811</v>
      </c>
      <c r="C282" t="s">
        <v>812</v>
      </c>
    </row>
    <row r="283" spans="1:3">
      <c r="A283" t="s">
        <v>813</v>
      </c>
      <c r="B283" t="s">
        <v>814</v>
      </c>
      <c r="C283" t="s">
        <v>815</v>
      </c>
    </row>
    <row r="284" spans="1:3">
      <c r="A284" t="s">
        <v>816</v>
      </c>
      <c r="B284" t="s">
        <v>817</v>
      </c>
      <c r="C284" t="s">
        <v>818</v>
      </c>
    </row>
    <row r="285" spans="1:3">
      <c r="A285" t="s">
        <v>819</v>
      </c>
      <c r="B285" t="s">
        <v>820</v>
      </c>
      <c r="C285" t="s">
        <v>821</v>
      </c>
    </row>
    <row r="286" spans="1:3">
      <c r="A286" t="s">
        <v>822</v>
      </c>
      <c r="B286" t="s">
        <v>823</v>
      </c>
      <c r="C286" t="s">
        <v>824</v>
      </c>
    </row>
    <row r="287" spans="1:3">
      <c r="A287" t="s">
        <v>825</v>
      </c>
      <c r="B287" t="s">
        <v>826</v>
      </c>
      <c r="C287" t="s">
        <v>827</v>
      </c>
    </row>
    <row r="288" spans="1:3">
      <c r="A288" t="s">
        <v>828</v>
      </c>
      <c r="B288" t="s">
        <v>829</v>
      </c>
      <c r="C288" t="s">
        <v>830</v>
      </c>
    </row>
    <row r="289" spans="1:3">
      <c r="A289" t="s">
        <v>831</v>
      </c>
      <c r="B289" t="s">
        <v>832</v>
      </c>
      <c r="C289" t="s">
        <v>833</v>
      </c>
    </row>
    <row r="290" spans="1:3">
      <c r="A290" t="s">
        <v>834</v>
      </c>
      <c r="B290" t="s">
        <v>835</v>
      </c>
      <c r="C290" t="s">
        <v>836</v>
      </c>
    </row>
    <row r="291" spans="1:3">
      <c r="A291" t="s">
        <v>837</v>
      </c>
      <c r="B291" t="s">
        <v>838</v>
      </c>
      <c r="C291" t="s">
        <v>839</v>
      </c>
    </row>
    <row r="292" spans="1:3">
      <c r="A292" t="s">
        <v>840</v>
      </c>
      <c r="B292" t="s">
        <v>841</v>
      </c>
      <c r="C292" t="s">
        <v>842</v>
      </c>
    </row>
    <row r="293" spans="1:3">
      <c r="A293" t="s">
        <v>843</v>
      </c>
      <c r="B293" t="s">
        <v>844</v>
      </c>
      <c r="C293" t="s">
        <v>845</v>
      </c>
    </row>
    <row r="294" spans="1:3">
      <c r="A294" s="50" t="s">
        <v>846</v>
      </c>
      <c r="B294" t="s">
        <v>847</v>
      </c>
      <c r="C294" s="74" t="s">
        <v>848</v>
      </c>
    </row>
    <row r="295" spans="1:3">
      <c r="A295" s="50" t="s">
        <v>849</v>
      </c>
      <c r="B295" t="s">
        <v>850</v>
      </c>
      <c r="C295" s="74" t="s">
        <v>851</v>
      </c>
    </row>
    <row r="296" spans="1:3">
      <c r="A296" t="s">
        <v>852</v>
      </c>
      <c r="B296" t="s">
        <v>853</v>
      </c>
      <c r="C296" s="74" t="s">
        <v>854</v>
      </c>
    </row>
    <row r="297" spans="1:3">
      <c r="A297" t="s">
        <v>855</v>
      </c>
      <c r="B297" t="s">
        <v>856</v>
      </c>
      <c r="C297" s="74" t="s">
        <v>857</v>
      </c>
    </row>
    <row r="298" spans="1:3">
      <c r="A298" t="s">
        <v>858</v>
      </c>
      <c r="B298" t="s">
        <v>859</v>
      </c>
      <c r="C298" s="74" t="s">
        <v>860</v>
      </c>
    </row>
    <row r="299" spans="1:3">
      <c r="A299" t="s">
        <v>861</v>
      </c>
      <c r="B299" t="s">
        <v>862</v>
      </c>
      <c r="C299" t="s">
        <v>863</v>
      </c>
    </row>
    <row r="300" spans="1:3">
      <c r="A300" t="s">
        <v>864</v>
      </c>
      <c r="B300" t="s">
        <v>865</v>
      </c>
      <c r="C300" t="s">
        <v>866</v>
      </c>
    </row>
    <row r="301" spans="1:3">
      <c r="A301" t="s">
        <v>867</v>
      </c>
      <c r="B301" t="s">
        <v>868</v>
      </c>
      <c r="C301" t="s">
        <v>869</v>
      </c>
    </row>
    <row r="302" spans="1:3">
      <c r="A302" t="s">
        <v>870</v>
      </c>
      <c r="B302" t="s">
        <v>871</v>
      </c>
      <c r="C302" t="s">
        <v>872</v>
      </c>
    </row>
    <row r="303" spans="1:3">
      <c r="A303" t="s">
        <v>873</v>
      </c>
      <c r="B303" t="s">
        <v>874</v>
      </c>
      <c r="C303" t="s">
        <v>875</v>
      </c>
    </row>
    <row r="304" spans="1:3">
      <c r="A304" t="s">
        <v>876</v>
      </c>
      <c r="B304" t="s">
        <v>877</v>
      </c>
      <c r="C304" t="s">
        <v>878</v>
      </c>
    </row>
    <row r="305" spans="1:3">
      <c r="A305" t="s">
        <v>879</v>
      </c>
      <c r="B305" t="s">
        <v>880</v>
      </c>
      <c r="C305" t="s">
        <v>881</v>
      </c>
    </row>
    <row r="306" spans="1:3">
      <c r="A306" t="s">
        <v>882</v>
      </c>
      <c r="B306" t="s">
        <v>883</v>
      </c>
      <c r="C306" t="s">
        <v>884</v>
      </c>
    </row>
    <row r="307" spans="1:3">
      <c r="A307" t="s">
        <v>885</v>
      </c>
      <c r="B307" t="s">
        <v>886</v>
      </c>
      <c r="C307" t="s">
        <v>887</v>
      </c>
    </row>
    <row r="308" spans="1:3">
      <c r="A308" t="s">
        <v>888</v>
      </c>
      <c r="B308" t="s">
        <v>889</v>
      </c>
      <c r="C308" t="s">
        <v>890</v>
      </c>
    </row>
    <row r="309" spans="1:3">
      <c r="A309" t="s">
        <v>891</v>
      </c>
      <c r="B309" t="s">
        <v>892</v>
      </c>
      <c r="C309" t="s">
        <v>893</v>
      </c>
    </row>
    <row r="310" spans="1:3">
      <c r="A310" t="s">
        <v>894</v>
      </c>
      <c r="B310" t="s">
        <v>895</v>
      </c>
      <c r="C310" t="s">
        <v>896</v>
      </c>
    </row>
    <row r="311" spans="1:3">
      <c r="A311" t="s">
        <v>897</v>
      </c>
      <c r="B311" t="s">
        <v>895</v>
      </c>
      <c r="C311" t="s">
        <v>898</v>
      </c>
    </row>
    <row r="312" spans="1:3">
      <c r="A312" t="s">
        <v>899</v>
      </c>
      <c r="B312" t="s">
        <v>900</v>
      </c>
      <c r="C312" t="s">
        <v>901</v>
      </c>
    </row>
    <row r="313" spans="1:3">
      <c r="A313" t="s">
        <v>902</v>
      </c>
      <c r="B313" t="s">
        <v>903</v>
      </c>
      <c r="C313" t="s">
        <v>904</v>
      </c>
    </row>
    <row r="314" spans="1:3">
      <c r="A314" t="s">
        <v>905</v>
      </c>
      <c r="B314" t="s">
        <v>906</v>
      </c>
      <c r="C314" t="s">
        <v>907</v>
      </c>
    </row>
    <row r="315" spans="1:3">
      <c r="A315" t="s">
        <v>908</v>
      </c>
      <c r="B315" t="s">
        <v>909</v>
      </c>
      <c r="C315" t="s">
        <v>910</v>
      </c>
    </row>
    <row r="316" spans="1:3">
      <c r="A316" t="s">
        <v>911</v>
      </c>
      <c r="B316" t="s">
        <v>912</v>
      </c>
      <c r="C316" t="s">
        <v>913</v>
      </c>
    </row>
    <row r="317" spans="1:3">
      <c r="A317" t="s">
        <v>914</v>
      </c>
      <c r="B317" t="s">
        <v>915</v>
      </c>
      <c r="C317" t="s">
        <v>916</v>
      </c>
    </row>
    <row r="318" spans="1:3">
      <c r="A318" t="s">
        <v>917</v>
      </c>
      <c r="B318" t="s">
        <v>918</v>
      </c>
      <c r="C318" t="s">
        <v>919</v>
      </c>
    </row>
    <row r="319" spans="1:3">
      <c r="A319" t="s">
        <v>920</v>
      </c>
      <c r="B319" t="s">
        <v>921</v>
      </c>
      <c r="C319" t="s">
        <v>922</v>
      </c>
    </row>
    <row r="320" spans="1:3">
      <c r="A320" t="s">
        <v>923</v>
      </c>
      <c r="B320" t="s">
        <v>924</v>
      </c>
      <c r="C320" t="s">
        <v>925</v>
      </c>
    </row>
    <row r="321" spans="1:3">
      <c r="A321" t="s">
        <v>926</v>
      </c>
      <c r="B321" t="s">
        <v>927</v>
      </c>
      <c r="C321" t="s">
        <v>928</v>
      </c>
    </row>
    <row r="322" spans="1:3">
      <c r="A322" t="s">
        <v>929</v>
      </c>
      <c r="B322" t="s">
        <v>930</v>
      </c>
      <c r="C322" t="s">
        <v>931</v>
      </c>
    </row>
    <row r="323" spans="1:3">
      <c r="A323" t="s">
        <v>932</v>
      </c>
      <c r="B323" t="s">
        <v>933</v>
      </c>
      <c r="C323" t="s">
        <v>934</v>
      </c>
    </row>
    <row r="324" spans="1:3">
      <c r="A324" t="s">
        <v>935</v>
      </c>
      <c r="B324" t="s">
        <v>936</v>
      </c>
      <c r="C324" t="s">
        <v>937</v>
      </c>
    </row>
    <row r="325" spans="1:3">
      <c r="A325" t="s">
        <v>938</v>
      </c>
      <c r="B325" t="s">
        <v>939</v>
      </c>
      <c r="C325" t="s">
        <v>940</v>
      </c>
    </row>
    <row r="326" spans="1:3">
      <c r="A326" t="s">
        <v>941</v>
      </c>
      <c r="B326" t="s">
        <v>942</v>
      </c>
      <c r="C326" t="s">
        <v>943</v>
      </c>
    </row>
    <row r="327" spans="1:3">
      <c r="A327" t="s">
        <v>944</v>
      </c>
      <c r="B327" t="s">
        <v>945</v>
      </c>
      <c r="C327" t="s">
        <v>946</v>
      </c>
    </row>
    <row r="328" spans="1:3">
      <c r="A328" t="s">
        <v>947</v>
      </c>
      <c r="B328" t="s">
        <v>948</v>
      </c>
      <c r="C328" t="s">
        <v>949</v>
      </c>
    </row>
    <row r="329" spans="1:3">
      <c r="A329" t="s">
        <v>950</v>
      </c>
      <c r="B329" t="s">
        <v>951</v>
      </c>
      <c r="C329" t="s">
        <v>952</v>
      </c>
    </row>
    <row r="330" spans="1:3">
      <c r="A330" t="s">
        <v>953</v>
      </c>
      <c r="B330" t="s">
        <v>954</v>
      </c>
      <c r="C330" t="s">
        <v>955</v>
      </c>
    </row>
    <row r="331" spans="1:3">
      <c r="A331" t="s">
        <v>956</v>
      </c>
      <c r="B331" t="s">
        <v>957</v>
      </c>
      <c r="C331" t="s">
        <v>958</v>
      </c>
    </row>
    <row r="332" spans="1:3">
      <c r="A332" t="s">
        <v>959</v>
      </c>
      <c r="B332" t="s">
        <v>960</v>
      </c>
      <c r="C332" t="s">
        <v>961</v>
      </c>
    </row>
    <row r="333" spans="1:3">
      <c r="A333" t="s">
        <v>962</v>
      </c>
      <c r="B333" t="s">
        <v>963</v>
      </c>
      <c r="C333" t="s">
        <v>964</v>
      </c>
    </row>
    <row r="334" spans="1:3">
      <c r="A334" t="s">
        <v>965</v>
      </c>
      <c r="B334" t="s">
        <v>966</v>
      </c>
      <c r="C334" t="s">
        <v>967</v>
      </c>
    </row>
    <row r="335" spans="1:3">
      <c r="A335" t="s">
        <v>968</v>
      </c>
      <c r="B335" t="s">
        <v>969</v>
      </c>
      <c r="C335" t="s">
        <v>970</v>
      </c>
    </row>
    <row r="336" spans="1:3">
      <c r="A336" t="s">
        <v>971</v>
      </c>
      <c r="B336" t="s">
        <v>972</v>
      </c>
      <c r="C336" t="s">
        <v>973</v>
      </c>
    </row>
    <row r="337" spans="1:3">
      <c r="A337" t="s">
        <v>974</v>
      </c>
      <c r="B337" t="s">
        <v>975</v>
      </c>
      <c r="C337" t="s">
        <v>976</v>
      </c>
    </row>
    <row r="338" spans="1:3">
      <c r="A338" t="s">
        <v>977</v>
      </c>
      <c r="B338" t="s">
        <v>978</v>
      </c>
      <c r="C338" t="s">
        <v>979</v>
      </c>
    </row>
    <row r="339" spans="1:3">
      <c r="A339" t="s">
        <v>980</v>
      </c>
      <c r="B339" t="s">
        <v>981</v>
      </c>
      <c r="C339" t="s">
        <v>982</v>
      </c>
    </row>
    <row r="340" spans="1:3">
      <c r="A340" t="s">
        <v>983</v>
      </c>
      <c r="B340" t="s">
        <v>984</v>
      </c>
      <c r="C340" t="s">
        <v>985</v>
      </c>
    </row>
    <row r="341" spans="1:3">
      <c r="A341" t="s">
        <v>986</v>
      </c>
      <c r="B341" t="s">
        <v>987</v>
      </c>
      <c r="C341" t="s">
        <v>988</v>
      </c>
    </row>
    <row r="342" spans="1:3">
      <c r="A342" t="s">
        <v>989</v>
      </c>
      <c r="B342" t="s">
        <v>990</v>
      </c>
      <c r="C342" t="s">
        <v>991</v>
      </c>
    </row>
    <row r="343" spans="1:3">
      <c r="A343" t="s">
        <v>992</v>
      </c>
      <c r="B343" t="s">
        <v>993</v>
      </c>
      <c r="C343" t="s">
        <v>994</v>
      </c>
    </row>
    <row r="344" spans="1:3">
      <c r="A344" t="s">
        <v>995</v>
      </c>
      <c r="B344" t="s">
        <v>996</v>
      </c>
      <c r="C344" t="s">
        <v>997</v>
      </c>
    </row>
    <row r="345" spans="1:3">
      <c r="A345" t="s">
        <v>998</v>
      </c>
      <c r="B345" t="s">
        <v>999</v>
      </c>
      <c r="C345" t="s">
        <v>1000</v>
      </c>
    </row>
    <row r="346" spans="1:3">
      <c r="A346" t="s">
        <v>1001</v>
      </c>
      <c r="B346" t="s">
        <v>1002</v>
      </c>
      <c r="C346" t="s">
        <v>1003</v>
      </c>
    </row>
    <row r="347" spans="1:3">
      <c r="A347" t="s">
        <v>1004</v>
      </c>
      <c r="B347" t="s">
        <v>1005</v>
      </c>
      <c r="C347" t="s">
        <v>1006</v>
      </c>
    </row>
    <row r="348" spans="1:3">
      <c r="A348" t="s">
        <v>1007</v>
      </c>
      <c r="B348" t="s">
        <v>1008</v>
      </c>
      <c r="C348" t="s">
        <v>1009</v>
      </c>
    </row>
    <row r="349" spans="1:3">
      <c r="A349" s="50" t="s">
        <v>1010</v>
      </c>
      <c r="B349" t="s">
        <v>1011</v>
      </c>
      <c r="C349" t="s">
        <v>1012</v>
      </c>
    </row>
    <row r="350" spans="1:3">
      <c r="A350" s="50" t="s">
        <v>1013</v>
      </c>
      <c r="B350" t="s">
        <v>1014</v>
      </c>
      <c r="C350" t="s">
        <v>1015</v>
      </c>
    </row>
    <row r="351" spans="1:3">
      <c r="A351" s="50" t="s">
        <v>1016</v>
      </c>
      <c r="B351" t="s">
        <v>1017</v>
      </c>
      <c r="C351" t="s">
        <v>1018</v>
      </c>
    </row>
    <row r="352" spans="1:3">
      <c r="A352" s="50" t="s">
        <v>1019</v>
      </c>
      <c r="B352" t="s">
        <v>1020</v>
      </c>
      <c r="C352" t="s">
        <v>1021</v>
      </c>
    </row>
    <row r="353" spans="1:3">
      <c r="A353" s="50" t="s">
        <v>1022</v>
      </c>
      <c r="B353" t="s">
        <v>1023</v>
      </c>
      <c r="C353" t="s">
        <v>1024</v>
      </c>
    </row>
    <row r="354" spans="1:3">
      <c r="A354" s="50" t="s">
        <v>1025</v>
      </c>
      <c r="B354" t="s">
        <v>1026</v>
      </c>
      <c r="C354" t="s">
        <v>1027</v>
      </c>
    </row>
    <row r="355" spans="1:3">
      <c r="A355" t="s">
        <v>1028</v>
      </c>
      <c r="B355" t="s">
        <v>1029</v>
      </c>
      <c r="C355" t="s">
        <v>1030</v>
      </c>
    </row>
    <row r="356" spans="1:3">
      <c r="A356" t="s">
        <v>1031</v>
      </c>
      <c r="B356" t="s">
        <v>1032</v>
      </c>
      <c r="C356" t="s">
        <v>1033</v>
      </c>
    </row>
    <row r="357" spans="1:3">
      <c r="A357" t="s">
        <v>1034</v>
      </c>
      <c r="C357" s="257" t="s">
        <v>1035</v>
      </c>
    </row>
    <row r="358" spans="1:3">
      <c r="A358" t="s">
        <v>1036</v>
      </c>
      <c r="C358" s="257" t="s">
        <v>1037</v>
      </c>
    </row>
    <row r="359" spans="1:3">
      <c r="A359" t="s">
        <v>1038</v>
      </c>
      <c r="C359" s="257" t="s">
        <v>1039</v>
      </c>
    </row>
    <row r="360" spans="1:3">
      <c r="A360" t="s">
        <v>1040</v>
      </c>
      <c r="C360" s="257" t="s">
        <v>1041</v>
      </c>
    </row>
    <row r="361" spans="1:3">
      <c r="A361" t="s">
        <v>1042</v>
      </c>
      <c r="C361" s="257" t="s">
        <v>1043</v>
      </c>
    </row>
    <row r="362" spans="1:3">
      <c r="A362" t="s">
        <v>1044</v>
      </c>
      <c r="C362" s="257" t="s">
        <v>1045</v>
      </c>
    </row>
    <row r="363" spans="1:3">
      <c r="A363" t="s">
        <v>1046</v>
      </c>
      <c r="C363" s="257" t="s">
        <v>1047</v>
      </c>
    </row>
    <row r="364" spans="1:3">
      <c r="A364" t="s">
        <v>1048</v>
      </c>
      <c r="C364" s="257" t="s">
        <v>1049</v>
      </c>
    </row>
    <row r="365" spans="1:3">
      <c r="A365" s="50" t="s">
        <v>1050</v>
      </c>
      <c r="B365" t="s">
        <v>880</v>
      </c>
      <c r="C365" t="s">
        <v>1051</v>
      </c>
    </row>
    <row r="366" spans="1:3">
      <c r="A366" t="s">
        <v>1052</v>
      </c>
      <c r="B366" t="s">
        <v>883</v>
      </c>
      <c r="C366" t="s">
        <v>1053</v>
      </c>
    </row>
    <row r="367" spans="1:3">
      <c r="A367" s="50" t="s">
        <v>1054</v>
      </c>
      <c r="B367" t="s">
        <v>886</v>
      </c>
      <c r="C367" t="s">
        <v>1055</v>
      </c>
    </row>
    <row r="368" spans="1:3">
      <c r="A368" s="50" t="s">
        <v>1056</v>
      </c>
      <c r="B368" t="s">
        <v>889</v>
      </c>
      <c r="C368" t="s">
        <v>1057</v>
      </c>
    </row>
    <row r="369" spans="1:3">
      <c r="A369" t="s">
        <v>1058</v>
      </c>
      <c r="C369" s="257" t="s">
        <v>1059</v>
      </c>
    </row>
    <row r="370" spans="1:3">
      <c r="A370" t="s">
        <v>1060</v>
      </c>
      <c r="C370" s="257" t="s">
        <v>1061</v>
      </c>
    </row>
    <row r="371" spans="1:3">
      <c r="A371" s="50" t="s">
        <v>1062</v>
      </c>
      <c r="B371" t="s">
        <v>909</v>
      </c>
      <c r="C371" t="s">
        <v>1063</v>
      </c>
    </row>
    <row r="372" spans="1:3">
      <c r="A372" t="s">
        <v>1064</v>
      </c>
      <c r="C372" s="257" t="s">
        <v>1065</v>
      </c>
    </row>
    <row r="373" spans="1:3">
      <c r="A373" t="s">
        <v>1066</v>
      </c>
      <c r="C373" s="257" t="s">
        <v>1067</v>
      </c>
    </row>
    <row r="374" spans="1:3">
      <c r="A374" t="s">
        <v>1068</v>
      </c>
      <c r="C374" s="257" t="s">
        <v>1069</v>
      </c>
    </row>
    <row r="375" spans="1:3">
      <c r="A375" t="s">
        <v>1070</v>
      </c>
      <c r="C375" s="257" t="s">
        <v>1071</v>
      </c>
    </row>
    <row r="376" spans="1:3">
      <c r="A376" t="s">
        <v>1072</v>
      </c>
      <c r="C376" s="257" t="s">
        <v>1073</v>
      </c>
    </row>
    <row r="377" spans="1:3">
      <c r="A377" t="s">
        <v>1074</v>
      </c>
      <c r="C377" s="257" t="s">
        <v>1075</v>
      </c>
    </row>
    <row r="378" spans="1:3">
      <c r="A378" t="s">
        <v>1076</v>
      </c>
      <c r="C378" s="257" t="s">
        <v>1077</v>
      </c>
    </row>
    <row r="379" spans="1:3">
      <c r="A379" t="s">
        <v>1078</v>
      </c>
      <c r="C379" s="257" t="s">
        <v>1079</v>
      </c>
    </row>
    <row r="380" spans="1:3">
      <c r="A380" t="s">
        <v>1080</v>
      </c>
      <c r="C380" s="257" t="s">
        <v>1081</v>
      </c>
    </row>
    <row r="381" spans="1:3">
      <c r="A381" t="s">
        <v>1082</v>
      </c>
      <c r="C381" s="257" t="s">
        <v>1083</v>
      </c>
    </row>
    <row r="382" spans="1:3">
      <c r="A382" t="s">
        <v>1084</v>
      </c>
      <c r="C382" s="257" t="s">
        <v>1085</v>
      </c>
    </row>
    <row r="383" spans="1:3">
      <c r="A383" t="s">
        <v>1086</v>
      </c>
      <c r="C383" s="257" t="s">
        <v>1087</v>
      </c>
    </row>
    <row r="384" spans="1:3">
      <c r="A384" t="s">
        <v>1088</v>
      </c>
      <c r="C384" s="257" t="s">
        <v>1089</v>
      </c>
    </row>
    <row r="385" spans="1:3">
      <c r="A385" t="s">
        <v>1090</v>
      </c>
      <c r="C385" s="257" t="s">
        <v>1091</v>
      </c>
    </row>
    <row r="386" spans="1:3">
      <c r="A386" t="s">
        <v>1092</v>
      </c>
      <c r="C386" s="257" t="s">
        <v>1075</v>
      </c>
    </row>
    <row r="387" spans="1:3">
      <c r="A387" t="s">
        <v>1093</v>
      </c>
      <c r="C387" s="257" t="s">
        <v>1094</v>
      </c>
    </row>
    <row r="388" spans="1:3">
      <c r="A388" t="s">
        <v>1095</v>
      </c>
      <c r="C388" s="257" t="s">
        <v>1096</v>
      </c>
    </row>
    <row r="389" spans="1:3">
      <c r="A389" t="s">
        <v>1097</v>
      </c>
      <c r="C389" s="257" t="s">
        <v>1098</v>
      </c>
    </row>
    <row r="390" spans="1:3">
      <c r="A390" t="s">
        <v>1099</v>
      </c>
      <c r="C390" s="257" t="s">
        <v>1100</v>
      </c>
    </row>
    <row r="391" spans="1:3">
      <c r="A391" t="s">
        <v>1101</v>
      </c>
      <c r="C391" s="257" t="s">
        <v>1102</v>
      </c>
    </row>
    <row r="392" spans="1:3">
      <c r="A392" t="s">
        <v>1103</v>
      </c>
      <c r="C392" s="257" t="s">
        <v>1104</v>
      </c>
    </row>
    <row r="393" spans="1:3">
      <c r="A393" t="s">
        <v>1105</v>
      </c>
      <c r="C393" s="257" t="s">
        <v>1106</v>
      </c>
    </row>
    <row r="394" spans="1:3">
      <c r="A394" t="s">
        <v>1107</v>
      </c>
      <c r="C394" s="257" t="s">
        <v>1108</v>
      </c>
    </row>
    <row r="395" spans="1:3">
      <c r="A395" t="s">
        <v>1109</v>
      </c>
      <c r="C395" s="257" t="s">
        <v>1110</v>
      </c>
    </row>
    <row r="396" spans="1:3">
      <c r="A396" t="s">
        <v>1111</v>
      </c>
      <c r="C396" s="257" t="s">
        <v>1112</v>
      </c>
    </row>
    <row r="397" spans="1:3">
      <c r="A397" s="50" t="s">
        <v>1113</v>
      </c>
      <c r="C397" s="257" t="s">
        <v>1114</v>
      </c>
    </row>
    <row r="398" spans="1:3">
      <c r="A398" t="s">
        <v>1115</v>
      </c>
      <c r="C398" s="257" t="s">
        <v>1116</v>
      </c>
    </row>
    <row r="399" spans="1:3">
      <c r="A399" t="s">
        <v>1117</v>
      </c>
      <c r="C399" s="257" t="s">
        <v>1118</v>
      </c>
    </row>
    <row r="400" spans="1:3">
      <c r="A400" t="s">
        <v>1119</v>
      </c>
      <c r="C400" s="257" t="s">
        <v>1120</v>
      </c>
    </row>
    <row r="401" spans="1:3">
      <c r="A401" s="50" t="s">
        <v>1121</v>
      </c>
      <c r="C401" s="257" t="s">
        <v>1114</v>
      </c>
    </row>
    <row r="402" spans="1:3">
      <c r="A402" t="s">
        <v>1122</v>
      </c>
      <c r="C402" s="257" t="s">
        <v>1123</v>
      </c>
    </row>
    <row r="403" spans="1:3">
      <c r="A403" t="s">
        <v>1124</v>
      </c>
      <c r="C403" s="257" t="s">
        <v>1125</v>
      </c>
    </row>
    <row r="404" spans="1:3">
      <c r="A404" t="s">
        <v>1126</v>
      </c>
      <c r="C404" s="257" t="s">
        <v>1127</v>
      </c>
    </row>
    <row r="405" spans="1:3">
      <c r="A405" t="s">
        <v>1128</v>
      </c>
      <c r="C405" s="257" t="s">
        <v>1129</v>
      </c>
    </row>
    <row r="406" spans="1:3">
      <c r="A406" s="50" t="s">
        <v>1130</v>
      </c>
      <c r="B406" t="s">
        <v>1131</v>
      </c>
      <c r="C406" s="74" t="s">
        <v>1132</v>
      </c>
    </row>
    <row r="407" spans="1:3">
      <c r="A407" t="s">
        <v>1133</v>
      </c>
      <c r="B407" t="s">
        <v>1134</v>
      </c>
      <c r="C407" t="s">
        <v>1135</v>
      </c>
    </row>
    <row r="408" spans="1:3">
      <c r="A408" t="s">
        <v>1136</v>
      </c>
      <c r="B408" t="s">
        <v>1137</v>
      </c>
      <c r="C408" t="s">
        <v>1138</v>
      </c>
    </row>
    <row r="409" spans="1:3">
      <c r="A409" t="s">
        <v>1139</v>
      </c>
      <c r="B409" t="s">
        <v>1140</v>
      </c>
      <c r="C409" t="s">
        <v>1141</v>
      </c>
    </row>
    <row r="410" spans="1:3">
      <c r="A410" t="s">
        <v>1142</v>
      </c>
      <c r="B410" t="s">
        <v>1143</v>
      </c>
      <c r="C410" t="s">
        <v>1144</v>
      </c>
    </row>
    <row r="411" spans="1:3">
      <c r="A411" t="s">
        <v>1145</v>
      </c>
      <c r="B411" t="s">
        <v>1146</v>
      </c>
      <c r="C411" t="s">
        <v>1147</v>
      </c>
    </row>
    <row r="412" spans="1:3">
      <c r="A412" t="s">
        <v>1148</v>
      </c>
      <c r="B412" t="s">
        <v>1149</v>
      </c>
      <c r="C412" t="s">
        <v>1150</v>
      </c>
    </row>
    <row r="413" spans="1:3">
      <c r="A413" t="s">
        <v>1151</v>
      </c>
      <c r="B413" t="s">
        <v>1152</v>
      </c>
      <c r="C413" t="s">
        <v>1153</v>
      </c>
    </row>
    <row r="414" spans="1:3">
      <c r="A414" t="s">
        <v>1154</v>
      </c>
      <c r="B414" t="s">
        <v>1155</v>
      </c>
      <c r="C414" t="s">
        <v>1156</v>
      </c>
    </row>
    <row r="415" spans="1:3">
      <c r="A415" t="s">
        <v>1157</v>
      </c>
      <c r="B415" t="s">
        <v>1158</v>
      </c>
      <c r="C415" t="s">
        <v>1159</v>
      </c>
    </row>
    <row r="416" spans="1:3">
      <c r="A416" t="s">
        <v>1160</v>
      </c>
      <c r="B416" t="s">
        <v>1161</v>
      </c>
      <c r="C416" t="s">
        <v>1162</v>
      </c>
    </row>
    <row r="417" spans="1:3">
      <c r="A417" t="s">
        <v>1163</v>
      </c>
      <c r="B417" t="s">
        <v>1164</v>
      </c>
      <c r="C417" t="s">
        <v>1165</v>
      </c>
    </row>
    <row r="418" spans="1:3">
      <c r="A418" t="s">
        <v>1166</v>
      </c>
      <c r="B418" t="s">
        <v>1143</v>
      </c>
      <c r="C418" t="s">
        <v>1167</v>
      </c>
    </row>
    <row r="419" spans="1:3">
      <c r="A419" t="s">
        <v>1168</v>
      </c>
      <c r="B419" t="s">
        <v>1169</v>
      </c>
      <c r="C419" t="s">
        <v>1170</v>
      </c>
    </row>
    <row r="420" spans="1:3">
      <c r="A420" t="s">
        <v>1171</v>
      </c>
      <c r="B420" t="s">
        <v>1149</v>
      </c>
      <c r="C420" t="s">
        <v>1172</v>
      </c>
    </row>
    <row r="421" spans="1:3">
      <c r="A421" t="s">
        <v>1173</v>
      </c>
      <c r="B421" t="s">
        <v>1152</v>
      </c>
      <c r="C421" t="s">
        <v>1174</v>
      </c>
    </row>
    <row r="422" spans="1:3">
      <c r="A422" t="s">
        <v>1175</v>
      </c>
      <c r="B422" t="s">
        <v>1155</v>
      </c>
      <c r="C422" t="s">
        <v>1176</v>
      </c>
    </row>
    <row r="423" spans="1:3">
      <c r="A423" t="s">
        <v>1177</v>
      </c>
      <c r="B423" t="s">
        <v>1178</v>
      </c>
      <c r="C423" t="s">
        <v>1179</v>
      </c>
    </row>
    <row r="424" spans="1:3">
      <c r="A424" t="s">
        <v>1180</v>
      </c>
      <c r="B424" t="s">
        <v>1140</v>
      </c>
      <c r="C424" t="s">
        <v>1181</v>
      </c>
    </row>
    <row r="425" spans="1:3">
      <c r="A425" t="s">
        <v>1182</v>
      </c>
      <c r="B425" t="s">
        <v>1183</v>
      </c>
      <c r="C425" t="s">
        <v>1184</v>
      </c>
    </row>
    <row r="426" spans="1:3">
      <c r="A426" t="s">
        <v>1185</v>
      </c>
      <c r="B426" t="s">
        <v>1186</v>
      </c>
      <c r="C426" t="s">
        <v>1187</v>
      </c>
    </row>
    <row r="427" spans="1:3">
      <c r="A427" t="s">
        <v>1188</v>
      </c>
      <c r="B427" t="s">
        <v>1189</v>
      </c>
      <c r="C427" t="s">
        <v>1190</v>
      </c>
    </row>
    <row r="428" spans="1:3">
      <c r="A428" t="s">
        <v>1191</v>
      </c>
      <c r="B428" t="s">
        <v>1192</v>
      </c>
      <c r="C428" t="s">
        <v>1193</v>
      </c>
    </row>
    <row r="429" spans="1:3">
      <c r="A429" t="s">
        <v>1194</v>
      </c>
      <c r="B429" t="s">
        <v>1195</v>
      </c>
      <c r="C429" t="s">
        <v>1196</v>
      </c>
    </row>
    <row r="430" spans="1:3">
      <c r="A430" t="s">
        <v>1197</v>
      </c>
      <c r="B430" t="s">
        <v>1198</v>
      </c>
      <c r="C430" t="s">
        <v>1199</v>
      </c>
    </row>
    <row r="431" spans="1:3">
      <c r="A431" t="s">
        <v>1200</v>
      </c>
      <c r="B431" t="s">
        <v>1201</v>
      </c>
      <c r="C431" t="s">
        <v>1202</v>
      </c>
    </row>
    <row r="432" spans="1:3">
      <c r="A432" t="s">
        <v>1203</v>
      </c>
      <c r="B432" t="s">
        <v>1204</v>
      </c>
      <c r="C432" t="s">
        <v>1205</v>
      </c>
    </row>
    <row r="433" spans="1:3">
      <c r="A433" t="s">
        <v>1206</v>
      </c>
      <c r="C433" s="257" t="s">
        <v>1207</v>
      </c>
    </row>
    <row r="434" spans="1:3">
      <c r="A434" t="s">
        <v>1208</v>
      </c>
      <c r="B434" t="s">
        <v>1209</v>
      </c>
      <c r="C434" t="s">
        <v>1210</v>
      </c>
    </row>
    <row r="435" spans="1:3">
      <c r="A435" t="s">
        <v>1211</v>
      </c>
      <c r="B435" t="s">
        <v>1212</v>
      </c>
      <c r="C435" t="s">
        <v>1213</v>
      </c>
    </row>
    <row r="436" spans="1:3">
      <c r="A436" t="s">
        <v>1214</v>
      </c>
      <c r="B436" t="s">
        <v>1215</v>
      </c>
      <c r="C436" t="s">
        <v>1216</v>
      </c>
    </row>
    <row r="437" spans="1:3">
      <c r="A437" t="s">
        <v>1217</v>
      </c>
      <c r="B437" t="s">
        <v>1218</v>
      </c>
      <c r="C437" t="s">
        <v>1219</v>
      </c>
    </row>
    <row r="438" spans="1:3">
      <c r="A438" t="s">
        <v>1220</v>
      </c>
      <c r="B438" t="s">
        <v>1221</v>
      </c>
      <c r="C438" t="s">
        <v>1222</v>
      </c>
    </row>
    <row r="439" spans="1:3">
      <c r="A439" t="s">
        <v>1223</v>
      </c>
      <c r="B439" t="s">
        <v>1224</v>
      </c>
      <c r="C439" t="s">
        <v>1225</v>
      </c>
    </row>
    <row r="440" spans="1:3">
      <c r="A440" t="s">
        <v>1226</v>
      </c>
      <c r="B440" t="s">
        <v>1227</v>
      </c>
      <c r="C440" t="s">
        <v>1228</v>
      </c>
    </row>
    <row r="441" spans="1:3">
      <c r="A441" s="50" t="s">
        <v>1229</v>
      </c>
      <c r="B441" s="50"/>
      <c r="C441" s="258" t="s">
        <v>1230</v>
      </c>
    </row>
    <row r="442" spans="1:3">
      <c r="A442" s="50" t="s">
        <v>1231</v>
      </c>
      <c r="B442" s="50"/>
      <c r="C442" s="258" t="s">
        <v>1232</v>
      </c>
    </row>
    <row r="443" spans="1:3">
      <c r="A443" t="s">
        <v>1233</v>
      </c>
      <c r="C443" s="257" t="s">
        <v>1234</v>
      </c>
    </row>
    <row r="444" spans="1:3">
      <c r="A444" t="s">
        <v>1235</v>
      </c>
      <c r="C444" s="257" t="s">
        <v>1236</v>
      </c>
    </row>
    <row r="445" spans="1:3">
      <c r="A445" t="s">
        <v>1237</v>
      </c>
      <c r="C445" s="257" t="s">
        <v>1238</v>
      </c>
    </row>
    <row r="446" spans="1:3">
      <c r="A446" t="s">
        <v>1239</v>
      </c>
      <c r="C446" s="257" t="s">
        <v>1240</v>
      </c>
    </row>
    <row r="447" spans="1:3">
      <c r="A447" t="s">
        <v>1241</v>
      </c>
      <c r="C447" s="257" t="s">
        <v>1242</v>
      </c>
    </row>
    <row r="448" spans="1:3">
      <c r="A448" t="s">
        <v>1243</v>
      </c>
      <c r="C448" s="257" t="s">
        <v>1244</v>
      </c>
    </row>
    <row r="449" spans="1:3">
      <c r="A449" t="s">
        <v>1245</v>
      </c>
      <c r="B449" t="s">
        <v>1246</v>
      </c>
      <c r="C449" t="s">
        <v>1247</v>
      </c>
    </row>
    <row r="450" spans="1:3">
      <c r="A450" t="s">
        <v>1248</v>
      </c>
      <c r="B450" t="s">
        <v>1249</v>
      </c>
      <c r="C450" t="s">
        <v>1250</v>
      </c>
    </row>
    <row r="451" spans="1:3">
      <c r="A451" t="s">
        <v>1251</v>
      </c>
      <c r="B451" t="s">
        <v>1252</v>
      </c>
      <c r="C451" t="s">
        <v>1253</v>
      </c>
    </row>
    <row r="452" spans="1:3">
      <c r="A452" t="s">
        <v>1254</v>
      </c>
      <c r="B452" t="s">
        <v>1255</v>
      </c>
      <c r="C452" t="s">
        <v>1256</v>
      </c>
    </row>
    <row r="453" spans="1:3">
      <c r="A453" t="s">
        <v>1257</v>
      </c>
      <c r="B453" t="s">
        <v>1258</v>
      </c>
      <c r="C453" t="s">
        <v>1259</v>
      </c>
    </row>
    <row r="454" spans="1:3">
      <c r="A454" t="s">
        <v>1260</v>
      </c>
      <c r="B454" t="s">
        <v>1261</v>
      </c>
      <c r="C454" t="s">
        <v>1262</v>
      </c>
    </row>
    <row r="455" spans="1:3">
      <c r="A455" t="s">
        <v>1263</v>
      </c>
      <c r="B455" t="s">
        <v>1264</v>
      </c>
      <c r="C455" t="s">
        <v>1265</v>
      </c>
    </row>
    <row r="456" spans="1:3">
      <c r="A456" t="s">
        <v>1266</v>
      </c>
      <c r="B456" t="s">
        <v>1267</v>
      </c>
      <c r="C456" t="s">
        <v>1268</v>
      </c>
    </row>
    <row r="457" spans="1:3">
      <c r="A457" t="s">
        <v>1269</v>
      </c>
      <c r="B457" t="s">
        <v>1270</v>
      </c>
      <c r="C457" t="s">
        <v>1271</v>
      </c>
    </row>
    <row r="458" spans="1:3">
      <c r="A458" t="s">
        <v>1272</v>
      </c>
      <c r="B458" t="s">
        <v>1273</v>
      </c>
      <c r="C458" t="s">
        <v>1274</v>
      </c>
    </row>
    <row r="459" spans="1:3">
      <c r="A459" t="s">
        <v>1275</v>
      </c>
      <c r="B459" t="s">
        <v>1276</v>
      </c>
      <c r="C459" t="s">
        <v>1277</v>
      </c>
    </row>
    <row r="460" spans="1:3">
      <c r="A460" t="s">
        <v>1278</v>
      </c>
      <c r="B460" t="s">
        <v>1279</v>
      </c>
      <c r="C460" t="s">
        <v>1280</v>
      </c>
    </row>
    <row r="461" spans="1:3">
      <c r="A461" t="s">
        <v>1281</v>
      </c>
      <c r="B461" t="s">
        <v>1282</v>
      </c>
      <c r="C461" t="s">
        <v>1283</v>
      </c>
    </row>
    <row r="462" spans="1:3">
      <c r="A462" t="s">
        <v>1284</v>
      </c>
      <c r="B462" t="s">
        <v>1285</v>
      </c>
      <c r="C462" t="s">
        <v>1286</v>
      </c>
    </row>
    <row r="463" spans="1:3">
      <c r="A463" t="s">
        <v>1287</v>
      </c>
      <c r="B463" t="s">
        <v>1288</v>
      </c>
      <c r="C463" t="s">
        <v>1289</v>
      </c>
    </row>
    <row r="464" spans="1:3">
      <c r="A464" t="s">
        <v>1290</v>
      </c>
      <c r="B464" t="s">
        <v>1291</v>
      </c>
      <c r="C464" t="s">
        <v>1292</v>
      </c>
    </row>
    <row r="465" spans="1:3">
      <c r="A465" t="s">
        <v>1293</v>
      </c>
      <c r="B465" t="s">
        <v>1294</v>
      </c>
      <c r="C465" t="s">
        <v>1295</v>
      </c>
    </row>
    <row r="466" spans="1:3">
      <c r="A466" t="s">
        <v>1296</v>
      </c>
      <c r="B466" t="s">
        <v>1297</v>
      </c>
      <c r="C466" t="s">
        <v>1298</v>
      </c>
    </row>
    <row r="467" spans="1:3">
      <c r="A467" t="s">
        <v>1299</v>
      </c>
      <c r="B467" t="s">
        <v>1300</v>
      </c>
      <c r="C467" t="s">
        <v>1301</v>
      </c>
    </row>
    <row r="468" spans="1:3">
      <c r="A468" t="s">
        <v>1302</v>
      </c>
      <c r="B468" t="s">
        <v>1303</v>
      </c>
      <c r="C468" t="s">
        <v>1304</v>
      </c>
    </row>
    <row r="469" spans="1:3">
      <c r="A469" t="s">
        <v>1305</v>
      </c>
      <c r="B469" t="s">
        <v>1306</v>
      </c>
      <c r="C469" t="s">
        <v>1307</v>
      </c>
    </row>
    <row r="470" spans="1:3">
      <c r="A470" t="s">
        <v>1308</v>
      </c>
      <c r="B470" t="s">
        <v>1309</v>
      </c>
      <c r="C470" t="s">
        <v>1310</v>
      </c>
    </row>
    <row r="471" spans="1:3">
      <c r="A471" t="s">
        <v>1311</v>
      </c>
      <c r="B471" t="s">
        <v>1312</v>
      </c>
      <c r="C471" t="s">
        <v>1313</v>
      </c>
    </row>
    <row r="472" spans="1:3">
      <c r="A472" t="s">
        <v>1314</v>
      </c>
      <c r="B472" t="s">
        <v>1315</v>
      </c>
      <c r="C472" t="s">
        <v>1316</v>
      </c>
    </row>
    <row r="473" spans="1:3">
      <c r="A473" t="s">
        <v>1317</v>
      </c>
      <c r="B473" t="s">
        <v>1318</v>
      </c>
      <c r="C473" t="s">
        <v>1319</v>
      </c>
    </row>
    <row r="474" spans="1:3">
      <c r="A474" t="s">
        <v>1320</v>
      </c>
      <c r="B474" t="s">
        <v>1321</v>
      </c>
      <c r="C474" t="s">
        <v>1322</v>
      </c>
    </row>
    <row r="475" spans="1:3">
      <c r="A475" t="s">
        <v>1323</v>
      </c>
      <c r="B475" t="s">
        <v>1324</v>
      </c>
      <c r="C475" t="s">
        <v>1325</v>
      </c>
    </row>
    <row r="476" spans="1:3">
      <c r="A476" t="s">
        <v>1326</v>
      </c>
      <c r="B476" t="s">
        <v>1327</v>
      </c>
      <c r="C476" t="s">
        <v>1328</v>
      </c>
    </row>
    <row r="477" spans="1:3">
      <c r="A477" t="s">
        <v>1329</v>
      </c>
      <c r="B477" t="s">
        <v>1330</v>
      </c>
      <c r="C477" t="s">
        <v>1331</v>
      </c>
    </row>
    <row r="478" spans="1:3">
      <c r="A478" t="s">
        <v>1332</v>
      </c>
      <c r="B478" t="s">
        <v>1333</v>
      </c>
      <c r="C478" t="s">
        <v>1334</v>
      </c>
    </row>
    <row r="479" spans="1:3">
      <c r="A479" t="s">
        <v>1335</v>
      </c>
      <c r="B479" t="s">
        <v>1336</v>
      </c>
      <c r="C479" t="s">
        <v>1337</v>
      </c>
    </row>
    <row r="480" spans="1:3">
      <c r="A480" s="50" t="s">
        <v>1338</v>
      </c>
      <c r="B480" t="s">
        <v>1339</v>
      </c>
      <c r="C480" s="74" t="s">
        <v>1340</v>
      </c>
    </row>
    <row r="481" spans="1:3">
      <c r="A481" t="s">
        <v>1341</v>
      </c>
      <c r="C481" s="257" t="s">
        <v>1342</v>
      </c>
    </row>
    <row r="482" spans="1:3">
      <c r="A482" t="s">
        <v>1343</v>
      </c>
      <c r="C482" s="257" t="s">
        <v>1344</v>
      </c>
    </row>
    <row r="483" spans="1:3">
      <c r="A483" t="s">
        <v>1345</v>
      </c>
      <c r="C483" s="257" t="s">
        <v>1346</v>
      </c>
    </row>
    <row r="484" spans="1:3">
      <c r="A484" t="s">
        <v>1347</v>
      </c>
      <c r="C484" s="257" t="s">
        <v>1348</v>
      </c>
    </row>
    <row r="485" spans="1:3">
      <c r="A485" t="s">
        <v>1349</v>
      </c>
      <c r="C485" s="257" t="s">
        <v>1350</v>
      </c>
    </row>
    <row r="486" spans="1:3">
      <c r="A486" t="s">
        <v>1351</v>
      </c>
      <c r="C486" s="257" t="s">
        <v>1352</v>
      </c>
    </row>
    <row r="487" spans="1:3">
      <c r="A487" t="s">
        <v>1353</v>
      </c>
      <c r="C487" s="257" t="s">
        <v>1354</v>
      </c>
    </row>
    <row r="488" spans="1:3">
      <c r="A488" t="s">
        <v>1355</v>
      </c>
      <c r="C488" s="257" t="s">
        <v>1356</v>
      </c>
    </row>
    <row r="489" spans="1:3">
      <c r="A489" s="50" t="s">
        <v>1357</v>
      </c>
      <c r="B489" t="s">
        <v>1358</v>
      </c>
      <c r="C489" s="74" t="s">
        <v>1359</v>
      </c>
    </row>
    <row r="490" spans="1:3">
      <c r="A490" t="s">
        <v>1360</v>
      </c>
      <c r="C490" s="257" t="s">
        <v>1361</v>
      </c>
    </row>
    <row r="491" spans="1:3">
      <c r="A491" t="s">
        <v>1362</v>
      </c>
      <c r="C491" s="257" t="s">
        <v>1363</v>
      </c>
    </row>
    <row r="492" spans="1:3">
      <c r="A492" t="s">
        <v>1364</v>
      </c>
      <c r="C492" s="257" t="s">
        <v>1365</v>
      </c>
    </row>
    <row r="493" spans="1:3">
      <c r="A493" t="s">
        <v>1366</v>
      </c>
      <c r="C493" s="257" t="s">
        <v>1367</v>
      </c>
    </row>
    <row r="494" spans="1:3">
      <c r="A494" t="s">
        <v>1368</v>
      </c>
      <c r="C494" s="257" t="s">
        <v>1369</v>
      </c>
    </row>
    <row r="495" spans="1:3">
      <c r="A495" t="s">
        <v>1370</v>
      </c>
      <c r="C495" s="257" t="s">
        <v>1371</v>
      </c>
    </row>
    <row r="496" spans="1:3">
      <c r="A496" t="s">
        <v>1372</v>
      </c>
      <c r="C496" s="257" t="s">
        <v>1373</v>
      </c>
    </row>
    <row r="497" spans="1:3">
      <c r="A497" s="50" t="s">
        <v>1374</v>
      </c>
      <c r="B497" t="s">
        <v>1375</v>
      </c>
      <c r="C497" s="74" t="s">
        <v>1376</v>
      </c>
    </row>
    <row r="498" spans="1:3">
      <c r="A498" t="s">
        <v>1377</v>
      </c>
      <c r="C498" s="257" t="s">
        <v>1378</v>
      </c>
    </row>
    <row r="499" spans="1:3">
      <c r="A499" t="s">
        <v>1379</v>
      </c>
      <c r="B499" t="s">
        <v>1380</v>
      </c>
      <c r="C499" t="s">
        <v>1381</v>
      </c>
    </row>
    <row r="500" spans="1:3">
      <c r="A500" t="s">
        <v>1382</v>
      </c>
      <c r="B500" t="s">
        <v>1383</v>
      </c>
      <c r="C500" t="s">
        <v>1384</v>
      </c>
    </row>
    <row r="501" spans="1:3">
      <c r="A501" t="s">
        <v>1385</v>
      </c>
      <c r="B501" t="s">
        <v>1386</v>
      </c>
      <c r="C501" t="s">
        <v>1387</v>
      </c>
    </row>
    <row r="502" spans="1:3">
      <c r="A502" t="s">
        <v>1388</v>
      </c>
      <c r="B502" t="s">
        <v>1389</v>
      </c>
      <c r="C502" t="s">
        <v>1390</v>
      </c>
    </row>
    <row r="503" spans="1:3">
      <c r="A503" t="s">
        <v>1391</v>
      </c>
      <c r="B503" t="s">
        <v>1392</v>
      </c>
      <c r="C503" t="s">
        <v>1393</v>
      </c>
    </row>
    <row r="504" spans="1:3">
      <c r="A504" t="s">
        <v>1394</v>
      </c>
      <c r="B504" t="s">
        <v>1395</v>
      </c>
      <c r="C504" t="s">
        <v>1396</v>
      </c>
    </row>
    <row r="505" spans="1:3">
      <c r="A505" t="s">
        <v>1397</v>
      </c>
      <c r="B505" t="s">
        <v>1398</v>
      </c>
      <c r="C505" t="s">
        <v>1399</v>
      </c>
    </row>
    <row r="506" spans="1:3">
      <c r="A506" t="s">
        <v>1400</v>
      </c>
      <c r="B506" t="s">
        <v>1401</v>
      </c>
      <c r="C506" t="s">
        <v>1402</v>
      </c>
    </row>
    <row r="507" spans="1:3">
      <c r="A507" t="s">
        <v>1403</v>
      </c>
      <c r="C507" s="257" t="s">
        <v>1404</v>
      </c>
    </row>
    <row r="508" spans="1:3">
      <c r="A508" t="s">
        <v>1405</v>
      </c>
      <c r="B508" t="s">
        <v>1406</v>
      </c>
      <c r="C508" t="s">
        <v>1407</v>
      </c>
    </row>
    <row r="509" spans="1:3">
      <c r="A509" t="s">
        <v>1408</v>
      </c>
      <c r="B509" t="s">
        <v>1409</v>
      </c>
      <c r="C509" t="s">
        <v>1410</v>
      </c>
    </row>
    <row r="510" spans="1:3">
      <c r="A510" t="s">
        <v>1411</v>
      </c>
      <c r="B510" t="s">
        <v>1412</v>
      </c>
      <c r="C510" t="s">
        <v>1413</v>
      </c>
    </row>
    <row r="511" spans="1:3">
      <c r="A511" t="s">
        <v>1414</v>
      </c>
      <c r="B511" t="s">
        <v>1415</v>
      </c>
      <c r="C511" t="s">
        <v>1416</v>
      </c>
    </row>
    <row r="512" spans="1:3">
      <c r="A512" t="s">
        <v>1417</v>
      </c>
      <c r="B512" t="s">
        <v>1418</v>
      </c>
      <c r="C512" t="s">
        <v>1419</v>
      </c>
    </row>
    <row r="513" spans="1:3">
      <c r="A513" t="s">
        <v>1420</v>
      </c>
      <c r="B513" t="s">
        <v>1421</v>
      </c>
      <c r="C513" t="s">
        <v>1422</v>
      </c>
    </row>
    <row r="514" spans="1:3">
      <c r="A514" t="s">
        <v>1423</v>
      </c>
      <c r="B514" t="s">
        <v>1424</v>
      </c>
      <c r="C514" t="s">
        <v>1425</v>
      </c>
    </row>
    <row r="515" spans="1:3">
      <c r="A515" t="s">
        <v>1426</v>
      </c>
      <c r="C515" s="257" t="s">
        <v>1427</v>
      </c>
    </row>
    <row r="516" spans="1:3">
      <c r="A516" t="s">
        <v>1428</v>
      </c>
      <c r="B516" t="s">
        <v>1429</v>
      </c>
      <c r="C516" t="s">
        <v>1430</v>
      </c>
    </row>
    <row r="517" spans="1:3">
      <c r="A517" t="s">
        <v>1431</v>
      </c>
      <c r="B517" t="s">
        <v>1432</v>
      </c>
      <c r="C517" t="s">
        <v>1433</v>
      </c>
    </row>
    <row r="518" spans="1:3">
      <c r="A518" t="s">
        <v>1434</v>
      </c>
      <c r="B518" t="s">
        <v>1435</v>
      </c>
      <c r="C518" t="s">
        <v>1436</v>
      </c>
    </row>
    <row r="519" spans="1:3">
      <c r="A519" t="s">
        <v>1437</v>
      </c>
      <c r="B519" t="s">
        <v>1438</v>
      </c>
      <c r="C519" s="74" t="s">
        <v>1114</v>
      </c>
    </row>
    <row r="520" spans="1:3">
      <c r="A520" t="s">
        <v>1439</v>
      </c>
      <c r="B520" t="s">
        <v>1440</v>
      </c>
      <c r="C520" t="s">
        <v>1441</v>
      </c>
    </row>
    <row r="521" spans="1:3">
      <c r="A521" t="s">
        <v>1442</v>
      </c>
      <c r="B521" t="s">
        <v>1443</v>
      </c>
      <c r="C521" t="s">
        <v>1444</v>
      </c>
    </row>
    <row r="522" spans="1:3">
      <c r="A522" t="s">
        <v>1445</v>
      </c>
      <c r="B522" t="s">
        <v>1446</v>
      </c>
      <c r="C522" t="s">
        <v>1447</v>
      </c>
    </row>
    <row r="523" spans="1:3">
      <c r="A523" t="s">
        <v>1448</v>
      </c>
      <c r="B523" t="s">
        <v>1449</v>
      </c>
      <c r="C523" t="s">
        <v>1450</v>
      </c>
    </row>
    <row r="524" spans="1:3">
      <c r="A524" t="s">
        <v>1451</v>
      </c>
      <c r="B524" t="s">
        <v>1452</v>
      </c>
      <c r="C524" t="s">
        <v>1453</v>
      </c>
    </row>
    <row r="525" spans="1:3">
      <c r="A525" t="s">
        <v>1454</v>
      </c>
      <c r="B525" t="s">
        <v>1455</v>
      </c>
      <c r="C525" t="s">
        <v>1456</v>
      </c>
    </row>
    <row r="526" spans="1:3">
      <c r="A526" t="s">
        <v>1457</v>
      </c>
      <c r="C526" s="257" t="s">
        <v>1458</v>
      </c>
    </row>
    <row r="527" spans="1:3">
      <c r="A527" t="s">
        <v>1459</v>
      </c>
      <c r="C527" s="257" t="s">
        <v>1460</v>
      </c>
    </row>
    <row r="528" spans="1:3">
      <c r="A528" t="s">
        <v>1461</v>
      </c>
      <c r="C528" s="257" t="s">
        <v>1462</v>
      </c>
    </row>
    <row r="529" spans="1:3">
      <c r="A529" t="s">
        <v>1463</v>
      </c>
      <c r="C529" s="257" t="s">
        <v>1464</v>
      </c>
    </row>
    <row r="530" spans="1:3">
      <c r="A530" t="s">
        <v>1465</v>
      </c>
      <c r="B530" t="s">
        <v>1466</v>
      </c>
      <c r="C530" t="s">
        <v>1467</v>
      </c>
    </row>
    <row r="531" spans="1:3">
      <c r="A531" t="s">
        <v>1468</v>
      </c>
      <c r="B531" t="s">
        <v>1469</v>
      </c>
      <c r="C531" t="s">
        <v>1470</v>
      </c>
    </row>
    <row r="532" spans="1:3">
      <c r="A532" t="s">
        <v>1471</v>
      </c>
      <c r="B532" t="s">
        <v>1472</v>
      </c>
      <c r="C532" t="s">
        <v>1473</v>
      </c>
    </row>
    <row r="533" spans="1:3">
      <c r="A533" t="s">
        <v>1474</v>
      </c>
      <c r="B533" t="s">
        <v>1475</v>
      </c>
      <c r="C533" t="s">
        <v>1476</v>
      </c>
    </row>
    <row r="534" spans="1:3">
      <c r="A534" t="s">
        <v>1477</v>
      </c>
      <c r="B534" t="s">
        <v>1478</v>
      </c>
      <c r="C534" t="s">
        <v>1479</v>
      </c>
    </row>
    <row r="535" spans="1:3">
      <c r="A535" t="s">
        <v>1480</v>
      </c>
      <c r="B535" t="s">
        <v>1481</v>
      </c>
      <c r="C535" t="s">
        <v>1482</v>
      </c>
    </row>
    <row r="536" spans="1:3">
      <c r="A536" t="s">
        <v>1483</v>
      </c>
      <c r="B536" t="s">
        <v>1484</v>
      </c>
      <c r="C536" t="s">
        <v>1485</v>
      </c>
    </row>
    <row r="537" spans="1:3">
      <c r="A537" t="s">
        <v>1486</v>
      </c>
      <c r="B537" t="s">
        <v>1487</v>
      </c>
      <c r="C537" t="s">
        <v>1488</v>
      </c>
    </row>
    <row r="538" spans="1:3">
      <c r="A538" t="s">
        <v>1489</v>
      </c>
      <c r="B538" t="s">
        <v>1490</v>
      </c>
      <c r="C538" t="s">
        <v>1491</v>
      </c>
    </row>
    <row r="539" spans="1:3">
      <c r="A539" t="s">
        <v>1492</v>
      </c>
      <c r="B539" t="s">
        <v>1493</v>
      </c>
      <c r="C539" t="s">
        <v>1494</v>
      </c>
    </row>
    <row r="540" spans="1:3">
      <c r="A540" t="s">
        <v>1495</v>
      </c>
      <c r="B540" t="s">
        <v>1496</v>
      </c>
      <c r="C540" t="s">
        <v>1497</v>
      </c>
    </row>
    <row r="541" spans="1:3">
      <c r="A541" t="s">
        <v>1498</v>
      </c>
      <c r="B541" t="s">
        <v>1499</v>
      </c>
      <c r="C541" t="s">
        <v>1500</v>
      </c>
    </row>
    <row r="542" spans="1:3">
      <c r="A542" t="s">
        <v>1501</v>
      </c>
      <c r="B542" t="s">
        <v>1502</v>
      </c>
      <c r="C542" t="s">
        <v>1503</v>
      </c>
    </row>
    <row r="543" spans="1:3">
      <c r="A543" t="s">
        <v>1504</v>
      </c>
      <c r="B543" t="s">
        <v>1505</v>
      </c>
      <c r="C543" t="s">
        <v>1506</v>
      </c>
    </row>
    <row r="544" spans="1:3">
      <c r="A544" t="s">
        <v>1507</v>
      </c>
      <c r="B544" t="s">
        <v>1508</v>
      </c>
      <c r="C544" t="s">
        <v>1509</v>
      </c>
    </row>
    <row r="545" spans="1:3">
      <c r="A545" t="s">
        <v>1510</v>
      </c>
      <c r="B545" t="s">
        <v>1511</v>
      </c>
      <c r="C545" t="s">
        <v>1512</v>
      </c>
    </row>
    <row r="546" spans="1:3">
      <c r="A546" t="s">
        <v>1513</v>
      </c>
      <c r="B546" t="s">
        <v>1514</v>
      </c>
      <c r="C546" t="s">
        <v>1515</v>
      </c>
    </row>
    <row r="547" spans="1:3">
      <c r="A547" t="s">
        <v>1516</v>
      </c>
      <c r="B547" t="s">
        <v>1517</v>
      </c>
      <c r="C547" t="s">
        <v>1518</v>
      </c>
    </row>
    <row r="548" spans="1:3">
      <c r="A548" t="s">
        <v>1519</v>
      </c>
      <c r="B548" t="s">
        <v>1520</v>
      </c>
      <c r="C548" t="s">
        <v>1521</v>
      </c>
    </row>
    <row r="549" spans="1:3">
      <c r="A549" t="s">
        <v>1522</v>
      </c>
      <c r="B549" t="s">
        <v>1523</v>
      </c>
      <c r="C549" t="s">
        <v>1524</v>
      </c>
    </row>
    <row r="550" spans="1:3">
      <c r="A550" t="s">
        <v>1525</v>
      </c>
      <c r="B550" t="s">
        <v>1526</v>
      </c>
      <c r="C550" t="s">
        <v>1527</v>
      </c>
    </row>
    <row r="551" spans="1:3">
      <c r="A551" t="s">
        <v>1528</v>
      </c>
      <c r="B551" t="s">
        <v>1529</v>
      </c>
      <c r="C551" t="s">
        <v>1530</v>
      </c>
    </row>
    <row r="552" spans="1:3">
      <c r="A552" t="s">
        <v>1531</v>
      </c>
      <c r="B552" t="s">
        <v>1532</v>
      </c>
      <c r="C552" t="s">
        <v>1533</v>
      </c>
    </row>
    <row r="553" spans="1:3">
      <c r="A553" t="s">
        <v>1534</v>
      </c>
      <c r="B553" t="s">
        <v>1535</v>
      </c>
      <c r="C553" t="s">
        <v>1536</v>
      </c>
    </row>
    <row r="554" spans="1:3">
      <c r="A554" t="s">
        <v>1537</v>
      </c>
      <c r="B554" t="s">
        <v>1538</v>
      </c>
      <c r="C554" t="s">
        <v>1539</v>
      </c>
    </row>
    <row r="555" spans="1:3">
      <c r="A555" t="s">
        <v>1540</v>
      </c>
      <c r="B555" t="s">
        <v>1541</v>
      </c>
      <c r="C555" t="s">
        <v>1542</v>
      </c>
    </row>
    <row r="556" spans="1:3">
      <c r="A556" t="s">
        <v>1543</v>
      </c>
      <c r="B556" t="s">
        <v>1544</v>
      </c>
      <c r="C556" t="s">
        <v>1545</v>
      </c>
    </row>
    <row r="557" spans="1:3">
      <c r="A557" t="s">
        <v>1546</v>
      </c>
      <c r="B557" t="s">
        <v>1547</v>
      </c>
      <c r="C557" t="s">
        <v>1548</v>
      </c>
    </row>
    <row r="558" spans="1:3">
      <c r="A558" t="s">
        <v>1549</v>
      </c>
      <c r="B558" t="s">
        <v>1550</v>
      </c>
      <c r="C558" t="s">
        <v>1551</v>
      </c>
    </row>
    <row r="559" spans="1:3">
      <c r="A559" t="s">
        <v>1552</v>
      </c>
      <c r="B559" t="s">
        <v>1553</v>
      </c>
      <c r="C559" t="s">
        <v>1554</v>
      </c>
    </row>
    <row r="560" spans="1:3">
      <c r="A560" t="s">
        <v>1555</v>
      </c>
      <c r="B560" t="s">
        <v>1556</v>
      </c>
      <c r="C560" t="s">
        <v>1557</v>
      </c>
    </row>
    <row r="561" spans="1:3">
      <c r="A561" t="s">
        <v>1558</v>
      </c>
      <c r="B561" t="s">
        <v>1559</v>
      </c>
      <c r="C561" t="s">
        <v>1560</v>
      </c>
    </row>
    <row r="562" spans="1:3">
      <c r="A562" t="s">
        <v>1561</v>
      </c>
      <c r="B562" t="s">
        <v>1562</v>
      </c>
      <c r="C562" t="s">
        <v>1563</v>
      </c>
    </row>
    <row r="563" spans="1:3">
      <c r="A563" t="s">
        <v>1564</v>
      </c>
      <c r="B563" t="s">
        <v>1565</v>
      </c>
      <c r="C563" t="s">
        <v>1566</v>
      </c>
    </row>
    <row r="564" spans="1:3">
      <c r="A564" t="s">
        <v>1567</v>
      </c>
      <c r="B564" t="s">
        <v>1568</v>
      </c>
      <c r="C564" t="s">
        <v>1569</v>
      </c>
    </row>
    <row r="565" spans="1:3">
      <c r="A565" t="s">
        <v>1570</v>
      </c>
      <c r="B565" t="s">
        <v>1571</v>
      </c>
      <c r="C565" t="s">
        <v>1572</v>
      </c>
    </row>
    <row r="566" spans="1:3">
      <c r="A566" t="s">
        <v>1573</v>
      </c>
      <c r="B566" t="s">
        <v>1574</v>
      </c>
      <c r="C566" t="s">
        <v>1575</v>
      </c>
    </row>
    <row r="567" spans="1:3">
      <c r="A567" t="s">
        <v>1576</v>
      </c>
      <c r="B567" t="s">
        <v>1577</v>
      </c>
      <c r="C567" t="s">
        <v>1578</v>
      </c>
    </row>
    <row r="568" spans="1:3">
      <c r="A568" t="s">
        <v>1579</v>
      </c>
      <c r="C568" s="257" t="s">
        <v>1580</v>
      </c>
    </row>
    <row r="569" spans="1:3">
      <c r="A569" t="s">
        <v>1581</v>
      </c>
      <c r="C569" s="257" t="s">
        <v>1582</v>
      </c>
    </row>
    <row r="570" spans="1:3">
      <c r="A570" t="s">
        <v>1583</v>
      </c>
      <c r="C570" s="257" t="s">
        <v>1584</v>
      </c>
    </row>
    <row r="571" spans="1:3">
      <c r="A571" t="s">
        <v>1585</v>
      </c>
      <c r="C571" s="257" t="s">
        <v>1586</v>
      </c>
    </row>
    <row r="572" spans="1:3">
      <c r="A572" t="s">
        <v>1587</v>
      </c>
      <c r="C572" s="257" t="s">
        <v>1588</v>
      </c>
    </row>
    <row r="573" spans="1:3">
      <c r="A573" t="s">
        <v>1589</v>
      </c>
      <c r="C573" s="257" t="s">
        <v>1590</v>
      </c>
    </row>
    <row r="574" spans="1:3">
      <c r="A574" t="s">
        <v>1591</v>
      </c>
      <c r="C574" s="257" t="s">
        <v>1592</v>
      </c>
    </row>
    <row r="575" spans="1:3">
      <c r="A575" t="s">
        <v>1593</v>
      </c>
      <c r="C575" s="257" t="s">
        <v>1594</v>
      </c>
    </row>
    <row r="576" spans="1:3">
      <c r="A576" t="s">
        <v>1595</v>
      </c>
      <c r="C576" s="257" t="s">
        <v>1596</v>
      </c>
    </row>
    <row r="577" spans="1:3">
      <c r="A577" t="s">
        <v>1597</v>
      </c>
      <c r="C577" s="257" t="s">
        <v>1598</v>
      </c>
    </row>
    <row r="578" spans="1:3">
      <c r="A578" t="s">
        <v>1599</v>
      </c>
      <c r="C578" s="257" t="s">
        <v>1600</v>
      </c>
    </row>
    <row r="579" spans="1:3">
      <c r="A579" t="s">
        <v>1601</v>
      </c>
      <c r="C579" s="257" t="s">
        <v>1602</v>
      </c>
    </row>
    <row r="580" spans="1:3">
      <c r="A580" t="s">
        <v>1603</v>
      </c>
      <c r="C580" s="257" t="s">
        <v>1604</v>
      </c>
    </row>
    <row r="581" spans="1:3">
      <c r="A581" t="s">
        <v>1605</v>
      </c>
      <c r="C581" s="257" t="s">
        <v>1606</v>
      </c>
    </row>
    <row r="582" spans="1:3">
      <c r="A582" t="s">
        <v>1607</v>
      </c>
      <c r="C582" s="257" t="s">
        <v>1608</v>
      </c>
    </row>
    <row r="583" spans="1:3">
      <c r="A583" t="s">
        <v>1609</v>
      </c>
      <c r="C583" s="257" t="s">
        <v>1610</v>
      </c>
    </row>
    <row r="584" spans="1:3">
      <c r="A584" t="s">
        <v>1611</v>
      </c>
      <c r="C584" s="257" t="s">
        <v>1612</v>
      </c>
    </row>
    <row r="585" spans="1:3">
      <c r="A585" t="s">
        <v>1613</v>
      </c>
      <c r="C585" s="257" t="s">
        <v>1614</v>
      </c>
    </row>
    <row r="586" spans="1:3">
      <c r="A586" t="s">
        <v>1615</v>
      </c>
      <c r="C586" s="257" t="s">
        <v>1616</v>
      </c>
    </row>
    <row r="587" spans="1:3">
      <c r="A587" t="s">
        <v>1617</v>
      </c>
      <c r="C587" s="257" t="s">
        <v>1618</v>
      </c>
    </row>
    <row r="588" spans="1:3">
      <c r="A588" t="s">
        <v>1619</v>
      </c>
      <c r="C588" s="257" t="s">
        <v>1620</v>
      </c>
    </row>
    <row r="589" spans="1:3">
      <c r="A589" t="s">
        <v>1621</v>
      </c>
      <c r="C589" s="257" t="s">
        <v>1622</v>
      </c>
    </row>
    <row r="590" spans="1:3">
      <c r="A590" t="s">
        <v>1623</v>
      </c>
      <c r="C590" s="257" t="s">
        <v>1624</v>
      </c>
    </row>
    <row r="591" spans="1:3">
      <c r="A591" s="50" t="s">
        <v>1625</v>
      </c>
      <c r="B591" s="50"/>
      <c r="C591" s="258" t="s">
        <v>1626</v>
      </c>
    </row>
    <row r="592" spans="1:3">
      <c r="A592" s="50" t="s">
        <v>1625</v>
      </c>
      <c r="B592" s="50"/>
      <c r="C592" s="258" t="s">
        <v>1627</v>
      </c>
    </row>
    <row r="593" spans="1:3">
      <c r="A593" s="50" t="s">
        <v>1625</v>
      </c>
      <c r="B593" s="50"/>
      <c r="C593" s="258" t="s">
        <v>1628</v>
      </c>
    </row>
    <row r="594" spans="1:3">
      <c r="A594" s="50" t="s">
        <v>1625</v>
      </c>
      <c r="B594" s="50"/>
      <c r="C594" s="258" t="s">
        <v>1629</v>
      </c>
    </row>
    <row r="595" spans="1:3">
      <c r="A595" s="50" t="s">
        <v>1625</v>
      </c>
      <c r="B595" s="50"/>
      <c r="C595" s="258" t="s">
        <v>1630</v>
      </c>
    </row>
    <row r="596" spans="1:3">
      <c r="A596" s="50" t="s">
        <v>1625</v>
      </c>
      <c r="B596" s="50"/>
      <c r="C596" s="258" t="s">
        <v>1631</v>
      </c>
    </row>
    <row r="597" spans="1:3">
      <c r="A597" s="50" t="s">
        <v>1625</v>
      </c>
      <c r="B597" s="50"/>
      <c r="C597" s="258" t="s">
        <v>1632</v>
      </c>
    </row>
    <row r="598" spans="1:3">
      <c r="A598" s="50" t="s">
        <v>1625</v>
      </c>
      <c r="B598" s="50"/>
      <c r="C598" s="258" t="s">
        <v>1633</v>
      </c>
    </row>
    <row r="599" spans="1:3">
      <c r="A599" s="50" t="s">
        <v>1625</v>
      </c>
      <c r="B599" s="50"/>
      <c r="C599" s="258" t="s">
        <v>1634</v>
      </c>
    </row>
    <row r="600" spans="1:3">
      <c r="A600" s="50" t="s">
        <v>1625</v>
      </c>
      <c r="B600" s="50"/>
      <c r="C600" s="258" t="s">
        <v>1635</v>
      </c>
    </row>
    <row r="601" spans="1:3">
      <c r="A601" s="50" t="s">
        <v>1625</v>
      </c>
      <c r="B601" s="50"/>
      <c r="C601" s="258" t="s">
        <v>1636</v>
      </c>
    </row>
    <row r="602" spans="1:3">
      <c r="A602" s="50" t="s">
        <v>1625</v>
      </c>
      <c r="B602" s="50"/>
      <c r="C602" s="258" t="s">
        <v>1637</v>
      </c>
    </row>
    <row r="603" spans="1:3">
      <c r="A603" s="50" t="s">
        <v>1625</v>
      </c>
      <c r="B603" s="50"/>
      <c r="C603" s="258" t="s">
        <v>1638</v>
      </c>
    </row>
    <row r="604" spans="1:3">
      <c r="A604" s="50" t="s">
        <v>1625</v>
      </c>
      <c r="B604" s="50"/>
      <c r="C604" s="258" t="s">
        <v>1639</v>
      </c>
    </row>
    <row r="605" spans="1:3">
      <c r="A605" s="50" t="s">
        <v>1625</v>
      </c>
      <c r="B605" s="50"/>
      <c r="C605" s="258" t="s">
        <v>1640</v>
      </c>
    </row>
    <row r="606" spans="1:3">
      <c r="A606" s="50" t="s">
        <v>1625</v>
      </c>
      <c r="B606" s="50"/>
      <c r="C606" s="258" t="s">
        <v>1641</v>
      </c>
    </row>
    <row r="607" spans="1:3">
      <c r="A607" t="s">
        <v>1642</v>
      </c>
      <c r="C607" s="257" t="s">
        <v>1643</v>
      </c>
    </row>
    <row r="608" spans="1:3">
      <c r="A608" t="s">
        <v>1644</v>
      </c>
      <c r="C608" s="257" t="s">
        <v>1645</v>
      </c>
    </row>
    <row r="609" spans="1:3">
      <c r="A609" t="s">
        <v>1646</v>
      </c>
      <c r="C609" s="257" t="s">
        <v>1647</v>
      </c>
    </row>
    <row r="610" spans="1:3">
      <c r="A610" t="s">
        <v>1648</v>
      </c>
      <c r="C610" s="257" t="s">
        <v>1649</v>
      </c>
    </row>
    <row r="611" spans="1:3">
      <c r="A611" t="s">
        <v>1650</v>
      </c>
      <c r="C611" s="257" t="s">
        <v>1651</v>
      </c>
    </row>
    <row r="612" spans="1:3">
      <c r="A612" t="s">
        <v>1652</v>
      </c>
      <c r="C612" s="257" t="s">
        <v>1653</v>
      </c>
    </row>
    <row r="613" spans="1:3">
      <c r="A613" t="s">
        <v>1654</v>
      </c>
      <c r="C613" s="257" t="s">
        <v>1655</v>
      </c>
    </row>
    <row r="614" spans="1:3">
      <c r="A614" t="s">
        <v>1656</v>
      </c>
      <c r="C614" s="257" t="s">
        <v>1657</v>
      </c>
    </row>
    <row r="615" spans="1:3">
      <c r="A615" t="s">
        <v>1658</v>
      </c>
      <c r="C615" s="257" t="s">
        <v>1659</v>
      </c>
    </row>
    <row r="616" spans="1:3">
      <c r="A616" t="s">
        <v>1660</v>
      </c>
      <c r="C616" s="257" t="s">
        <v>1661</v>
      </c>
    </row>
    <row r="617" spans="1:3">
      <c r="A617" t="s">
        <v>1662</v>
      </c>
      <c r="B617" t="s">
        <v>1663</v>
      </c>
      <c r="C617" t="s">
        <v>1664</v>
      </c>
    </row>
    <row r="618" spans="1:3">
      <c r="A618" t="s">
        <v>1665</v>
      </c>
      <c r="B618" t="s">
        <v>1666</v>
      </c>
      <c r="C618" t="s">
        <v>1667</v>
      </c>
    </row>
    <row r="619" spans="1:3">
      <c r="A619" t="s">
        <v>1668</v>
      </c>
      <c r="B619" t="s">
        <v>1669</v>
      </c>
      <c r="C619" t="s">
        <v>1670</v>
      </c>
    </row>
    <row r="620" spans="1:3">
      <c r="A620" t="s">
        <v>1671</v>
      </c>
      <c r="B620" t="s">
        <v>1672</v>
      </c>
      <c r="C620" t="s">
        <v>1673</v>
      </c>
    </row>
    <row r="621" spans="1:3">
      <c r="A621" t="s">
        <v>1674</v>
      </c>
      <c r="B621" t="s">
        <v>1675</v>
      </c>
      <c r="C621" t="s">
        <v>1676</v>
      </c>
    </row>
    <row r="622" spans="1:3">
      <c r="A622" t="s">
        <v>1677</v>
      </c>
      <c r="B622" t="s">
        <v>1678</v>
      </c>
      <c r="C622" t="s">
        <v>1679</v>
      </c>
    </row>
    <row r="623" spans="1:3">
      <c r="A623" t="s">
        <v>1680</v>
      </c>
      <c r="B623" t="s">
        <v>1681</v>
      </c>
      <c r="C623" t="s">
        <v>1682</v>
      </c>
    </row>
    <row r="624" spans="1:3">
      <c r="A624" t="s">
        <v>1683</v>
      </c>
      <c r="C624" s="257" t="s">
        <v>1684</v>
      </c>
    </row>
    <row r="625" spans="1:3">
      <c r="A625" t="s">
        <v>1685</v>
      </c>
      <c r="C625" s="257" t="s">
        <v>1686</v>
      </c>
    </row>
    <row r="626" spans="1:3">
      <c r="A626" t="s">
        <v>1687</v>
      </c>
      <c r="C626" s="257" t="s">
        <v>1688</v>
      </c>
    </row>
    <row r="627" spans="1:3">
      <c r="A627" t="s">
        <v>1689</v>
      </c>
      <c r="C627" s="257" t="s">
        <v>1690</v>
      </c>
    </row>
    <row r="628" spans="1:3">
      <c r="A628" t="s">
        <v>1691</v>
      </c>
      <c r="C628" s="257" t="s">
        <v>1692</v>
      </c>
    </row>
    <row r="629" spans="1:3">
      <c r="A629" t="s">
        <v>1693</v>
      </c>
      <c r="C629" s="257" t="s">
        <v>1694</v>
      </c>
    </row>
    <row r="630" spans="1:3">
      <c r="A630" t="s">
        <v>1695</v>
      </c>
      <c r="C630" s="257" t="s">
        <v>1696</v>
      </c>
    </row>
    <row r="631" spans="1:3">
      <c r="A631" t="s">
        <v>1697</v>
      </c>
      <c r="C631" s="257" t="s">
        <v>1698</v>
      </c>
    </row>
    <row r="632" spans="1:3">
      <c r="A632" t="s">
        <v>1699</v>
      </c>
      <c r="C632" s="257" t="s">
        <v>1700</v>
      </c>
    </row>
    <row r="633" spans="1:3">
      <c r="A633" t="s">
        <v>1701</v>
      </c>
      <c r="C633" s="257" t="s">
        <v>1702</v>
      </c>
    </row>
    <row r="634" spans="1:3">
      <c r="A634" t="s">
        <v>1703</v>
      </c>
      <c r="C634" s="257" t="s">
        <v>1704</v>
      </c>
    </row>
    <row r="635" spans="1:3">
      <c r="A635" t="s">
        <v>1705</v>
      </c>
      <c r="C635" s="257" t="s">
        <v>1706</v>
      </c>
    </row>
    <row r="636" spans="1:3">
      <c r="A636" t="s">
        <v>1707</v>
      </c>
      <c r="C636" s="257" t="s">
        <v>1708</v>
      </c>
    </row>
    <row r="637" spans="1:3">
      <c r="A637" t="s">
        <v>1709</v>
      </c>
      <c r="C637" s="257" t="s">
        <v>1710</v>
      </c>
    </row>
    <row r="638" spans="1:3">
      <c r="A638" t="s">
        <v>1711</v>
      </c>
      <c r="C638" s="257" t="s">
        <v>1712</v>
      </c>
    </row>
    <row r="639" spans="1:3">
      <c r="A639" t="s">
        <v>1713</v>
      </c>
      <c r="C639" s="257" t="s">
        <v>1714</v>
      </c>
    </row>
    <row r="640" spans="1:3">
      <c r="A640" t="s">
        <v>1715</v>
      </c>
      <c r="C640" s="257" t="s">
        <v>1716</v>
      </c>
    </row>
    <row r="641" spans="1:3">
      <c r="A641" t="s">
        <v>1717</v>
      </c>
      <c r="C641" s="257" t="s">
        <v>1718</v>
      </c>
    </row>
    <row r="642" spans="1:3">
      <c r="A642" t="s">
        <v>1719</v>
      </c>
      <c r="C642" s="257" t="s">
        <v>1720</v>
      </c>
    </row>
    <row r="643" spans="1:3">
      <c r="A643" t="s">
        <v>1721</v>
      </c>
      <c r="C643" s="257" t="s">
        <v>1722</v>
      </c>
    </row>
    <row r="644" spans="1:3">
      <c r="A644" t="s">
        <v>1723</v>
      </c>
      <c r="C644" s="257" t="s">
        <v>1724</v>
      </c>
    </row>
    <row r="645" spans="1:3">
      <c r="A645" t="s">
        <v>1725</v>
      </c>
      <c r="C645" s="257" t="s">
        <v>1726</v>
      </c>
    </row>
    <row r="646" spans="1:3">
      <c r="A646" t="s">
        <v>1727</v>
      </c>
      <c r="C646" s="257" t="s">
        <v>1728</v>
      </c>
    </row>
    <row r="647" spans="1:3">
      <c r="A647" t="s">
        <v>1729</v>
      </c>
      <c r="C647" s="257" t="s">
        <v>1730</v>
      </c>
    </row>
    <row r="648" spans="1:3">
      <c r="A648" t="s">
        <v>1731</v>
      </c>
      <c r="C648" s="257" t="s">
        <v>1732</v>
      </c>
    </row>
    <row r="649" spans="1:3">
      <c r="A649" t="s">
        <v>1733</v>
      </c>
      <c r="C649" s="257" t="s">
        <v>1734</v>
      </c>
    </row>
    <row r="650" spans="1:3">
      <c r="A650" t="s">
        <v>1735</v>
      </c>
      <c r="B650" t="s">
        <v>1736</v>
      </c>
      <c r="C650" t="s">
        <v>1737</v>
      </c>
    </row>
    <row r="651" spans="1:3">
      <c r="A651" t="s">
        <v>1738</v>
      </c>
      <c r="B651" t="s">
        <v>1739</v>
      </c>
      <c r="C651" t="s">
        <v>1740</v>
      </c>
    </row>
    <row r="652" spans="1:3">
      <c r="A652" t="s">
        <v>1741</v>
      </c>
      <c r="B652" t="s">
        <v>1742</v>
      </c>
      <c r="C652" t="s">
        <v>1743</v>
      </c>
    </row>
    <row r="653" spans="1:3">
      <c r="A653" t="s">
        <v>1744</v>
      </c>
      <c r="B653" t="s">
        <v>1745</v>
      </c>
      <c r="C653" t="s">
        <v>1746</v>
      </c>
    </row>
    <row r="654" spans="1:3">
      <c r="A654" t="s">
        <v>1747</v>
      </c>
      <c r="B654" t="s">
        <v>1748</v>
      </c>
      <c r="C654" t="s">
        <v>1749</v>
      </c>
    </row>
    <row r="655" spans="1:3">
      <c r="A655" t="s">
        <v>1750</v>
      </c>
      <c r="B655" t="s">
        <v>1751</v>
      </c>
      <c r="C655" t="s">
        <v>1752</v>
      </c>
    </row>
    <row r="656" spans="1:3">
      <c r="A656" t="s">
        <v>1753</v>
      </c>
      <c r="B656" t="s">
        <v>1754</v>
      </c>
      <c r="C656" t="s">
        <v>1755</v>
      </c>
    </row>
    <row r="657" spans="1:3">
      <c r="A657" t="s">
        <v>1756</v>
      </c>
      <c r="B657" t="s">
        <v>1757</v>
      </c>
      <c r="C657" t="s">
        <v>1758</v>
      </c>
    </row>
    <row r="658" spans="1:3">
      <c r="A658" t="s">
        <v>1759</v>
      </c>
      <c r="B658" t="s">
        <v>1760</v>
      </c>
      <c r="C658" t="s">
        <v>1761</v>
      </c>
    </row>
    <row r="659" spans="1:3">
      <c r="A659" t="s">
        <v>1762</v>
      </c>
      <c r="B659" t="s">
        <v>1763</v>
      </c>
      <c r="C659" t="s">
        <v>1764</v>
      </c>
    </row>
    <row r="660" spans="1:3">
      <c r="A660" t="s">
        <v>1765</v>
      </c>
      <c r="B660" t="s">
        <v>1766</v>
      </c>
      <c r="C660" t="s">
        <v>1767</v>
      </c>
    </row>
    <row r="661" spans="1:3">
      <c r="A661" t="s">
        <v>1768</v>
      </c>
      <c r="C661" s="257" t="s">
        <v>1769</v>
      </c>
    </row>
    <row r="662" spans="1:3">
      <c r="A662" t="s">
        <v>1770</v>
      </c>
      <c r="C662" s="257" t="s">
        <v>1771</v>
      </c>
    </row>
    <row r="663" spans="1:3">
      <c r="A663" t="s">
        <v>1772</v>
      </c>
      <c r="C663" s="257" t="s">
        <v>1773</v>
      </c>
    </row>
    <row r="664" spans="1:3">
      <c r="A664" t="s">
        <v>1774</v>
      </c>
      <c r="C664" s="257" t="s">
        <v>1775</v>
      </c>
    </row>
    <row r="665" spans="1:3">
      <c r="A665" t="s">
        <v>1776</v>
      </c>
      <c r="B665" t="s">
        <v>1777</v>
      </c>
      <c r="C665" t="s">
        <v>1778</v>
      </c>
    </row>
    <row r="666" spans="1:3">
      <c r="A666" t="s">
        <v>1779</v>
      </c>
      <c r="B666" t="s">
        <v>1780</v>
      </c>
      <c r="C666" t="s">
        <v>1781</v>
      </c>
    </row>
    <row r="667" spans="1:3">
      <c r="A667" t="s">
        <v>1782</v>
      </c>
      <c r="B667" t="s">
        <v>1783</v>
      </c>
      <c r="C667" t="s">
        <v>1784</v>
      </c>
    </row>
    <row r="668" spans="1:3">
      <c r="A668" t="s">
        <v>1785</v>
      </c>
      <c r="B668" t="s">
        <v>1786</v>
      </c>
      <c r="C668" t="s">
        <v>1787</v>
      </c>
    </row>
    <row r="669" spans="1:3">
      <c r="A669" t="s">
        <v>1788</v>
      </c>
      <c r="B669" t="s">
        <v>1786</v>
      </c>
      <c r="C669" t="s">
        <v>1789</v>
      </c>
    </row>
    <row r="670" spans="1:3">
      <c r="A670" t="s">
        <v>1790</v>
      </c>
      <c r="B670" t="s">
        <v>1791</v>
      </c>
      <c r="C670" t="s">
        <v>1792</v>
      </c>
    </row>
    <row r="671" spans="1:3">
      <c r="A671" t="s">
        <v>1793</v>
      </c>
      <c r="B671" t="s">
        <v>1794</v>
      </c>
      <c r="C671" t="s">
        <v>1795</v>
      </c>
    </row>
    <row r="672" spans="1:3">
      <c r="A672" t="s">
        <v>1796</v>
      </c>
      <c r="B672" t="s">
        <v>1797</v>
      </c>
      <c r="C672" t="s">
        <v>1798</v>
      </c>
    </row>
    <row r="673" spans="1:3">
      <c r="A673" t="s">
        <v>1799</v>
      </c>
      <c r="B673" t="s">
        <v>1800</v>
      </c>
      <c r="C673" t="s">
        <v>1801</v>
      </c>
    </row>
    <row r="674" spans="1:3">
      <c r="A674" t="s">
        <v>1802</v>
      </c>
      <c r="B674" t="s">
        <v>1803</v>
      </c>
      <c r="C674" t="s">
        <v>1804</v>
      </c>
    </row>
    <row r="675" spans="1:3">
      <c r="A675" t="s">
        <v>1805</v>
      </c>
      <c r="B675" t="s">
        <v>1806</v>
      </c>
      <c r="C675" t="s">
        <v>1807</v>
      </c>
    </row>
    <row r="676" spans="1:3">
      <c r="A676" t="s">
        <v>1808</v>
      </c>
      <c r="B676" t="s">
        <v>1809</v>
      </c>
      <c r="C676" t="s">
        <v>1810</v>
      </c>
    </row>
    <row r="677" spans="1:3">
      <c r="A677" t="s">
        <v>1811</v>
      </c>
      <c r="B677" t="s">
        <v>1812</v>
      </c>
      <c r="C677" t="s">
        <v>1813</v>
      </c>
    </row>
    <row r="678" spans="1:3">
      <c r="A678" t="s">
        <v>1814</v>
      </c>
      <c r="B678" t="s">
        <v>1815</v>
      </c>
      <c r="C678" t="s">
        <v>1816</v>
      </c>
    </row>
    <row r="679" spans="1:3">
      <c r="A679" t="s">
        <v>1817</v>
      </c>
      <c r="B679" t="s">
        <v>1818</v>
      </c>
      <c r="C679" t="s">
        <v>1819</v>
      </c>
    </row>
    <row r="680" spans="1:3">
      <c r="A680" t="s">
        <v>1820</v>
      </c>
      <c r="B680" t="s">
        <v>1821</v>
      </c>
      <c r="C680" t="s">
        <v>1822</v>
      </c>
    </row>
    <row r="681" spans="1:3">
      <c r="A681" t="s">
        <v>1823</v>
      </c>
      <c r="B681" t="s">
        <v>1824</v>
      </c>
      <c r="C681" t="s">
        <v>1825</v>
      </c>
    </row>
    <row r="682" spans="1:3">
      <c r="A682" t="s">
        <v>1826</v>
      </c>
      <c r="B682" t="s">
        <v>1827</v>
      </c>
      <c r="C682" t="s">
        <v>1828</v>
      </c>
    </row>
    <row r="683" spans="1:3">
      <c r="A683" t="s">
        <v>1829</v>
      </c>
      <c r="B683" t="s">
        <v>1830</v>
      </c>
      <c r="C683" t="s">
        <v>1831</v>
      </c>
    </row>
    <row r="684" spans="1:3">
      <c r="A684" t="s">
        <v>1832</v>
      </c>
      <c r="B684" t="s">
        <v>1833</v>
      </c>
      <c r="C684" t="s">
        <v>1834</v>
      </c>
    </row>
    <row r="685" spans="1:3">
      <c r="A685" t="s">
        <v>1835</v>
      </c>
      <c r="B685" t="s">
        <v>1836</v>
      </c>
      <c r="C685" t="s">
        <v>1837</v>
      </c>
    </row>
    <row r="686" spans="1:3">
      <c r="A686" t="s">
        <v>1838</v>
      </c>
      <c r="B686" t="s">
        <v>1839</v>
      </c>
      <c r="C686" t="s">
        <v>1840</v>
      </c>
    </row>
    <row r="687" spans="1:3">
      <c r="A687" t="s">
        <v>1841</v>
      </c>
      <c r="B687" t="s">
        <v>1842</v>
      </c>
      <c r="C687" t="s">
        <v>1843</v>
      </c>
    </row>
    <row r="688" spans="1:3">
      <c r="A688" t="s">
        <v>1844</v>
      </c>
      <c r="B688" t="s">
        <v>1845</v>
      </c>
      <c r="C688" t="s">
        <v>1846</v>
      </c>
    </row>
    <row r="689" spans="1:3">
      <c r="A689" t="s">
        <v>1847</v>
      </c>
      <c r="B689" t="s">
        <v>1848</v>
      </c>
      <c r="C689" t="s">
        <v>1849</v>
      </c>
    </row>
    <row r="690" spans="1:3">
      <c r="A690" t="s">
        <v>1850</v>
      </c>
      <c r="B690" t="s">
        <v>1851</v>
      </c>
      <c r="C690" t="s">
        <v>1852</v>
      </c>
    </row>
    <row r="691" spans="1:3">
      <c r="A691" t="s">
        <v>1853</v>
      </c>
      <c r="B691" t="s">
        <v>1854</v>
      </c>
      <c r="C691" t="s">
        <v>1855</v>
      </c>
    </row>
    <row r="692" spans="1:3">
      <c r="A692" t="s">
        <v>1856</v>
      </c>
      <c r="B692" t="s">
        <v>1857</v>
      </c>
      <c r="C692" t="s">
        <v>1858</v>
      </c>
    </row>
    <row r="693" spans="1:3">
      <c r="A693" t="s">
        <v>1859</v>
      </c>
      <c r="B693" t="s">
        <v>1860</v>
      </c>
      <c r="C693" t="s">
        <v>1861</v>
      </c>
    </row>
    <row r="694" spans="1:3">
      <c r="A694" t="s">
        <v>1862</v>
      </c>
      <c r="B694" t="s">
        <v>1863</v>
      </c>
      <c r="C694" t="s">
        <v>1864</v>
      </c>
    </row>
    <row r="695" spans="1:3">
      <c r="A695" t="s">
        <v>1865</v>
      </c>
      <c r="B695" t="s">
        <v>1866</v>
      </c>
      <c r="C695" t="s">
        <v>1867</v>
      </c>
    </row>
    <row r="696" spans="1:3">
      <c r="A696" t="s">
        <v>1868</v>
      </c>
      <c r="B696" t="s">
        <v>1869</v>
      </c>
      <c r="C696" t="s">
        <v>1870</v>
      </c>
    </row>
    <row r="697" spans="1:3">
      <c r="A697" t="s">
        <v>1871</v>
      </c>
      <c r="B697" t="s">
        <v>1872</v>
      </c>
      <c r="C697" t="s">
        <v>1873</v>
      </c>
    </row>
    <row r="698" spans="1:3">
      <c r="A698" t="s">
        <v>1874</v>
      </c>
      <c r="C698" s="257" t="s">
        <v>1875</v>
      </c>
    </row>
    <row r="699" spans="1:3">
      <c r="A699" t="s">
        <v>1876</v>
      </c>
      <c r="C699" s="257" t="s">
        <v>1834</v>
      </c>
    </row>
    <row r="700" spans="1:3">
      <c r="A700" t="s">
        <v>1877</v>
      </c>
      <c r="C700" s="257" t="s">
        <v>1878</v>
      </c>
    </row>
    <row r="701" spans="1:3">
      <c r="A701" t="s">
        <v>1879</v>
      </c>
      <c r="C701" s="257" t="s">
        <v>1880</v>
      </c>
    </row>
    <row r="702" spans="1:3">
      <c r="A702" t="s">
        <v>1881</v>
      </c>
      <c r="C702" s="257" t="s">
        <v>1740</v>
      </c>
    </row>
    <row r="703" spans="1:3">
      <c r="A703" t="s">
        <v>1882</v>
      </c>
      <c r="C703" s="257" t="s">
        <v>1883</v>
      </c>
    </row>
    <row r="704" spans="1:3">
      <c r="A704" t="s">
        <v>1884</v>
      </c>
      <c r="C704" s="257" t="s">
        <v>1885</v>
      </c>
    </row>
    <row r="705" spans="1:3">
      <c r="A705" t="s">
        <v>1886</v>
      </c>
      <c r="C705" s="257" t="s">
        <v>1887</v>
      </c>
    </row>
    <row r="706" spans="1:3">
      <c r="A706" t="s">
        <v>1888</v>
      </c>
      <c r="C706" s="257" t="s">
        <v>1889</v>
      </c>
    </row>
    <row r="707" spans="1:3">
      <c r="A707" t="s">
        <v>1890</v>
      </c>
      <c r="C707" s="257" t="s">
        <v>1891</v>
      </c>
    </row>
    <row r="708" spans="1:3">
      <c r="A708" t="s">
        <v>1892</v>
      </c>
      <c r="C708" s="257" t="s">
        <v>1893</v>
      </c>
    </row>
    <row r="709" spans="1:3">
      <c r="A709" t="s">
        <v>1894</v>
      </c>
      <c r="C709" s="257" t="s">
        <v>1895</v>
      </c>
    </row>
    <row r="710" spans="1:3">
      <c r="A710" t="s">
        <v>1896</v>
      </c>
      <c r="C710" s="257" t="s">
        <v>1897</v>
      </c>
    </row>
    <row r="711" spans="1:3">
      <c r="A711" t="s">
        <v>1898</v>
      </c>
      <c r="C711" s="257" t="s">
        <v>1899</v>
      </c>
    </row>
    <row r="712" spans="1:3">
      <c r="A712" t="s">
        <v>1900</v>
      </c>
      <c r="C712" s="257" t="s">
        <v>1901</v>
      </c>
    </row>
    <row r="713" spans="1:3">
      <c r="A713" t="s">
        <v>1902</v>
      </c>
      <c r="C713" s="257" t="s">
        <v>1903</v>
      </c>
    </row>
    <row r="714" spans="1:3">
      <c r="A714" t="s">
        <v>1904</v>
      </c>
      <c r="C714" s="257" t="s">
        <v>1905</v>
      </c>
    </row>
    <row r="715" spans="1:3">
      <c r="A715" t="s">
        <v>1906</v>
      </c>
      <c r="C715" s="257" t="s">
        <v>1755</v>
      </c>
    </row>
    <row r="716" spans="1:3">
      <c r="A716" t="s">
        <v>1907</v>
      </c>
      <c r="C716" s="257" t="s">
        <v>1758</v>
      </c>
    </row>
    <row r="717" spans="1:3">
      <c r="A717" t="s">
        <v>1908</v>
      </c>
      <c r="C717" s="257" t="s">
        <v>1761</v>
      </c>
    </row>
    <row r="718" spans="1:3">
      <c r="A718" t="s">
        <v>1909</v>
      </c>
      <c r="C718" s="257" t="s">
        <v>1764</v>
      </c>
    </row>
    <row r="719" spans="1:3">
      <c r="A719" t="s">
        <v>1910</v>
      </c>
      <c r="C719" s="257" t="s">
        <v>1767</v>
      </c>
    </row>
    <row r="720" spans="1:3">
      <c r="A720" t="s">
        <v>1911</v>
      </c>
      <c r="C720" s="257" t="s">
        <v>1912</v>
      </c>
    </row>
    <row r="721" spans="1:3">
      <c r="A721" t="s">
        <v>1913</v>
      </c>
      <c r="C721" s="257" t="s">
        <v>1914</v>
      </c>
    </row>
    <row r="722" spans="1:3">
      <c r="A722" t="s">
        <v>1915</v>
      </c>
      <c r="C722" s="257" t="s">
        <v>1916</v>
      </c>
    </row>
    <row r="723" spans="1:3">
      <c r="A723" t="s">
        <v>1917</v>
      </c>
      <c r="C723" s="257" t="s">
        <v>1918</v>
      </c>
    </row>
    <row r="724" spans="1:3">
      <c r="A724" t="s">
        <v>1919</v>
      </c>
      <c r="C724" s="257" t="s">
        <v>1920</v>
      </c>
    </row>
    <row r="725" spans="1:3">
      <c r="A725" t="s">
        <v>1921</v>
      </c>
      <c r="C725" s="257" t="s">
        <v>1922</v>
      </c>
    </row>
    <row r="726" spans="1:3">
      <c r="A726" t="s">
        <v>1923</v>
      </c>
      <c r="C726" s="257" t="s">
        <v>1924</v>
      </c>
    </row>
    <row r="727" spans="1:3">
      <c r="A727" t="s">
        <v>1925</v>
      </c>
      <c r="C727" s="257" t="s">
        <v>1926</v>
      </c>
    </row>
    <row r="728" spans="1:3">
      <c r="A728" t="s">
        <v>1927</v>
      </c>
      <c r="C728" s="257" t="s">
        <v>1928</v>
      </c>
    </row>
    <row r="729" spans="1:3">
      <c r="A729" t="s">
        <v>1929</v>
      </c>
      <c r="C729" s="257" t="s">
        <v>1930</v>
      </c>
    </row>
    <row r="730" spans="1:3">
      <c r="A730" t="s">
        <v>1931</v>
      </c>
      <c r="C730" s="257" t="s">
        <v>1932</v>
      </c>
    </row>
    <row r="731" spans="1:3">
      <c r="A731" t="s">
        <v>1933</v>
      </c>
      <c r="C731" s="257" t="s">
        <v>1934</v>
      </c>
    </row>
    <row r="732" spans="1:3">
      <c r="A732" t="s">
        <v>1935</v>
      </c>
      <c r="C732" s="257" t="s">
        <v>1936</v>
      </c>
    </row>
    <row r="733" spans="1:3">
      <c r="A733" t="s">
        <v>1937</v>
      </c>
      <c r="C733" s="257" t="s">
        <v>1938</v>
      </c>
    </row>
    <row r="734" spans="1:3">
      <c r="A734" t="s">
        <v>1939</v>
      </c>
      <c r="C734" s="257" t="s">
        <v>1940</v>
      </c>
    </row>
    <row r="735" spans="1:3">
      <c r="A735" t="s">
        <v>1941</v>
      </c>
      <c r="C735" s="257" t="s">
        <v>1942</v>
      </c>
    </row>
    <row r="736" spans="1:3">
      <c r="A736" t="s">
        <v>1943</v>
      </c>
      <c r="C736" s="257" t="s">
        <v>1944</v>
      </c>
    </row>
    <row r="737" spans="1:3">
      <c r="A737" t="s">
        <v>1945</v>
      </c>
      <c r="C737" s="257" t="s">
        <v>1946</v>
      </c>
    </row>
    <row r="738" spans="1:3">
      <c r="A738" t="s">
        <v>1947</v>
      </c>
      <c r="C738" s="257" t="s">
        <v>1948</v>
      </c>
    </row>
    <row r="739" spans="1:3">
      <c r="A739" t="s">
        <v>1949</v>
      </c>
      <c r="C739" s="257" t="s">
        <v>1950</v>
      </c>
    </row>
    <row r="740" spans="1:3">
      <c r="A740" t="s">
        <v>1951</v>
      </c>
      <c r="B740" t="s">
        <v>1952</v>
      </c>
      <c r="C740" t="s">
        <v>1953</v>
      </c>
    </row>
    <row r="741" spans="1:3">
      <c r="A741" t="s">
        <v>1954</v>
      </c>
      <c r="C741" s="257" t="s">
        <v>1955</v>
      </c>
    </row>
    <row r="742" spans="1:3">
      <c r="A742" t="s">
        <v>1956</v>
      </c>
      <c r="C742" s="257" t="s">
        <v>1957</v>
      </c>
    </row>
    <row r="743" spans="1:3">
      <c r="A743" t="s">
        <v>1958</v>
      </c>
      <c r="C743" s="257" t="s">
        <v>1959</v>
      </c>
    </row>
    <row r="744" spans="1:3">
      <c r="A744" t="s">
        <v>1960</v>
      </c>
      <c r="C744" s="257" t="s">
        <v>1961</v>
      </c>
    </row>
    <row r="745" spans="1:3">
      <c r="A745" t="s">
        <v>1962</v>
      </c>
      <c r="C745" s="257" t="s">
        <v>1963</v>
      </c>
    </row>
    <row r="746" spans="1:3">
      <c r="A746" t="s">
        <v>1964</v>
      </c>
      <c r="C746" s="257" t="s">
        <v>1965</v>
      </c>
    </row>
    <row r="747" spans="1:3">
      <c r="A747" t="s">
        <v>1966</v>
      </c>
      <c r="C747" s="257" t="s">
        <v>1967</v>
      </c>
    </row>
    <row r="748" spans="1:3">
      <c r="A748" t="s">
        <v>1968</v>
      </c>
      <c r="C748" s="257" t="s">
        <v>1969</v>
      </c>
    </row>
    <row r="749" spans="1:3">
      <c r="A749" t="s">
        <v>1970</v>
      </c>
      <c r="C749" s="257" t="s">
        <v>1971</v>
      </c>
    </row>
    <row r="750" spans="1:3">
      <c r="A750" t="s">
        <v>1972</v>
      </c>
      <c r="C750" s="257" t="s">
        <v>1973</v>
      </c>
    </row>
    <row r="751" spans="1:3">
      <c r="A751" t="s">
        <v>1974</v>
      </c>
      <c r="C751" s="257" t="s">
        <v>1975</v>
      </c>
    </row>
    <row r="752" spans="1:3">
      <c r="A752" t="s">
        <v>1976</v>
      </c>
      <c r="C752" s="257" t="s">
        <v>1977</v>
      </c>
    </row>
    <row r="753" spans="1:3">
      <c r="A753" t="s">
        <v>1978</v>
      </c>
      <c r="C753" s="257" t="s">
        <v>1979</v>
      </c>
    </row>
    <row r="754" spans="1:3">
      <c r="A754" t="s">
        <v>1980</v>
      </c>
      <c r="C754" s="257" t="s">
        <v>1981</v>
      </c>
    </row>
    <row r="755" spans="1:3">
      <c r="A755" t="s">
        <v>1982</v>
      </c>
      <c r="C755" s="257" t="s">
        <v>1983</v>
      </c>
    </row>
    <row r="756" spans="1:3">
      <c r="A756" t="s">
        <v>1984</v>
      </c>
      <c r="C756" s="257" t="s">
        <v>1985</v>
      </c>
    </row>
    <row r="757" spans="1:3">
      <c r="A757" t="s">
        <v>1986</v>
      </c>
      <c r="C757" s="257" t="s">
        <v>1987</v>
      </c>
    </row>
    <row r="758" spans="1:3">
      <c r="A758" t="s">
        <v>1988</v>
      </c>
      <c r="C758" s="257" t="s">
        <v>1989</v>
      </c>
    </row>
    <row r="759" spans="1:3">
      <c r="A759" t="s">
        <v>1990</v>
      </c>
      <c r="C759" s="257" t="s">
        <v>1991</v>
      </c>
    </row>
    <row r="760" spans="1:3">
      <c r="A760" t="s">
        <v>1992</v>
      </c>
      <c r="C760" s="257" t="s">
        <v>1993</v>
      </c>
    </row>
    <row r="761" spans="1:3">
      <c r="A761" t="s">
        <v>1994</v>
      </c>
      <c r="C761" s="257" t="s">
        <v>1995</v>
      </c>
    </row>
    <row r="762" spans="1:3">
      <c r="A762" t="s">
        <v>1996</v>
      </c>
      <c r="C762" s="257" t="s">
        <v>1997</v>
      </c>
    </row>
    <row r="763" spans="1:3">
      <c r="A763" t="s">
        <v>1998</v>
      </c>
      <c r="C763" s="257" t="s">
        <v>1999</v>
      </c>
    </row>
    <row r="764" spans="1:3">
      <c r="A764" t="s">
        <v>2000</v>
      </c>
      <c r="C764" s="257" t="s">
        <v>2001</v>
      </c>
    </row>
    <row r="765" spans="1:3">
      <c r="A765" t="s">
        <v>2002</v>
      </c>
      <c r="C765" s="257" t="s">
        <v>2003</v>
      </c>
    </row>
    <row r="766" spans="1:3">
      <c r="A766" t="s">
        <v>2004</v>
      </c>
      <c r="C766" s="257" t="s">
        <v>2005</v>
      </c>
    </row>
    <row r="767" spans="1:3">
      <c r="A767" t="s">
        <v>2006</v>
      </c>
      <c r="C767" s="257" t="s">
        <v>2007</v>
      </c>
    </row>
    <row r="768" spans="1:3">
      <c r="A768" t="s">
        <v>2008</v>
      </c>
      <c r="C768" s="257" t="s">
        <v>2009</v>
      </c>
    </row>
    <row r="769" spans="1:3">
      <c r="A769" t="s">
        <v>2010</v>
      </c>
      <c r="C769" s="257" t="s">
        <v>2011</v>
      </c>
    </row>
    <row r="770" spans="1:3">
      <c r="A770" t="s">
        <v>2012</v>
      </c>
      <c r="C770" s="257" t="s">
        <v>2013</v>
      </c>
    </row>
    <row r="771" spans="1:3">
      <c r="A771" t="s">
        <v>2014</v>
      </c>
      <c r="C771" s="257" t="s">
        <v>2015</v>
      </c>
    </row>
    <row r="772" spans="1:3">
      <c r="A772" t="s">
        <v>2016</v>
      </c>
      <c r="C772" s="257" t="s">
        <v>2017</v>
      </c>
    </row>
    <row r="773" spans="1:3">
      <c r="A773" t="s">
        <v>2018</v>
      </c>
      <c r="C773" s="257" t="s">
        <v>2019</v>
      </c>
    </row>
    <row r="774" spans="1:3">
      <c r="A774" t="s">
        <v>2020</v>
      </c>
      <c r="C774" s="257" t="s">
        <v>2021</v>
      </c>
    </row>
    <row r="775" spans="1:3">
      <c r="A775" t="s">
        <v>2022</v>
      </c>
      <c r="C775" s="257" t="s">
        <v>2023</v>
      </c>
    </row>
    <row r="776" spans="1:3">
      <c r="A776" t="s">
        <v>2024</v>
      </c>
      <c r="C776" s="257" t="s">
        <v>2025</v>
      </c>
    </row>
    <row r="777" spans="1:3">
      <c r="A777" t="s">
        <v>2026</v>
      </c>
      <c r="C777" s="257" t="s">
        <v>2027</v>
      </c>
    </row>
    <row r="778" spans="1:3">
      <c r="A778" t="s">
        <v>2028</v>
      </c>
      <c r="C778" s="257" t="s">
        <v>2029</v>
      </c>
    </row>
    <row r="779" spans="1:3">
      <c r="A779" t="s">
        <v>2030</v>
      </c>
      <c r="C779" s="257" t="s">
        <v>2031</v>
      </c>
    </row>
    <row r="780" spans="1:3">
      <c r="A780" t="s">
        <v>2032</v>
      </c>
      <c r="B780" t="s">
        <v>2033</v>
      </c>
      <c r="C780" t="s">
        <v>2034</v>
      </c>
    </row>
    <row r="781" spans="1:3">
      <c r="A781" t="s">
        <v>2035</v>
      </c>
      <c r="B781" t="s">
        <v>2036</v>
      </c>
      <c r="C781" t="s">
        <v>2037</v>
      </c>
    </row>
    <row r="782" spans="1:3">
      <c r="A782" t="s">
        <v>2038</v>
      </c>
      <c r="B782" t="s">
        <v>2039</v>
      </c>
      <c r="C782" t="s">
        <v>2040</v>
      </c>
    </row>
    <row r="783" spans="1:3">
      <c r="A783" t="s">
        <v>2041</v>
      </c>
      <c r="B783" t="s">
        <v>2042</v>
      </c>
      <c r="C783" t="s">
        <v>2043</v>
      </c>
    </row>
    <row r="784" spans="1:3">
      <c r="A784" t="s">
        <v>2044</v>
      </c>
      <c r="B784" t="s">
        <v>2045</v>
      </c>
      <c r="C784" t="s">
        <v>2046</v>
      </c>
    </row>
    <row r="785" spans="1:3">
      <c r="A785" t="s">
        <v>2047</v>
      </c>
      <c r="B785" t="s">
        <v>2048</v>
      </c>
      <c r="C785" t="s">
        <v>2049</v>
      </c>
    </row>
    <row r="786" spans="1:3">
      <c r="A786" t="s">
        <v>2050</v>
      </c>
      <c r="B786" t="s">
        <v>2051</v>
      </c>
      <c r="C786" t="s">
        <v>2052</v>
      </c>
    </row>
    <row r="787" spans="1:3">
      <c r="A787" t="s">
        <v>2053</v>
      </c>
      <c r="B787" t="s">
        <v>2054</v>
      </c>
      <c r="C787" t="s">
        <v>2055</v>
      </c>
    </row>
    <row r="788" spans="1:3">
      <c r="A788" t="s">
        <v>2056</v>
      </c>
      <c r="C788" s="257" t="s">
        <v>2057</v>
      </c>
    </row>
    <row r="789" spans="1:3">
      <c r="A789" t="s">
        <v>2058</v>
      </c>
      <c r="C789" s="257" t="s">
        <v>2059</v>
      </c>
    </row>
    <row r="790" spans="1:3">
      <c r="A790" t="s">
        <v>2060</v>
      </c>
      <c r="C790" s="257" t="s">
        <v>2061</v>
      </c>
    </row>
    <row r="791" spans="1:3">
      <c r="A791" t="s">
        <v>2062</v>
      </c>
      <c r="B791" t="s">
        <v>2063</v>
      </c>
      <c r="C791" t="s">
        <v>2064</v>
      </c>
    </row>
    <row r="792" spans="1:3">
      <c r="A792" t="s">
        <v>2065</v>
      </c>
      <c r="B792" t="s">
        <v>2066</v>
      </c>
      <c r="C792" t="s">
        <v>2067</v>
      </c>
    </row>
    <row r="793" spans="1:3">
      <c r="A793" t="s">
        <v>2068</v>
      </c>
      <c r="B793" t="s">
        <v>2069</v>
      </c>
      <c r="C793" t="s">
        <v>2070</v>
      </c>
    </row>
    <row r="794" spans="1:3">
      <c r="A794" t="s">
        <v>2071</v>
      </c>
      <c r="B794" t="s">
        <v>2072</v>
      </c>
      <c r="C794" t="s">
        <v>2073</v>
      </c>
    </row>
    <row r="795" spans="1:3">
      <c r="A795" t="s">
        <v>2074</v>
      </c>
      <c r="B795" t="s">
        <v>2075</v>
      </c>
      <c r="C795" t="s">
        <v>2076</v>
      </c>
    </row>
    <row r="796" spans="1:3">
      <c r="A796" t="s">
        <v>2077</v>
      </c>
      <c r="B796" t="s">
        <v>2078</v>
      </c>
      <c r="C796" t="s">
        <v>2079</v>
      </c>
    </row>
    <row r="797" spans="1:3">
      <c r="A797" t="s">
        <v>2080</v>
      </c>
      <c r="B797" t="s">
        <v>2081</v>
      </c>
      <c r="C797" t="s">
        <v>2082</v>
      </c>
    </row>
    <row r="798" spans="1:3">
      <c r="A798" t="s">
        <v>2083</v>
      </c>
      <c r="B798" t="s">
        <v>2084</v>
      </c>
      <c r="C798" t="s">
        <v>2085</v>
      </c>
    </row>
    <row r="799" spans="1:3">
      <c r="A799" t="s">
        <v>2086</v>
      </c>
      <c r="B799" t="s">
        <v>2087</v>
      </c>
      <c r="C799" t="s">
        <v>2088</v>
      </c>
    </row>
    <row r="800" spans="1:3">
      <c r="A800" t="s">
        <v>2089</v>
      </c>
      <c r="B800" t="s">
        <v>2090</v>
      </c>
      <c r="C800" t="s">
        <v>2091</v>
      </c>
    </row>
    <row r="801" spans="1:3">
      <c r="A801" t="s">
        <v>2092</v>
      </c>
      <c r="B801" t="s">
        <v>2093</v>
      </c>
      <c r="C801" t="s">
        <v>2094</v>
      </c>
    </row>
    <row r="802" spans="1:3">
      <c r="A802" t="s">
        <v>2095</v>
      </c>
      <c r="B802" t="s">
        <v>2096</v>
      </c>
      <c r="C802" t="s">
        <v>2097</v>
      </c>
    </row>
    <row r="803" spans="1:3">
      <c r="A803" t="s">
        <v>2098</v>
      </c>
      <c r="B803" t="s">
        <v>2099</v>
      </c>
      <c r="C803" t="s">
        <v>2100</v>
      </c>
    </row>
    <row r="804" spans="1:3">
      <c r="A804" t="s">
        <v>2101</v>
      </c>
      <c r="B804" t="s">
        <v>2102</v>
      </c>
      <c r="C804" t="s">
        <v>2103</v>
      </c>
    </row>
    <row r="805" spans="1:3">
      <c r="A805" t="s">
        <v>2104</v>
      </c>
      <c r="B805" t="s">
        <v>2105</v>
      </c>
      <c r="C805" t="s">
        <v>2106</v>
      </c>
    </row>
    <row r="806" spans="1:3">
      <c r="A806" t="s">
        <v>2107</v>
      </c>
      <c r="B806" t="s">
        <v>2108</v>
      </c>
      <c r="C806" t="s">
        <v>2109</v>
      </c>
    </row>
    <row r="807" spans="1:3">
      <c r="A807" t="s">
        <v>2110</v>
      </c>
      <c r="B807" t="s">
        <v>2111</v>
      </c>
      <c r="C807" t="s">
        <v>2112</v>
      </c>
    </row>
    <row r="808" spans="1:3">
      <c r="A808" t="s">
        <v>2113</v>
      </c>
      <c r="B808" t="s">
        <v>2114</v>
      </c>
      <c r="C808" t="s">
        <v>2115</v>
      </c>
    </row>
    <row r="809" spans="1:3">
      <c r="A809" t="s">
        <v>2116</v>
      </c>
      <c r="B809" t="s">
        <v>2117</v>
      </c>
      <c r="C809" t="s">
        <v>2118</v>
      </c>
    </row>
    <row r="810" spans="1:3">
      <c r="A810" t="s">
        <v>2119</v>
      </c>
      <c r="B810" t="s">
        <v>2120</v>
      </c>
      <c r="C810" t="s">
        <v>2121</v>
      </c>
    </row>
    <row r="811" spans="1:3">
      <c r="A811" t="s">
        <v>2122</v>
      </c>
      <c r="B811" t="s">
        <v>2123</v>
      </c>
      <c r="C811" t="s">
        <v>2124</v>
      </c>
    </row>
    <row r="812" spans="1:3">
      <c r="A812" t="s">
        <v>2125</v>
      </c>
      <c r="B812" t="s">
        <v>2126</v>
      </c>
      <c r="C812" t="s">
        <v>2127</v>
      </c>
    </row>
    <row r="813" spans="1:3">
      <c r="A813" t="s">
        <v>2128</v>
      </c>
      <c r="B813" t="s">
        <v>2129</v>
      </c>
      <c r="C813" t="s">
        <v>2130</v>
      </c>
    </row>
    <row r="814" spans="1:3">
      <c r="A814" t="s">
        <v>2131</v>
      </c>
      <c r="B814" t="s">
        <v>2132</v>
      </c>
      <c r="C814" t="s">
        <v>2133</v>
      </c>
    </row>
    <row r="815" spans="1:3">
      <c r="A815" t="s">
        <v>2134</v>
      </c>
      <c r="B815" t="s">
        <v>2135</v>
      </c>
      <c r="C815" t="s">
        <v>2136</v>
      </c>
    </row>
    <row r="816" spans="1:3">
      <c r="A816" t="s">
        <v>2137</v>
      </c>
      <c r="B816" t="s">
        <v>2138</v>
      </c>
      <c r="C816" t="s">
        <v>2139</v>
      </c>
    </row>
    <row r="817" spans="1:3">
      <c r="A817" t="s">
        <v>2140</v>
      </c>
      <c r="B817" t="s">
        <v>2141</v>
      </c>
      <c r="C817" t="s">
        <v>2142</v>
      </c>
    </row>
    <row r="818" spans="1:3">
      <c r="A818" t="s">
        <v>2143</v>
      </c>
      <c r="B818" t="s">
        <v>2144</v>
      </c>
      <c r="C818" t="s">
        <v>2145</v>
      </c>
    </row>
    <row r="819" spans="1:3">
      <c r="A819" t="s">
        <v>2146</v>
      </c>
      <c r="B819" t="s">
        <v>2147</v>
      </c>
      <c r="C819" t="s">
        <v>2148</v>
      </c>
    </row>
    <row r="820" spans="1:3">
      <c r="A820" t="s">
        <v>2149</v>
      </c>
      <c r="B820" t="s">
        <v>2150</v>
      </c>
      <c r="C820" t="s">
        <v>2151</v>
      </c>
    </row>
    <row r="821" spans="1:3">
      <c r="A821" t="s">
        <v>2152</v>
      </c>
      <c r="B821" t="s">
        <v>2153</v>
      </c>
      <c r="C821" t="s">
        <v>2154</v>
      </c>
    </row>
    <row r="822" spans="1:3">
      <c r="A822" t="s">
        <v>2155</v>
      </c>
      <c r="B822" t="s">
        <v>2156</v>
      </c>
      <c r="C822" t="s">
        <v>2157</v>
      </c>
    </row>
    <row r="823" spans="1:3">
      <c r="A823" t="s">
        <v>2158</v>
      </c>
      <c r="B823" t="s">
        <v>2159</v>
      </c>
      <c r="C823" t="s">
        <v>2160</v>
      </c>
    </row>
    <row r="824" spans="1:3">
      <c r="A824" t="s">
        <v>2161</v>
      </c>
      <c r="B824" t="s">
        <v>2162</v>
      </c>
      <c r="C824" t="s">
        <v>2163</v>
      </c>
    </row>
    <row r="825" spans="1:3">
      <c r="A825" t="s">
        <v>2164</v>
      </c>
      <c r="B825" t="s">
        <v>2165</v>
      </c>
      <c r="C825" t="s">
        <v>2166</v>
      </c>
    </row>
    <row r="826" spans="1:3">
      <c r="A826" t="s">
        <v>2167</v>
      </c>
      <c r="B826" t="s">
        <v>2168</v>
      </c>
      <c r="C826" t="s">
        <v>2169</v>
      </c>
    </row>
    <row r="827" spans="1:3">
      <c r="A827" t="s">
        <v>2170</v>
      </c>
      <c r="B827" t="s">
        <v>2171</v>
      </c>
      <c r="C827" t="s">
        <v>2172</v>
      </c>
    </row>
    <row r="828" spans="1:3">
      <c r="A828" t="s">
        <v>2173</v>
      </c>
      <c r="B828" t="s">
        <v>2174</v>
      </c>
      <c r="C828" t="s">
        <v>2175</v>
      </c>
    </row>
    <row r="829" spans="1:3">
      <c r="A829" t="s">
        <v>2176</v>
      </c>
      <c r="B829" t="s">
        <v>2177</v>
      </c>
      <c r="C829" t="s">
        <v>2178</v>
      </c>
    </row>
    <row r="830" spans="1:3">
      <c r="A830" t="s">
        <v>2179</v>
      </c>
      <c r="B830" t="s">
        <v>2180</v>
      </c>
      <c r="C830" t="s">
        <v>2181</v>
      </c>
    </row>
    <row r="831" spans="1:3">
      <c r="A831" t="s">
        <v>2182</v>
      </c>
      <c r="B831" t="s">
        <v>2183</v>
      </c>
      <c r="C831" t="s">
        <v>2184</v>
      </c>
    </row>
    <row r="832" spans="1:3">
      <c r="A832" t="s">
        <v>2185</v>
      </c>
      <c r="B832" t="s">
        <v>2186</v>
      </c>
      <c r="C832" t="s">
        <v>2187</v>
      </c>
    </row>
    <row r="833" spans="1:3">
      <c r="A833" t="s">
        <v>2188</v>
      </c>
      <c r="C833" s="257" t="s">
        <v>2189</v>
      </c>
    </row>
    <row r="834" spans="1:3">
      <c r="A834" t="s">
        <v>2190</v>
      </c>
      <c r="C834" s="257" t="s">
        <v>2191</v>
      </c>
    </row>
    <row r="835" spans="1:3">
      <c r="A835" t="s">
        <v>2192</v>
      </c>
      <c r="C835" s="257" t="s">
        <v>2193</v>
      </c>
    </row>
    <row r="836" spans="1:3">
      <c r="A836" t="s">
        <v>2194</v>
      </c>
      <c r="C836" s="257" t="s">
        <v>2195</v>
      </c>
    </row>
    <row r="837" spans="1:3">
      <c r="A837" t="s">
        <v>2196</v>
      </c>
      <c r="C837" s="257" t="s">
        <v>2197</v>
      </c>
    </row>
    <row r="838" spans="1:3">
      <c r="A838" t="s">
        <v>2198</v>
      </c>
      <c r="C838" s="257" t="s">
        <v>2199</v>
      </c>
    </row>
    <row r="839" spans="1:3">
      <c r="A839" t="s">
        <v>2200</v>
      </c>
      <c r="C839" s="257" t="s">
        <v>2201</v>
      </c>
    </row>
    <row r="840" spans="1:3">
      <c r="A840" t="s">
        <v>2202</v>
      </c>
      <c r="C840" s="257" t="s">
        <v>2203</v>
      </c>
    </row>
    <row r="841" spans="1:3">
      <c r="A841" t="s">
        <v>2204</v>
      </c>
      <c r="C841" s="257" t="s">
        <v>2205</v>
      </c>
    </row>
    <row r="842" spans="1:3">
      <c r="A842" t="s">
        <v>2206</v>
      </c>
      <c r="C842" s="257" t="s">
        <v>2207</v>
      </c>
    </row>
    <row r="843" spans="1:3">
      <c r="A843" t="s">
        <v>2208</v>
      </c>
      <c r="C843" s="257" t="s">
        <v>2209</v>
      </c>
    </row>
    <row r="844" spans="1:3">
      <c r="A844" t="s">
        <v>2210</v>
      </c>
      <c r="C844" s="257" t="s">
        <v>2211</v>
      </c>
    </row>
    <row r="845" spans="1:3">
      <c r="A845" t="s">
        <v>2212</v>
      </c>
      <c r="C845" s="257" t="s">
        <v>2213</v>
      </c>
    </row>
    <row r="846" spans="1:3">
      <c r="A846" t="s">
        <v>2214</v>
      </c>
      <c r="C846" s="257" t="s">
        <v>2215</v>
      </c>
    </row>
    <row r="847" spans="1:3">
      <c r="A847" t="s">
        <v>2216</v>
      </c>
      <c r="C847" s="257" t="s">
        <v>2217</v>
      </c>
    </row>
    <row r="848" spans="1:3">
      <c r="A848" t="s">
        <v>2218</v>
      </c>
      <c r="C848" s="257" t="s">
        <v>2219</v>
      </c>
    </row>
    <row r="849" spans="1:3">
      <c r="A849" t="s">
        <v>2220</v>
      </c>
      <c r="C849" s="257" t="s">
        <v>2221</v>
      </c>
    </row>
    <row r="850" spans="1:3">
      <c r="A850" t="s">
        <v>2222</v>
      </c>
      <c r="C850" s="257" t="s">
        <v>2223</v>
      </c>
    </row>
    <row r="851" spans="1:3">
      <c r="A851" t="s">
        <v>2224</v>
      </c>
      <c r="C851" s="257" t="s">
        <v>2225</v>
      </c>
    </row>
    <row r="852" spans="1:3">
      <c r="A852" t="s">
        <v>2226</v>
      </c>
      <c r="C852" s="257" t="s">
        <v>2227</v>
      </c>
    </row>
    <row r="853" spans="1:3">
      <c r="A853" t="s">
        <v>2228</v>
      </c>
      <c r="C853" s="257" t="s">
        <v>2229</v>
      </c>
    </row>
    <row r="854" spans="1:3">
      <c r="A854" t="s">
        <v>2230</v>
      </c>
      <c r="C854" s="257" t="s">
        <v>2231</v>
      </c>
    </row>
    <row r="855" spans="1:3">
      <c r="A855" t="s">
        <v>2232</v>
      </c>
      <c r="C855" s="257" t="s">
        <v>2233</v>
      </c>
    </row>
    <row r="856" spans="1:3">
      <c r="A856" t="s">
        <v>2234</v>
      </c>
      <c r="C856" s="257" t="s">
        <v>2235</v>
      </c>
    </row>
    <row r="857" spans="1:3">
      <c r="A857" t="s">
        <v>2236</v>
      </c>
      <c r="C857" s="257" t="s">
        <v>2237</v>
      </c>
    </row>
    <row r="858" spans="1:3">
      <c r="A858" t="s">
        <v>2238</v>
      </c>
      <c r="C858" s="257" t="s">
        <v>2239</v>
      </c>
    </row>
    <row r="859" spans="1:3">
      <c r="A859" t="s">
        <v>2240</v>
      </c>
      <c r="C859" s="257" t="s">
        <v>2241</v>
      </c>
    </row>
    <row r="860" spans="1:3">
      <c r="A860" t="s">
        <v>2242</v>
      </c>
      <c r="C860" s="257" t="s">
        <v>2243</v>
      </c>
    </row>
    <row r="861" spans="1:3">
      <c r="A861" t="s">
        <v>2244</v>
      </c>
      <c r="C861" s="257" t="s">
        <v>2245</v>
      </c>
    </row>
    <row r="862" spans="1:3">
      <c r="A862" t="s">
        <v>2246</v>
      </c>
      <c r="C862" s="257" t="s">
        <v>2247</v>
      </c>
    </row>
    <row r="863" spans="1:3">
      <c r="A863" t="s">
        <v>2248</v>
      </c>
      <c r="C863" s="257" t="s">
        <v>2249</v>
      </c>
    </row>
    <row r="864" spans="1:3">
      <c r="A864" t="s">
        <v>2250</v>
      </c>
      <c r="C864" s="257" t="s">
        <v>2251</v>
      </c>
    </row>
    <row r="865" spans="1:3">
      <c r="A865" t="s">
        <v>2252</v>
      </c>
      <c r="C865" s="257" t="s">
        <v>2253</v>
      </c>
    </row>
    <row r="866" spans="1:3">
      <c r="A866" t="s">
        <v>2254</v>
      </c>
      <c r="C866" s="257" t="s">
        <v>2255</v>
      </c>
    </row>
    <row r="867" spans="1:3">
      <c r="A867" t="s">
        <v>2256</v>
      </c>
      <c r="C867" s="257" t="s">
        <v>2257</v>
      </c>
    </row>
    <row r="868" spans="1:3">
      <c r="A868" t="s">
        <v>2258</v>
      </c>
      <c r="C868" s="257" t="s">
        <v>2259</v>
      </c>
    </row>
    <row r="869" spans="1:3">
      <c r="A869" t="s">
        <v>2260</v>
      </c>
      <c r="C869" s="257" t="s">
        <v>2261</v>
      </c>
    </row>
    <row r="870" spans="1:3">
      <c r="A870" t="s">
        <v>2262</v>
      </c>
      <c r="C870" s="257" t="s">
        <v>2263</v>
      </c>
    </row>
    <row r="871" spans="1:3">
      <c r="A871" t="s">
        <v>2264</v>
      </c>
      <c r="C871" s="257" t="s">
        <v>2265</v>
      </c>
    </row>
    <row r="872" spans="1:3">
      <c r="A872" t="s">
        <v>2266</v>
      </c>
      <c r="C872" s="257" t="s">
        <v>2267</v>
      </c>
    </row>
    <row r="873" spans="1:3">
      <c r="A873" t="s">
        <v>2268</v>
      </c>
      <c r="C873" s="257" t="s">
        <v>2269</v>
      </c>
    </row>
    <row r="874" spans="1:3">
      <c r="A874" t="s">
        <v>2270</v>
      </c>
      <c r="B874" t="s">
        <v>2271</v>
      </c>
      <c r="C874" t="s">
        <v>2272</v>
      </c>
    </row>
    <row r="875" spans="1:3">
      <c r="A875" t="s">
        <v>2273</v>
      </c>
      <c r="B875" t="s">
        <v>2274</v>
      </c>
      <c r="C875" t="s">
        <v>2275</v>
      </c>
    </row>
    <row r="876" spans="1:3">
      <c r="A876" t="s">
        <v>2276</v>
      </c>
      <c r="B876" t="s">
        <v>2277</v>
      </c>
      <c r="C876" t="s">
        <v>2278</v>
      </c>
    </row>
    <row r="877" spans="1:3">
      <c r="A877" t="s">
        <v>2279</v>
      </c>
      <c r="B877" t="s">
        <v>2280</v>
      </c>
      <c r="C877" t="s">
        <v>2281</v>
      </c>
    </row>
    <row r="878" spans="1:3">
      <c r="A878" t="s">
        <v>2282</v>
      </c>
      <c r="B878" t="s">
        <v>2283</v>
      </c>
      <c r="C878" t="s">
        <v>2284</v>
      </c>
    </row>
    <row r="879" spans="1:3">
      <c r="A879" t="s">
        <v>2285</v>
      </c>
      <c r="B879" t="s">
        <v>2286</v>
      </c>
      <c r="C879" t="s">
        <v>2287</v>
      </c>
    </row>
    <row r="880" spans="1:3">
      <c r="A880" t="s">
        <v>2288</v>
      </c>
      <c r="C880" s="257" t="s">
        <v>2289</v>
      </c>
    </row>
    <row r="881" spans="1:3">
      <c r="A881" t="s">
        <v>2290</v>
      </c>
      <c r="C881" s="257" t="s">
        <v>2291</v>
      </c>
    </row>
    <row r="882" spans="1:3">
      <c r="A882" t="s">
        <v>2292</v>
      </c>
      <c r="C882" s="257" t="s">
        <v>2293</v>
      </c>
    </row>
    <row r="883" spans="1:3">
      <c r="A883" t="s">
        <v>2294</v>
      </c>
      <c r="C883" s="257" t="s">
        <v>2295</v>
      </c>
    </row>
    <row r="884" spans="1:3">
      <c r="A884" t="s">
        <v>2296</v>
      </c>
      <c r="C884" s="257" t="s">
        <v>2297</v>
      </c>
    </row>
    <row r="885" spans="1:3">
      <c r="A885" t="s">
        <v>2298</v>
      </c>
      <c r="C885" s="257" t="s">
        <v>2299</v>
      </c>
    </row>
    <row r="886" spans="1:3">
      <c r="A886" t="s">
        <v>2300</v>
      </c>
      <c r="B886" t="s">
        <v>2301</v>
      </c>
      <c r="C886" t="s">
        <v>2302</v>
      </c>
    </row>
    <row r="887" spans="1:3">
      <c r="A887" t="s">
        <v>2303</v>
      </c>
      <c r="B887" t="s">
        <v>2304</v>
      </c>
      <c r="C887" t="s">
        <v>2305</v>
      </c>
    </row>
    <row r="888" spans="1:3">
      <c r="A888" t="s">
        <v>2306</v>
      </c>
      <c r="B888" t="s">
        <v>2307</v>
      </c>
      <c r="C888" t="s">
        <v>2308</v>
      </c>
    </row>
    <row r="889" spans="1:3">
      <c r="A889" t="s">
        <v>2309</v>
      </c>
      <c r="B889" t="s">
        <v>2310</v>
      </c>
      <c r="C889" t="s">
        <v>2311</v>
      </c>
    </row>
    <row r="890" spans="1:3">
      <c r="A890" t="s">
        <v>2312</v>
      </c>
      <c r="B890" t="s">
        <v>2313</v>
      </c>
      <c r="C890" t="s">
        <v>2314</v>
      </c>
    </row>
    <row r="891" spans="1:3">
      <c r="A891" t="s">
        <v>2315</v>
      </c>
      <c r="B891" t="s">
        <v>2316</v>
      </c>
      <c r="C891" t="s">
        <v>2317</v>
      </c>
    </row>
    <row r="892" spans="1:3">
      <c r="A892" t="s">
        <v>2318</v>
      </c>
      <c r="B892" t="s">
        <v>2319</v>
      </c>
      <c r="C892" t="s">
        <v>2320</v>
      </c>
    </row>
    <row r="893" spans="1:3">
      <c r="A893" t="s">
        <v>2321</v>
      </c>
      <c r="B893" t="s">
        <v>2322</v>
      </c>
      <c r="C893" t="s">
        <v>2323</v>
      </c>
    </row>
    <row r="894" spans="1:3">
      <c r="A894" t="s">
        <v>2324</v>
      </c>
      <c r="B894" t="s">
        <v>2325</v>
      </c>
      <c r="C894" t="s">
        <v>2326</v>
      </c>
    </row>
    <row r="895" spans="1:3">
      <c r="A895" t="s">
        <v>2327</v>
      </c>
      <c r="B895" t="s">
        <v>2328</v>
      </c>
      <c r="C895" t="s">
        <v>2329</v>
      </c>
    </row>
    <row r="896" spans="1:3">
      <c r="A896" t="s">
        <v>2330</v>
      </c>
      <c r="B896" t="s">
        <v>2331</v>
      </c>
      <c r="C896" t="s">
        <v>2332</v>
      </c>
    </row>
    <row r="897" spans="1:3">
      <c r="A897" t="s">
        <v>2333</v>
      </c>
      <c r="B897" t="s">
        <v>2334</v>
      </c>
      <c r="C897" t="s">
        <v>2335</v>
      </c>
    </row>
    <row r="898" spans="1:3">
      <c r="A898" t="s">
        <v>2336</v>
      </c>
      <c r="B898" t="s">
        <v>2337</v>
      </c>
      <c r="C898" t="s">
        <v>2338</v>
      </c>
    </row>
    <row r="899" spans="1:3">
      <c r="A899" t="s">
        <v>2339</v>
      </c>
      <c r="B899" t="s">
        <v>2340</v>
      </c>
      <c r="C899" t="s">
        <v>2341</v>
      </c>
    </row>
    <row r="900" spans="1:3">
      <c r="A900" t="s">
        <v>2342</v>
      </c>
      <c r="B900" t="s">
        <v>2343</v>
      </c>
      <c r="C900" t="s">
        <v>2344</v>
      </c>
    </row>
    <row r="901" spans="1:3">
      <c r="A901" t="s">
        <v>2345</v>
      </c>
      <c r="B901" t="s">
        <v>2346</v>
      </c>
      <c r="C901" t="s">
        <v>2347</v>
      </c>
    </row>
    <row r="902" spans="1:3">
      <c r="A902" t="s">
        <v>2348</v>
      </c>
      <c r="B902" t="s">
        <v>2349</v>
      </c>
      <c r="C902" t="s">
        <v>2350</v>
      </c>
    </row>
    <row r="903" spans="1:3">
      <c r="A903" t="s">
        <v>2351</v>
      </c>
      <c r="B903" t="s">
        <v>2352</v>
      </c>
      <c r="C903" t="s">
        <v>2353</v>
      </c>
    </row>
    <row r="904" spans="1:3">
      <c r="A904" t="s">
        <v>2354</v>
      </c>
      <c r="B904" t="s">
        <v>2355</v>
      </c>
      <c r="C904" t="s">
        <v>2356</v>
      </c>
    </row>
    <row r="905" spans="1:3">
      <c r="A905" t="s">
        <v>2357</v>
      </c>
      <c r="B905" t="s">
        <v>2358</v>
      </c>
      <c r="C905" t="s">
        <v>2359</v>
      </c>
    </row>
    <row r="906" spans="1:3">
      <c r="A906" t="s">
        <v>2360</v>
      </c>
      <c r="B906" t="s">
        <v>2361</v>
      </c>
      <c r="C906" t="s">
        <v>2362</v>
      </c>
    </row>
    <row r="907" spans="1:3">
      <c r="A907" t="s">
        <v>2363</v>
      </c>
      <c r="B907" t="s">
        <v>2364</v>
      </c>
      <c r="C907" t="s">
        <v>2365</v>
      </c>
    </row>
    <row r="908" spans="1:3">
      <c r="A908" t="s">
        <v>2366</v>
      </c>
      <c r="C908" s="257" t="s">
        <v>2367</v>
      </c>
    </row>
    <row r="909" spans="1:3">
      <c r="A909" t="s">
        <v>2368</v>
      </c>
      <c r="C909" s="257" t="s">
        <v>2369</v>
      </c>
    </row>
    <row r="910" spans="1:3">
      <c r="A910" t="s">
        <v>2370</v>
      </c>
      <c r="C910" s="257" t="s">
        <v>2371</v>
      </c>
    </row>
    <row r="911" spans="1:3">
      <c r="A911" t="s">
        <v>2372</v>
      </c>
      <c r="C911" s="257" t="s">
        <v>2373</v>
      </c>
    </row>
    <row r="912" spans="1:3">
      <c r="A912" t="s">
        <v>2374</v>
      </c>
      <c r="B912" t="s">
        <v>2375</v>
      </c>
      <c r="C912" t="s">
        <v>2376</v>
      </c>
    </row>
    <row r="913" spans="1:3">
      <c r="A913" t="s">
        <v>2377</v>
      </c>
      <c r="B913" t="s">
        <v>2378</v>
      </c>
      <c r="C913" t="s">
        <v>2379</v>
      </c>
    </row>
    <row r="914" spans="1:3">
      <c r="A914" t="s">
        <v>2380</v>
      </c>
      <c r="B914" t="s">
        <v>2381</v>
      </c>
      <c r="C914" t="s">
        <v>2382</v>
      </c>
    </row>
    <row r="915" spans="1:3">
      <c r="A915" t="s">
        <v>2383</v>
      </c>
      <c r="B915" t="s">
        <v>2384</v>
      </c>
      <c r="C915" t="s">
        <v>2385</v>
      </c>
    </row>
    <row r="916" spans="1:3">
      <c r="A916" t="s">
        <v>2386</v>
      </c>
      <c r="B916" t="s">
        <v>2387</v>
      </c>
      <c r="C916" t="s">
        <v>2388</v>
      </c>
    </row>
    <row r="917" spans="1:3">
      <c r="A917" t="s">
        <v>2389</v>
      </c>
      <c r="B917" t="s">
        <v>2390</v>
      </c>
      <c r="C917" t="s">
        <v>2391</v>
      </c>
    </row>
    <row r="918" spans="1:3">
      <c r="A918" t="s">
        <v>2392</v>
      </c>
      <c r="C918" s="257" t="s">
        <v>2393</v>
      </c>
    </row>
    <row r="919" spans="1:3">
      <c r="A919" t="s">
        <v>2394</v>
      </c>
      <c r="C919" s="257" t="s">
        <v>2395</v>
      </c>
    </row>
    <row r="920" spans="1:3">
      <c r="A920" t="s">
        <v>2396</v>
      </c>
      <c r="C920" s="257" t="s">
        <v>2397</v>
      </c>
    </row>
    <row r="921" spans="1:3">
      <c r="A921" t="s">
        <v>2398</v>
      </c>
      <c r="C921" s="257" t="s">
        <v>2399</v>
      </c>
    </row>
    <row r="922" spans="1:3">
      <c r="A922" t="s">
        <v>2400</v>
      </c>
      <c r="C922" s="257" t="s">
        <v>2401</v>
      </c>
    </row>
    <row r="923" spans="1:3">
      <c r="A923" t="s">
        <v>2402</v>
      </c>
      <c r="C923" s="257" t="s">
        <v>2403</v>
      </c>
    </row>
    <row r="924" spans="1:3">
      <c r="A924" t="s">
        <v>2404</v>
      </c>
      <c r="C924" s="257" t="s">
        <v>2405</v>
      </c>
    </row>
    <row r="925" spans="1:3">
      <c r="A925" t="s">
        <v>2406</v>
      </c>
      <c r="C925" s="257" t="s">
        <v>2407</v>
      </c>
    </row>
    <row r="926" spans="1:3">
      <c r="A926" t="s">
        <v>2408</v>
      </c>
      <c r="C926" s="257" t="s">
        <v>2409</v>
      </c>
    </row>
    <row r="927" spans="1:3">
      <c r="A927" t="s">
        <v>2410</v>
      </c>
      <c r="C927" s="257" t="s">
        <v>2411</v>
      </c>
    </row>
    <row r="928" spans="1:3">
      <c r="A928" t="s">
        <v>2412</v>
      </c>
      <c r="C928" s="257" t="s">
        <v>2413</v>
      </c>
    </row>
    <row r="929" spans="1:3">
      <c r="A929" t="s">
        <v>2414</v>
      </c>
      <c r="B929" t="s">
        <v>2415</v>
      </c>
      <c r="C929" t="s">
        <v>2416</v>
      </c>
    </row>
    <row r="930" spans="1:3">
      <c r="A930" t="s">
        <v>2417</v>
      </c>
      <c r="B930" t="s">
        <v>2418</v>
      </c>
      <c r="C930" t="s">
        <v>2419</v>
      </c>
    </row>
    <row r="931" spans="1:3">
      <c r="A931" t="s">
        <v>2420</v>
      </c>
      <c r="B931" t="s">
        <v>2421</v>
      </c>
      <c r="C931" t="s">
        <v>2422</v>
      </c>
    </row>
    <row r="932" spans="1:3">
      <c r="A932" t="s">
        <v>2423</v>
      </c>
      <c r="B932" t="s">
        <v>2424</v>
      </c>
      <c r="C932" t="s">
        <v>2425</v>
      </c>
    </row>
    <row r="933" spans="1:3">
      <c r="A933" t="s">
        <v>2426</v>
      </c>
      <c r="B933" t="s">
        <v>2427</v>
      </c>
      <c r="C933" t="s">
        <v>2428</v>
      </c>
    </row>
    <row r="934" spans="1:3">
      <c r="A934" t="s">
        <v>2429</v>
      </c>
      <c r="B934" t="s">
        <v>2430</v>
      </c>
      <c r="C934" t="s">
        <v>2431</v>
      </c>
    </row>
    <row r="935" spans="1:3">
      <c r="A935" t="s">
        <v>2432</v>
      </c>
      <c r="B935" t="s">
        <v>2433</v>
      </c>
      <c r="C935" t="s">
        <v>2434</v>
      </c>
    </row>
    <row r="936" spans="1:3">
      <c r="A936" t="s">
        <v>2435</v>
      </c>
      <c r="B936" t="s">
        <v>2436</v>
      </c>
      <c r="C936" t="s">
        <v>2437</v>
      </c>
    </row>
    <row r="937" spans="1:3">
      <c r="A937" t="s">
        <v>2438</v>
      </c>
      <c r="B937" t="s">
        <v>2439</v>
      </c>
      <c r="C937" t="s">
        <v>2440</v>
      </c>
    </row>
    <row r="938" spans="1:3">
      <c r="A938" t="s">
        <v>2441</v>
      </c>
      <c r="B938" t="s">
        <v>2442</v>
      </c>
      <c r="C938" t="s">
        <v>2443</v>
      </c>
    </row>
    <row r="939" spans="1:3">
      <c r="A939" t="s">
        <v>2444</v>
      </c>
      <c r="B939" t="s">
        <v>2445</v>
      </c>
      <c r="C939" t="s">
        <v>2446</v>
      </c>
    </row>
    <row r="940" spans="1:3">
      <c r="A940" t="s">
        <v>2447</v>
      </c>
      <c r="B940" t="s">
        <v>2448</v>
      </c>
      <c r="C940" t="s">
        <v>2449</v>
      </c>
    </row>
    <row r="941" spans="1:3">
      <c r="A941" t="s">
        <v>2450</v>
      </c>
      <c r="B941" t="s">
        <v>2451</v>
      </c>
      <c r="C941" t="s">
        <v>2452</v>
      </c>
    </row>
    <row r="942" spans="1:3">
      <c r="A942" t="s">
        <v>2453</v>
      </c>
      <c r="B942" t="s">
        <v>2454</v>
      </c>
      <c r="C942" t="s">
        <v>2455</v>
      </c>
    </row>
    <row r="943" spans="1:3">
      <c r="A943" t="s">
        <v>2456</v>
      </c>
      <c r="B943" t="s">
        <v>2457</v>
      </c>
      <c r="C943" t="s">
        <v>2458</v>
      </c>
    </row>
    <row r="944" spans="1:3">
      <c r="A944" t="s">
        <v>2459</v>
      </c>
      <c r="B944" t="s">
        <v>2460</v>
      </c>
      <c r="C944" t="s">
        <v>2461</v>
      </c>
    </row>
    <row r="945" spans="1:3">
      <c r="A945" t="s">
        <v>2462</v>
      </c>
      <c r="B945" t="s">
        <v>2463</v>
      </c>
      <c r="C945" t="s">
        <v>2464</v>
      </c>
    </row>
    <row r="946" spans="1:3">
      <c r="A946" t="s">
        <v>2465</v>
      </c>
      <c r="B946" t="s">
        <v>2466</v>
      </c>
      <c r="C946" t="s">
        <v>2467</v>
      </c>
    </row>
    <row r="947" spans="1:3">
      <c r="A947" t="s">
        <v>2468</v>
      </c>
      <c r="B947" t="s">
        <v>2466</v>
      </c>
      <c r="C947" t="s">
        <v>2469</v>
      </c>
    </row>
    <row r="948" spans="1:3">
      <c r="A948" t="s">
        <v>2470</v>
      </c>
      <c r="B948" t="s">
        <v>2471</v>
      </c>
      <c r="C948" t="s">
        <v>2472</v>
      </c>
    </row>
    <row r="949" spans="1:3">
      <c r="A949" t="s">
        <v>2473</v>
      </c>
      <c r="B949" t="s">
        <v>2474</v>
      </c>
      <c r="C949" t="s">
        <v>2475</v>
      </c>
    </row>
    <row r="950" spans="1:3">
      <c r="A950" t="s">
        <v>2476</v>
      </c>
      <c r="B950" t="s">
        <v>2477</v>
      </c>
      <c r="C950" t="s">
        <v>2478</v>
      </c>
    </row>
    <row r="951" spans="1:3">
      <c r="A951" t="s">
        <v>2479</v>
      </c>
      <c r="B951" t="s">
        <v>2477</v>
      </c>
      <c r="C951" t="s">
        <v>2480</v>
      </c>
    </row>
    <row r="952" spans="1:3">
      <c r="A952" t="s">
        <v>2481</v>
      </c>
      <c r="B952" t="s">
        <v>2482</v>
      </c>
      <c r="C952" t="s">
        <v>2483</v>
      </c>
    </row>
    <row r="953" spans="1:3">
      <c r="A953" t="s">
        <v>2484</v>
      </c>
      <c r="B953" t="s">
        <v>2485</v>
      </c>
      <c r="C953" t="s">
        <v>2486</v>
      </c>
    </row>
    <row r="954" spans="1:3">
      <c r="A954" t="s">
        <v>2487</v>
      </c>
      <c r="B954" t="s">
        <v>2488</v>
      </c>
      <c r="C954" t="s">
        <v>2489</v>
      </c>
    </row>
    <row r="955" spans="1:3">
      <c r="A955" t="s">
        <v>2490</v>
      </c>
      <c r="B955" t="s">
        <v>2491</v>
      </c>
      <c r="C955" t="s">
        <v>2492</v>
      </c>
    </row>
    <row r="956" spans="1:3">
      <c r="A956" t="s">
        <v>2493</v>
      </c>
      <c r="B956" t="s">
        <v>2494</v>
      </c>
      <c r="C956" t="s">
        <v>2495</v>
      </c>
    </row>
    <row r="957" spans="1:3">
      <c r="A957" t="s">
        <v>2496</v>
      </c>
      <c r="B957" t="s">
        <v>2497</v>
      </c>
      <c r="C957" t="s">
        <v>2498</v>
      </c>
    </row>
    <row r="958" spans="1:3">
      <c r="A958" t="s">
        <v>2499</v>
      </c>
      <c r="B958" t="s">
        <v>2500</v>
      </c>
      <c r="C958" t="s">
        <v>2501</v>
      </c>
    </row>
    <row r="959" spans="1:3">
      <c r="A959" t="s">
        <v>2502</v>
      </c>
      <c r="B959" t="s">
        <v>2503</v>
      </c>
      <c r="C959" t="s">
        <v>2504</v>
      </c>
    </row>
    <row r="960" spans="1:3">
      <c r="A960" t="s">
        <v>2505</v>
      </c>
      <c r="B960" t="s">
        <v>2506</v>
      </c>
      <c r="C960" t="s">
        <v>2507</v>
      </c>
    </row>
    <row r="961" spans="1:3">
      <c r="A961" t="s">
        <v>2508</v>
      </c>
      <c r="B961" t="s">
        <v>2500</v>
      </c>
      <c r="C961" t="s">
        <v>2509</v>
      </c>
    </row>
    <row r="962" spans="1:3">
      <c r="A962" t="s">
        <v>2510</v>
      </c>
      <c r="B962" t="s">
        <v>2500</v>
      </c>
      <c r="C962" t="s">
        <v>2511</v>
      </c>
    </row>
    <row r="963" spans="1:3">
      <c r="A963" t="s">
        <v>2512</v>
      </c>
      <c r="B963" t="s">
        <v>2513</v>
      </c>
      <c r="C963" t="s">
        <v>2514</v>
      </c>
    </row>
    <row r="964" spans="1:3">
      <c r="A964" t="s">
        <v>2515</v>
      </c>
      <c r="B964" t="s">
        <v>2516</v>
      </c>
      <c r="C964" t="s">
        <v>2517</v>
      </c>
    </row>
    <row r="965" spans="1:3">
      <c r="A965" t="s">
        <v>2518</v>
      </c>
      <c r="B965" t="s">
        <v>2516</v>
      </c>
      <c r="C965" t="s">
        <v>2519</v>
      </c>
    </row>
    <row r="966" spans="1:3">
      <c r="A966" t="s">
        <v>2520</v>
      </c>
      <c r="B966" t="s">
        <v>2521</v>
      </c>
      <c r="C966" t="s">
        <v>2522</v>
      </c>
    </row>
    <row r="967" spans="1:3">
      <c r="A967" t="s">
        <v>2523</v>
      </c>
      <c r="B967" t="s">
        <v>2524</v>
      </c>
      <c r="C967" t="s">
        <v>2525</v>
      </c>
    </row>
    <row r="968" spans="1:3">
      <c r="A968" t="s">
        <v>2526</v>
      </c>
      <c r="B968" t="s">
        <v>2527</v>
      </c>
      <c r="C968" t="s">
        <v>2528</v>
      </c>
    </row>
    <row r="969" spans="1:3">
      <c r="A969" t="s">
        <v>2529</v>
      </c>
      <c r="B969" t="s">
        <v>2530</v>
      </c>
      <c r="C969" t="s">
        <v>2531</v>
      </c>
    </row>
    <row r="970" spans="1:3">
      <c r="A970" t="s">
        <v>2532</v>
      </c>
      <c r="B970" t="s">
        <v>2533</v>
      </c>
      <c r="C970" t="s">
        <v>2534</v>
      </c>
    </row>
    <row r="971" spans="1:3">
      <c r="A971" t="s">
        <v>2535</v>
      </c>
      <c r="B971" t="s">
        <v>2536</v>
      </c>
      <c r="C971" t="s">
        <v>2537</v>
      </c>
    </row>
    <row r="972" spans="1:3">
      <c r="A972" t="s">
        <v>2538</v>
      </c>
      <c r="B972" t="s">
        <v>2539</v>
      </c>
      <c r="C972" t="s">
        <v>2540</v>
      </c>
    </row>
    <row r="973" spans="1:3">
      <c r="A973" t="s">
        <v>2541</v>
      </c>
      <c r="B973" t="s">
        <v>2539</v>
      </c>
      <c r="C973" t="s">
        <v>2542</v>
      </c>
    </row>
    <row r="974" spans="1:3">
      <c r="A974" t="s">
        <v>2543</v>
      </c>
      <c r="B974" t="s">
        <v>2539</v>
      </c>
      <c r="C974" t="s">
        <v>2544</v>
      </c>
    </row>
    <row r="975" spans="1:3">
      <c r="A975" t="s">
        <v>2545</v>
      </c>
      <c r="B975" t="s">
        <v>2539</v>
      </c>
      <c r="C975" t="s">
        <v>2546</v>
      </c>
    </row>
    <row r="976" spans="1:3">
      <c r="A976" t="s">
        <v>2547</v>
      </c>
      <c r="B976" t="s">
        <v>2539</v>
      </c>
      <c r="C976" t="s">
        <v>2548</v>
      </c>
    </row>
    <row r="977" spans="1:3">
      <c r="A977" t="s">
        <v>2549</v>
      </c>
      <c r="B977" t="s">
        <v>2550</v>
      </c>
      <c r="C977" t="s">
        <v>2551</v>
      </c>
    </row>
    <row r="978" spans="1:3">
      <c r="A978" t="s">
        <v>2552</v>
      </c>
      <c r="B978" t="s">
        <v>2550</v>
      </c>
      <c r="C978" t="s">
        <v>2553</v>
      </c>
    </row>
    <row r="979" spans="1:3">
      <c r="A979" t="s">
        <v>2554</v>
      </c>
      <c r="B979" t="s">
        <v>2555</v>
      </c>
      <c r="C979" t="s">
        <v>2556</v>
      </c>
    </row>
    <row r="980" spans="1:3">
      <c r="A980" t="s">
        <v>2557</v>
      </c>
      <c r="B980" t="s">
        <v>2558</v>
      </c>
      <c r="C980" t="s">
        <v>2559</v>
      </c>
    </row>
    <row r="981" spans="1:3">
      <c r="A981" t="s">
        <v>2560</v>
      </c>
      <c r="B981" t="s">
        <v>2561</v>
      </c>
      <c r="C981" t="s">
        <v>2562</v>
      </c>
    </row>
    <row r="982" spans="1:3">
      <c r="A982" t="s">
        <v>2563</v>
      </c>
      <c r="B982" t="s">
        <v>2564</v>
      </c>
      <c r="C982" t="s">
        <v>2565</v>
      </c>
    </row>
    <row r="983" spans="1:3">
      <c r="A983" t="s">
        <v>2566</v>
      </c>
      <c r="B983" t="s">
        <v>2567</v>
      </c>
      <c r="C983" t="s">
        <v>2568</v>
      </c>
    </row>
    <row r="984" spans="1:3">
      <c r="A984" t="s">
        <v>2569</v>
      </c>
      <c r="B984" t="s">
        <v>2570</v>
      </c>
      <c r="C984" t="s">
        <v>2571</v>
      </c>
    </row>
    <row r="985" spans="1:3">
      <c r="A985" t="s">
        <v>2572</v>
      </c>
      <c r="B985" t="s">
        <v>2573</v>
      </c>
      <c r="C985" t="s">
        <v>2574</v>
      </c>
    </row>
    <row r="986" spans="1:3">
      <c r="A986" t="s">
        <v>2575</v>
      </c>
      <c r="B986" t="s">
        <v>2576</v>
      </c>
      <c r="C986" t="s">
        <v>2577</v>
      </c>
    </row>
    <row r="987" spans="1:3">
      <c r="A987" t="s">
        <v>2578</v>
      </c>
      <c r="B987" t="s">
        <v>2579</v>
      </c>
      <c r="C987" t="s">
        <v>2580</v>
      </c>
    </row>
    <row r="988" spans="1:3">
      <c r="A988" t="s">
        <v>2581</v>
      </c>
      <c r="B988" t="s">
        <v>2582</v>
      </c>
      <c r="C988" t="s">
        <v>2583</v>
      </c>
    </row>
    <row r="989" spans="1:3">
      <c r="A989" t="s">
        <v>2584</v>
      </c>
      <c r="B989" t="s">
        <v>2585</v>
      </c>
      <c r="C989" t="s">
        <v>2586</v>
      </c>
    </row>
    <row r="990" spans="1:3">
      <c r="A990" t="s">
        <v>2587</v>
      </c>
      <c r="B990" t="s">
        <v>2588</v>
      </c>
      <c r="C990" t="s">
        <v>2589</v>
      </c>
    </row>
    <row r="991" spans="1:3">
      <c r="A991" t="s">
        <v>2590</v>
      </c>
      <c r="B991" t="s">
        <v>2591</v>
      </c>
      <c r="C991" t="s">
        <v>2592</v>
      </c>
    </row>
    <row r="992" spans="1:3">
      <c r="A992" t="s">
        <v>2593</v>
      </c>
      <c r="B992" t="s">
        <v>2594</v>
      </c>
      <c r="C992" t="s">
        <v>2595</v>
      </c>
    </row>
    <row r="993" spans="1:3">
      <c r="A993" t="s">
        <v>2596</v>
      </c>
      <c r="B993" t="s">
        <v>2597</v>
      </c>
      <c r="C993" t="s">
        <v>2598</v>
      </c>
    </row>
    <row r="994" spans="1:3">
      <c r="A994" t="s">
        <v>2599</v>
      </c>
      <c r="C994" s="257" t="s">
        <v>2600</v>
      </c>
    </row>
    <row r="995" spans="1:3">
      <c r="A995" t="s">
        <v>2601</v>
      </c>
      <c r="C995" s="257" t="s">
        <v>2602</v>
      </c>
    </row>
    <row r="996" spans="1:3">
      <c r="A996" t="s">
        <v>2603</v>
      </c>
      <c r="B996" t="s">
        <v>2604</v>
      </c>
      <c r="C996" t="s">
        <v>2605</v>
      </c>
    </row>
    <row r="997" spans="1:3">
      <c r="A997" t="s">
        <v>2606</v>
      </c>
      <c r="B997" t="s">
        <v>2607</v>
      </c>
      <c r="C997" t="s">
        <v>2608</v>
      </c>
    </row>
    <row r="998" spans="1:3">
      <c r="A998" t="s">
        <v>2609</v>
      </c>
      <c r="B998" t="s">
        <v>2610</v>
      </c>
      <c r="C998" t="s">
        <v>2611</v>
      </c>
    </row>
    <row r="999" spans="1:3">
      <c r="A999" t="s">
        <v>2612</v>
      </c>
      <c r="B999" t="s">
        <v>2613</v>
      </c>
      <c r="C999" s="74" t="s">
        <v>2614</v>
      </c>
    </row>
    <row r="1000" spans="1:3">
      <c r="A1000" t="s">
        <v>2615</v>
      </c>
      <c r="B1000" t="s">
        <v>2616</v>
      </c>
      <c r="C1000" t="s">
        <v>2617</v>
      </c>
    </row>
    <row r="1001" spans="1:3">
      <c r="A1001" t="s">
        <v>2618</v>
      </c>
      <c r="B1001" t="s">
        <v>2619</v>
      </c>
      <c r="C1001" t="s">
        <v>2620</v>
      </c>
    </row>
    <row r="1002" spans="1:3">
      <c r="A1002" t="s">
        <v>2621</v>
      </c>
      <c r="B1002" t="s">
        <v>2622</v>
      </c>
      <c r="C1002" t="s">
        <v>2623</v>
      </c>
    </row>
    <row r="1003" spans="1:3">
      <c r="A1003" t="s">
        <v>2624</v>
      </c>
      <c r="B1003" t="s">
        <v>2625</v>
      </c>
      <c r="C1003" t="s">
        <v>2626</v>
      </c>
    </row>
    <row r="1004" spans="1:3">
      <c r="A1004" t="s">
        <v>2627</v>
      </c>
      <c r="B1004" t="s">
        <v>2628</v>
      </c>
      <c r="C1004" t="s">
        <v>2629</v>
      </c>
    </row>
    <row r="1005" spans="1:3">
      <c r="A1005" t="s">
        <v>2630</v>
      </c>
      <c r="B1005" t="s">
        <v>2631</v>
      </c>
      <c r="C1005" t="s">
        <v>2632</v>
      </c>
    </row>
    <row r="1006" spans="1:3">
      <c r="A1006" t="s">
        <v>2633</v>
      </c>
      <c r="B1006" t="s">
        <v>2634</v>
      </c>
      <c r="C1006" t="s">
        <v>2635</v>
      </c>
    </row>
    <row r="1007" spans="1:3">
      <c r="A1007" t="s">
        <v>2636</v>
      </c>
      <c r="B1007" t="s">
        <v>2637</v>
      </c>
      <c r="C1007" t="s">
        <v>2638</v>
      </c>
    </row>
    <row r="1008" spans="1:3">
      <c r="A1008" t="s">
        <v>2639</v>
      </c>
      <c r="B1008" t="s">
        <v>2640</v>
      </c>
      <c r="C1008" t="s">
        <v>2641</v>
      </c>
    </row>
    <row r="1009" spans="1:3">
      <c r="A1009" t="s">
        <v>2642</v>
      </c>
      <c r="B1009" t="s">
        <v>2643</v>
      </c>
      <c r="C1009" t="s">
        <v>2644</v>
      </c>
    </row>
    <row r="1010" spans="1:3">
      <c r="A1010" t="s">
        <v>2645</v>
      </c>
      <c r="B1010" t="s">
        <v>2646</v>
      </c>
      <c r="C1010" t="s">
        <v>2647</v>
      </c>
    </row>
    <row r="1011" spans="1:3">
      <c r="A1011" t="s">
        <v>2648</v>
      </c>
      <c r="B1011" t="s">
        <v>2649</v>
      </c>
      <c r="C1011" t="s">
        <v>2650</v>
      </c>
    </row>
    <row r="1012" spans="1:3">
      <c r="A1012" t="s">
        <v>2651</v>
      </c>
      <c r="C1012" s="257" t="s">
        <v>2652</v>
      </c>
    </row>
    <row r="1013" spans="1:3">
      <c r="A1013" t="s">
        <v>2653</v>
      </c>
      <c r="C1013" s="257" t="s">
        <v>2654</v>
      </c>
    </row>
    <row r="1014" spans="1:3">
      <c r="A1014" t="s">
        <v>2655</v>
      </c>
      <c r="C1014" s="257" t="s">
        <v>2656</v>
      </c>
    </row>
    <row r="1015" spans="1:3">
      <c r="A1015" t="s">
        <v>2657</v>
      </c>
      <c r="C1015" s="257" t="s">
        <v>2658</v>
      </c>
    </row>
    <row r="1016" spans="1:3">
      <c r="A1016" t="s">
        <v>2659</v>
      </c>
      <c r="C1016" s="257" t="s">
        <v>2660</v>
      </c>
    </row>
    <row r="1017" spans="1:3">
      <c r="A1017" t="s">
        <v>2661</v>
      </c>
      <c r="C1017" s="257" t="s">
        <v>2662</v>
      </c>
    </row>
    <row r="1018" spans="1:3">
      <c r="A1018" t="s">
        <v>2663</v>
      </c>
      <c r="C1018" s="257" t="s">
        <v>2664</v>
      </c>
    </row>
    <row r="1019" spans="1:3">
      <c r="A1019" t="s">
        <v>2665</v>
      </c>
      <c r="B1019" t="s">
        <v>2666</v>
      </c>
      <c r="C1019" t="s">
        <v>2667</v>
      </c>
    </row>
    <row r="1020" spans="1:3">
      <c r="A1020" t="s">
        <v>2668</v>
      </c>
      <c r="B1020" t="s">
        <v>2669</v>
      </c>
      <c r="C1020" t="s">
        <v>2670</v>
      </c>
    </row>
    <row r="1021" spans="1:3">
      <c r="A1021" t="s">
        <v>2671</v>
      </c>
      <c r="B1021" t="s">
        <v>2672</v>
      </c>
      <c r="C1021" t="s">
        <v>2673</v>
      </c>
    </row>
    <row r="1022" spans="1:3">
      <c r="A1022" t="s">
        <v>2674</v>
      </c>
      <c r="C1022" s="257" t="s">
        <v>2675</v>
      </c>
    </row>
    <row r="1023" spans="1:3">
      <c r="A1023" t="s">
        <v>2676</v>
      </c>
      <c r="B1023" t="s">
        <v>2677</v>
      </c>
      <c r="C1023" t="s">
        <v>2678</v>
      </c>
    </row>
    <row r="1024" spans="1:3">
      <c r="A1024" t="s">
        <v>2679</v>
      </c>
      <c r="B1024" t="s">
        <v>2680</v>
      </c>
      <c r="C1024" t="s">
        <v>2681</v>
      </c>
    </row>
    <row r="1025" spans="1:3">
      <c r="A1025" t="s">
        <v>2682</v>
      </c>
      <c r="B1025" t="s">
        <v>2683</v>
      </c>
      <c r="C1025" t="s">
        <v>2684</v>
      </c>
    </row>
    <row r="1026" spans="1:3">
      <c r="A1026" t="s">
        <v>2685</v>
      </c>
      <c r="B1026" t="s">
        <v>2686</v>
      </c>
      <c r="C1026" t="s">
        <v>2687</v>
      </c>
    </row>
    <row r="1027" spans="1:3">
      <c r="A1027" t="s">
        <v>2688</v>
      </c>
      <c r="B1027" t="s">
        <v>2689</v>
      </c>
      <c r="C1027" t="s">
        <v>2690</v>
      </c>
    </row>
    <row r="1028" spans="1:3">
      <c r="A1028" t="s">
        <v>2691</v>
      </c>
      <c r="B1028" t="s">
        <v>2692</v>
      </c>
      <c r="C1028" t="s">
        <v>2693</v>
      </c>
    </row>
    <row r="1029" spans="1:3">
      <c r="A1029" t="s">
        <v>2694</v>
      </c>
      <c r="B1029" t="s">
        <v>2695</v>
      </c>
      <c r="C1029" t="s">
        <v>2696</v>
      </c>
    </row>
    <row r="1030" spans="1:3">
      <c r="A1030" t="s">
        <v>2697</v>
      </c>
      <c r="C1030" s="257" t="s">
        <v>2698</v>
      </c>
    </row>
    <row r="1031" spans="1:3">
      <c r="A1031" t="s">
        <v>2699</v>
      </c>
      <c r="C1031" s="257" t="s">
        <v>2700</v>
      </c>
    </row>
    <row r="1032" spans="1:3">
      <c r="A1032" t="s">
        <v>2701</v>
      </c>
      <c r="B1032" t="s">
        <v>2702</v>
      </c>
      <c r="C1032" t="s">
        <v>2703</v>
      </c>
    </row>
    <row r="1033" spans="1:3">
      <c r="A1033" t="s">
        <v>2704</v>
      </c>
      <c r="B1033" t="s">
        <v>2705</v>
      </c>
      <c r="C1033" t="s">
        <v>2706</v>
      </c>
    </row>
    <row r="1034" spans="1:3">
      <c r="A1034" t="s">
        <v>2707</v>
      </c>
      <c r="B1034" t="s">
        <v>2708</v>
      </c>
      <c r="C1034" t="s">
        <v>2709</v>
      </c>
    </row>
    <row r="1035" spans="1:3">
      <c r="A1035" t="s">
        <v>2710</v>
      </c>
      <c r="B1035" t="s">
        <v>2711</v>
      </c>
      <c r="C1035" t="s">
        <v>2712</v>
      </c>
    </row>
    <row r="1036" spans="1:3">
      <c r="A1036" t="s">
        <v>2713</v>
      </c>
      <c r="B1036" t="s">
        <v>2714</v>
      </c>
      <c r="C1036" t="s">
        <v>2715</v>
      </c>
    </row>
    <row r="1037" spans="1:3">
      <c r="A1037" t="s">
        <v>2716</v>
      </c>
      <c r="B1037" t="s">
        <v>2717</v>
      </c>
      <c r="C1037" t="s">
        <v>2718</v>
      </c>
    </row>
    <row r="1038" spans="1:3">
      <c r="A1038" t="s">
        <v>2719</v>
      </c>
      <c r="B1038" t="s">
        <v>2720</v>
      </c>
      <c r="C1038" t="s">
        <v>2721</v>
      </c>
    </row>
    <row r="1039" spans="1:3">
      <c r="A1039" t="s">
        <v>2722</v>
      </c>
      <c r="B1039" t="s">
        <v>2723</v>
      </c>
      <c r="C1039" t="s">
        <v>2724</v>
      </c>
    </row>
    <row r="1040" spans="1:3">
      <c r="A1040" t="s">
        <v>2725</v>
      </c>
      <c r="B1040" t="s">
        <v>2726</v>
      </c>
      <c r="C1040" t="s">
        <v>2727</v>
      </c>
    </row>
    <row r="1041" spans="1:3">
      <c r="A1041" t="s">
        <v>2728</v>
      </c>
      <c r="B1041" t="s">
        <v>2729</v>
      </c>
      <c r="C1041" t="s">
        <v>2730</v>
      </c>
    </row>
    <row r="1042" spans="1:3">
      <c r="A1042" t="s">
        <v>2731</v>
      </c>
      <c r="B1042" t="s">
        <v>2732</v>
      </c>
      <c r="C1042" t="s">
        <v>2733</v>
      </c>
    </row>
    <row r="1043" spans="1:3">
      <c r="A1043" t="s">
        <v>2734</v>
      </c>
      <c r="B1043" t="s">
        <v>2735</v>
      </c>
      <c r="C1043" t="s">
        <v>2736</v>
      </c>
    </row>
    <row r="1044" spans="1:3">
      <c r="A1044" t="s">
        <v>2737</v>
      </c>
      <c r="B1044" t="s">
        <v>2738</v>
      </c>
      <c r="C1044" t="s">
        <v>2739</v>
      </c>
    </row>
    <row r="1045" spans="1:3">
      <c r="A1045" t="s">
        <v>2740</v>
      </c>
      <c r="B1045" t="s">
        <v>2741</v>
      </c>
      <c r="C1045" t="s">
        <v>2742</v>
      </c>
    </row>
    <row r="1046" spans="1:3">
      <c r="A1046" t="s">
        <v>2743</v>
      </c>
      <c r="B1046" t="s">
        <v>2744</v>
      </c>
      <c r="C1046" t="s">
        <v>2745</v>
      </c>
    </row>
    <row r="1047" spans="1:3">
      <c r="A1047" t="s">
        <v>2746</v>
      </c>
      <c r="B1047" t="s">
        <v>2747</v>
      </c>
      <c r="C1047" t="s">
        <v>2748</v>
      </c>
    </row>
    <row r="1048" spans="1:3">
      <c r="A1048" t="s">
        <v>2749</v>
      </c>
      <c r="B1048" t="s">
        <v>2729</v>
      </c>
      <c r="C1048" t="s">
        <v>2750</v>
      </c>
    </row>
    <row r="1049" spans="1:3">
      <c r="A1049" t="s">
        <v>2751</v>
      </c>
      <c r="B1049" t="s">
        <v>2752</v>
      </c>
      <c r="C1049" t="s">
        <v>2753</v>
      </c>
    </row>
    <row r="1050" spans="1:3">
      <c r="A1050" t="s">
        <v>2754</v>
      </c>
      <c r="C1050" s="257" t="s">
        <v>2755</v>
      </c>
    </row>
    <row r="1051" spans="1:3">
      <c r="A1051" t="s">
        <v>2756</v>
      </c>
      <c r="C1051" s="257" t="s">
        <v>2757</v>
      </c>
    </row>
    <row r="1052" spans="1:3">
      <c r="A1052" t="s">
        <v>2758</v>
      </c>
      <c r="C1052" s="257" t="s">
        <v>2759</v>
      </c>
    </row>
    <row r="1053" spans="1:3">
      <c r="A1053" t="s">
        <v>2760</v>
      </c>
      <c r="B1053" t="s">
        <v>2761</v>
      </c>
      <c r="C1053" t="s">
        <v>2762</v>
      </c>
    </row>
    <row r="1054" spans="1:3">
      <c r="A1054" t="s">
        <v>2763</v>
      </c>
      <c r="B1054" t="s">
        <v>2764</v>
      </c>
      <c r="C1054" t="s">
        <v>2765</v>
      </c>
    </row>
    <row r="1055" spans="1:3">
      <c r="A1055" t="s">
        <v>2766</v>
      </c>
      <c r="C1055" s="257" t="s">
        <v>2767</v>
      </c>
    </row>
    <row r="1056" spans="1:3">
      <c r="A1056" t="s">
        <v>2768</v>
      </c>
      <c r="B1056" t="s">
        <v>2769</v>
      </c>
      <c r="C1056" t="s">
        <v>2770</v>
      </c>
    </row>
    <row r="1057" spans="1:3">
      <c r="A1057" t="s">
        <v>2771</v>
      </c>
      <c r="B1057" t="s">
        <v>2772</v>
      </c>
      <c r="C1057" t="s">
        <v>2773</v>
      </c>
    </row>
    <row r="1058" spans="1:3">
      <c r="A1058" t="s">
        <v>2774</v>
      </c>
      <c r="B1058" t="s">
        <v>2775</v>
      </c>
      <c r="C1058" t="s">
        <v>2776</v>
      </c>
    </row>
    <row r="1059" spans="1:3">
      <c r="A1059" t="s">
        <v>2777</v>
      </c>
      <c r="B1059" t="s">
        <v>2778</v>
      </c>
      <c r="C1059" t="s">
        <v>2779</v>
      </c>
    </row>
    <row r="1060" spans="1:3">
      <c r="A1060" t="s">
        <v>2780</v>
      </c>
      <c r="B1060" t="s">
        <v>2781</v>
      </c>
      <c r="C1060" t="s">
        <v>2782</v>
      </c>
    </row>
    <row r="1061" spans="1:3">
      <c r="A1061" t="s">
        <v>2783</v>
      </c>
      <c r="B1061" t="s">
        <v>2784</v>
      </c>
      <c r="C1061" t="s">
        <v>2785</v>
      </c>
    </row>
    <row r="1062" spans="1:3">
      <c r="A1062" t="s">
        <v>2786</v>
      </c>
      <c r="B1062" t="s">
        <v>2787</v>
      </c>
      <c r="C1062" t="s">
        <v>2788</v>
      </c>
    </row>
    <row r="1063" spans="1:3">
      <c r="A1063" t="s">
        <v>2789</v>
      </c>
      <c r="B1063" t="s">
        <v>2790</v>
      </c>
      <c r="C1063" t="s">
        <v>2791</v>
      </c>
    </row>
    <row r="1064" spans="1:3">
      <c r="A1064" t="s">
        <v>2792</v>
      </c>
      <c r="B1064" t="s">
        <v>2793</v>
      </c>
      <c r="C1064" t="s">
        <v>2794</v>
      </c>
    </row>
    <row r="1065" spans="1:3">
      <c r="A1065" t="s">
        <v>2795</v>
      </c>
      <c r="B1065" t="s">
        <v>2796</v>
      </c>
      <c r="C1065" t="s">
        <v>2797</v>
      </c>
    </row>
    <row r="1066" spans="1:3">
      <c r="A1066" t="s">
        <v>2798</v>
      </c>
      <c r="C1066" s="257" t="s">
        <v>2799</v>
      </c>
    </row>
    <row r="1067" spans="1:3">
      <c r="A1067" t="s">
        <v>2800</v>
      </c>
      <c r="C1067" s="257" t="s">
        <v>2801</v>
      </c>
    </row>
    <row r="1068" spans="1:3">
      <c r="A1068" t="s">
        <v>2802</v>
      </c>
      <c r="C1068" s="257" t="s">
        <v>2803</v>
      </c>
    </row>
    <row r="1069" spans="1:3">
      <c r="A1069" t="s">
        <v>2804</v>
      </c>
      <c r="B1069" t="s">
        <v>2805</v>
      </c>
      <c r="C1069" t="s">
        <v>2806</v>
      </c>
    </row>
    <row r="1070" spans="1:3">
      <c r="A1070" t="s">
        <v>2807</v>
      </c>
      <c r="B1070" t="s">
        <v>2808</v>
      </c>
      <c r="C1070" t="s">
        <v>2809</v>
      </c>
    </row>
    <row r="1071" spans="1:3">
      <c r="A1071" t="s">
        <v>2810</v>
      </c>
      <c r="B1071" t="s">
        <v>2811</v>
      </c>
      <c r="C1071" t="s">
        <v>2812</v>
      </c>
    </row>
    <row r="1072" spans="1:3">
      <c r="A1072" t="s">
        <v>2813</v>
      </c>
      <c r="B1072" t="s">
        <v>2814</v>
      </c>
      <c r="C1072" t="s">
        <v>2815</v>
      </c>
    </row>
    <row r="1073" spans="1:3">
      <c r="A1073" t="s">
        <v>2816</v>
      </c>
      <c r="B1073" t="s">
        <v>2817</v>
      </c>
      <c r="C1073" t="s">
        <v>2818</v>
      </c>
    </row>
    <row r="1074" spans="1:3">
      <c r="A1074" t="s">
        <v>2819</v>
      </c>
      <c r="B1074" t="s">
        <v>2820</v>
      </c>
      <c r="C1074" t="s">
        <v>2821</v>
      </c>
    </row>
    <row r="1075" spans="1:3">
      <c r="A1075" t="s">
        <v>2822</v>
      </c>
      <c r="B1075" t="s">
        <v>2823</v>
      </c>
      <c r="C1075" t="s">
        <v>2824</v>
      </c>
    </row>
    <row r="1076" spans="1:3">
      <c r="A1076" t="s">
        <v>2825</v>
      </c>
      <c r="B1076" t="s">
        <v>2826</v>
      </c>
      <c r="C1076" t="s">
        <v>2827</v>
      </c>
    </row>
    <row r="1077" spans="1:3">
      <c r="A1077" t="s">
        <v>2828</v>
      </c>
      <c r="B1077" t="s">
        <v>2829</v>
      </c>
      <c r="C1077" t="s">
        <v>2830</v>
      </c>
    </row>
    <row r="1078" spans="1:3">
      <c r="A1078" t="s">
        <v>2831</v>
      </c>
      <c r="B1078" t="s">
        <v>2832</v>
      </c>
      <c r="C1078" t="s">
        <v>2833</v>
      </c>
    </row>
    <row r="1079" spans="1:3">
      <c r="A1079" t="s">
        <v>2834</v>
      </c>
      <c r="B1079" t="s">
        <v>2835</v>
      </c>
      <c r="C1079" t="s">
        <v>2836</v>
      </c>
    </row>
    <row r="1080" spans="1:3">
      <c r="A1080" t="s">
        <v>2837</v>
      </c>
      <c r="B1080" t="s">
        <v>2838</v>
      </c>
      <c r="C1080" t="s">
        <v>2839</v>
      </c>
    </row>
    <row r="1081" spans="1:3">
      <c r="A1081" t="s">
        <v>2840</v>
      </c>
      <c r="B1081" t="s">
        <v>2841</v>
      </c>
      <c r="C1081" t="s">
        <v>2842</v>
      </c>
    </row>
    <row r="1082" spans="1:3">
      <c r="A1082" t="s">
        <v>2843</v>
      </c>
      <c r="B1082" t="s">
        <v>2844</v>
      </c>
      <c r="C1082" t="s">
        <v>2845</v>
      </c>
    </row>
    <row r="1083" spans="1:3">
      <c r="A1083" t="s">
        <v>2846</v>
      </c>
      <c r="B1083" t="s">
        <v>2847</v>
      </c>
      <c r="C1083" t="s">
        <v>2848</v>
      </c>
    </row>
    <row r="1084" spans="1:3">
      <c r="A1084" t="s">
        <v>2849</v>
      </c>
      <c r="B1084" t="s">
        <v>2850</v>
      </c>
      <c r="C1084" t="s">
        <v>2851</v>
      </c>
    </row>
    <row r="1085" spans="1:3">
      <c r="A1085" t="s">
        <v>2852</v>
      </c>
      <c r="B1085" t="s">
        <v>2853</v>
      </c>
      <c r="C1085" t="s">
        <v>2854</v>
      </c>
    </row>
    <row r="1086" spans="1:3">
      <c r="A1086" t="s">
        <v>2855</v>
      </c>
      <c r="B1086" t="s">
        <v>2856</v>
      </c>
      <c r="C1086" t="s">
        <v>2857</v>
      </c>
    </row>
    <row r="1087" spans="1:3">
      <c r="A1087" t="s">
        <v>2858</v>
      </c>
      <c r="B1087" t="s">
        <v>2859</v>
      </c>
      <c r="C1087" t="s">
        <v>2860</v>
      </c>
    </row>
    <row r="1088" spans="1:3">
      <c r="A1088" t="s">
        <v>2861</v>
      </c>
      <c r="B1088" t="s">
        <v>2862</v>
      </c>
      <c r="C1088" t="s">
        <v>2863</v>
      </c>
    </row>
    <row r="1089" spans="1:3">
      <c r="A1089" t="s">
        <v>2864</v>
      </c>
      <c r="B1089" t="s">
        <v>2865</v>
      </c>
      <c r="C1089" t="s">
        <v>2866</v>
      </c>
    </row>
    <row r="1090" spans="1:3">
      <c r="A1090" t="s">
        <v>2867</v>
      </c>
      <c r="B1090" t="s">
        <v>2868</v>
      </c>
      <c r="C1090" t="s">
        <v>2869</v>
      </c>
    </row>
    <row r="1091" spans="1:3">
      <c r="A1091" t="s">
        <v>2870</v>
      </c>
      <c r="B1091" t="s">
        <v>2871</v>
      </c>
      <c r="C1091" t="s">
        <v>2872</v>
      </c>
    </row>
    <row r="1092" spans="1:3">
      <c r="A1092" t="s">
        <v>2873</v>
      </c>
      <c r="B1092" t="s">
        <v>2874</v>
      </c>
      <c r="C1092" t="s">
        <v>2875</v>
      </c>
    </row>
    <row r="1093" spans="1:3">
      <c r="A1093" t="s">
        <v>2876</v>
      </c>
      <c r="C1093" s="257" t="s">
        <v>2877</v>
      </c>
    </row>
    <row r="1094" spans="1:3">
      <c r="A1094" t="s">
        <v>2878</v>
      </c>
      <c r="C1094" s="257" t="s">
        <v>2879</v>
      </c>
    </row>
    <row r="1095" spans="1:3">
      <c r="A1095" t="s">
        <v>2880</v>
      </c>
      <c r="C1095" s="257" t="s">
        <v>2881</v>
      </c>
    </row>
    <row r="1096" spans="1:3">
      <c r="A1096" t="s">
        <v>2882</v>
      </c>
      <c r="B1096" t="s">
        <v>2856</v>
      </c>
      <c r="C1096" t="s">
        <v>2883</v>
      </c>
    </row>
    <row r="1097" spans="1:3">
      <c r="A1097" t="s">
        <v>2884</v>
      </c>
      <c r="B1097" t="s">
        <v>2859</v>
      </c>
      <c r="C1097" t="s">
        <v>2885</v>
      </c>
    </row>
    <row r="1098" spans="1:3">
      <c r="A1098" t="s">
        <v>2886</v>
      </c>
      <c r="B1098" t="s">
        <v>2862</v>
      </c>
      <c r="C1098" t="s">
        <v>2887</v>
      </c>
    </row>
    <row r="1099" spans="1:3">
      <c r="A1099" t="s">
        <v>2888</v>
      </c>
      <c r="B1099" t="s">
        <v>2889</v>
      </c>
      <c r="C1099" t="s">
        <v>2890</v>
      </c>
    </row>
    <row r="1100" spans="1:3">
      <c r="A1100" t="s">
        <v>2891</v>
      </c>
      <c r="B1100" t="s">
        <v>2892</v>
      </c>
      <c r="C1100" t="s">
        <v>2893</v>
      </c>
    </row>
    <row r="1101" spans="1:3">
      <c r="A1101" t="s">
        <v>2894</v>
      </c>
      <c r="B1101" t="s">
        <v>2895</v>
      </c>
      <c r="C1101" t="s">
        <v>2896</v>
      </c>
    </row>
    <row r="1102" spans="1:3">
      <c r="A1102" t="s">
        <v>2897</v>
      </c>
      <c r="C1102" s="257" t="s">
        <v>2898</v>
      </c>
    </row>
    <row r="1103" spans="1:3">
      <c r="A1103" s="50" t="s">
        <v>2899</v>
      </c>
      <c r="B1103" s="50"/>
      <c r="C1103" s="258" t="s">
        <v>2900</v>
      </c>
    </row>
    <row r="1104" spans="1:3">
      <c r="A1104" s="50" t="s">
        <v>2899</v>
      </c>
      <c r="B1104" s="50"/>
      <c r="C1104" s="258" t="s">
        <v>2901</v>
      </c>
    </row>
    <row r="1105" spans="1:3">
      <c r="A1105" s="50" t="s">
        <v>2899</v>
      </c>
      <c r="B1105" s="50"/>
      <c r="C1105" s="258" t="s">
        <v>2902</v>
      </c>
    </row>
    <row r="1106" spans="1:3">
      <c r="A1106" s="50" t="s">
        <v>2899</v>
      </c>
      <c r="B1106" s="50"/>
      <c r="C1106" s="258" t="s">
        <v>2903</v>
      </c>
    </row>
    <row r="1107" spans="1:3">
      <c r="A1107" s="50" t="s">
        <v>2899</v>
      </c>
      <c r="B1107" s="50"/>
      <c r="C1107" s="258" t="s">
        <v>2904</v>
      </c>
    </row>
    <row r="1108" spans="1:3">
      <c r="A1108" s="50" t="s">
        <v>2899</v>
      </c>
      <c r="B1108" s="50"/>
      <c r="C1108" s="258" t="s">
        <v>2905</v>
      </c>
    </row>
    <row r="1109" spans="1:3">
      <c r="A1109" s="50" t="s">
        <v>2899</v>
      </c>
      <c r="B1109" s="50"/>
      <c r="C1109" s="258" t="s">
        <v>2906</v>
      </c>
    </row>
    <row r="1110" spans="1:3">
      <c r="A1110" s="50" t="s">
        <v>2899</v>
      </c>
      <c r="B1110" s="50"/>
      <c r="C1110" s="258" t="s">
        <v>2907</v>
      </c>
    </row>
    <row r="1111" spans="1:3">
      <c r="A1111" s="50" t="s">
        <v>2899</v>
      </c>
      <c r="B1111" s="50"/>
      <c r="C1111" s="258" t="s">
        <v>2908</v>
      </c>
    </row>
    <row r="1112" spans="1:3">
      <c r="A1112" t="s">
        <v>2899</v>
      </c>
      <c r="C1112" s="257" t="s">
        <v>2909</v>
      </c>
    </row>
    <row r="1113" spans="1:3">
      <c r="A1113" s="50" t="s">
        <v>2899</v>
      </c>
      <c r="B1113" s="50"/>
      <c r="C1113" s="258" t="s">
        <v>2910</v>
      </c>
    </row>
    <row r="1114" spans="1:3">
      <c r="A1114" s="50" t="s">
        <v>2899</v>
      </c>
      <c r="B1114" s="50"/>
      <c r="C1114" s="258" t="s">
        <v>2911</v>
      </c>
    </row>
    <row r="1115" spans="1:3">
      <c r="A1115" s="50" t="s">
        <v>2899</v>
      </c>
      <c r="B1115" s="50"/>
      <c r="C1115" s="258" t="s">
        <v>2912</v>
      </c>
    </row>
    <row r="1116" spans="1:3">
      <c r="A1116" s="50" t="s">
        <v>2899</v>
      </c>
      <c r="B1116" s="50"/>
      <c r="C1116" s="258" t="s">
        <v>2913</v>
      </c>
    </row>
    <row r="1117" spans="1:3">
      <c r="A1117" s="50" t="s">
        <v>2899</v>
      </c>
      <c r="B1117" s="50"/>
      <c r="C1117" s="258" t="s">
        <v>2914</v>
      </c>
    </row>
    <row r="1118" spans="1:3">
      <c r="A1118" s="50" t="s">
        <v>2899</v>
      </c>
      <c r="B1118" s="50"/>
      <c r="C1118" s="258" t="s">
        <v>2915</v>
      </c>
    </row>
    <row r="1119" spans="1:3">
      <c r="A1119" s="50" t="s">
        <v>2899</v>
      </c>
      <c r="B1119" s="50"/>
      <c r="C1119" s="258" t="s">
        <v>2916</v>
      </c>
    </row>
    <row r="1120" spans="1:3">
      <c r="A1120" t="s">
        <v>2917</v>
      </c>
      <c r="C1120" s="257" t="s">
        <v>2918</v>
      </c>
    </row>
    <row r="1121" spans="1:3">
      <c r="A1121" t="s">
        <v>2919</v>
      </c>
      <c r="C1121" s="257" t="s">
        <v>2920</v>
      </c>
    </row>
    <row r="1122" spans="1:3">
      <c r="A1122" t="s">
        <v>2921</v>
      </c>
      <c r="B1122" t="s">
        <v>2922</v>
      </c>
      <c r="C1122" t="s">
        <v>2923</v>
      </c>
    </row>
    <row r="1123" spans="1:3">
      <c r="A1123" t="s">
        <v>2924</v>
      </c>
      <c r="B1123" t="s">
        <v>2925</v>
      </c>
      <c r="C1123" t="s">
        <v>2926</v>
      </c>
    </row>
    <row r="1124" spans="1:3">
      <c r="A1124" t="s">
        <v>2927</v>
      </c>
      <c r="B1124" t="s">
        <v>2928</v>
      </c>
      <c r="C1124" t="s">
        <v>2929</v>
      </c>
    </row>
    <row r="1125" spans="1:3">
      <c r="A1125" t="s">
        <v>2930</v>
      </c>
      <c r="B1125" t="s">
        <v>2931</v>
      </c>
      <c r="C1125" t="s">
        <v>2932</v>
      </c>
    </row>
    <row r="1126" spans="1:3">
      <c r="A1126" t="s">
        <v>2933</v>
      </c>
      <c r="B1126" t="s">
        <v>2934</v>
      </c>
      <c r="C1126" t="s">
        <v>2935</v>
      </c>
    </row>
    <row r="1127" spans="1:3">
      <c r="A1127" t="s">
        <v>2936</v>
      </c>
      <c r="B1127" t="s">
        <v>2937</v>
      </c>
      <c r="C1127" t="s">
        <v>2938</v>
      </c>
    </row>
    <row r="1128" spans="1:3">
      <c r="A1128" t="s">
        <v>2939</v>
      </c>
      <c r="B1128" t="s">
        <v>2940</v>
      </c>
      <c r="C1128" t="s">
        <v>2941</v>
      </c>
    </row>
    <row r="1129" spans="1:3">
      <c r="A1129" t="s">
        <v>2942</v>
      </c>
      <c r="B1129" t="s">
        <v>2943</v>
      </c>
      <c r="C1129" t="s">
        <v>2944</v>
      </c>
    </row>
    <row r="1130" spans="1:3">
      <c r="A1130" t="s">
        <v>2945</v>
      </c>
      <c r="B1130" t="s">
        <v>2946</v>
      </c>
      <c r="C1130" t="s">
        <v>2947</v>
      </c>
    </row>
    <row r="1131" spans="1:3">
      <c r="A1131" t="s">
        <v>2948</v>
      </c>
      <c r="B1131" t="s">
        <v>2949</v>
      </c>
      <c r="C1131" t="s">
        <v>2950</v>
      </c>
    </row>
    <row r="1132" spans="1:3">
      <c r="A1132" t="s">
        <v>2951</v>
      </c>
      <c r="B1132" t="s">
        <v>2952</v>
      </c>
      <c r="C1132" t="s">
        <v>2953</v>
      </c>
    </row>
    <row r="1133" spans="1:3">
      <c r="A1133" t="s">
        <v>2954</v>
      </c>
      <c r="B1133" t="s">
        <v>2955</v>
      </c>
      <c r="C1133" t="s">
        <v>2956</v>
      </c>
    </row>
    <row r="1134" spans="1:3">
      <c r="A1134" t="s">
        <v>2957</v>
      </c>
      <c r="B1134" t="s">
        <v>2958</v>
      </c>
      <c r="C1134" t="s">
        <v>2959</v>
      </c>
    </row>
    <row r="1135" spans="1:3">
      <c r="A1135" t="s">
        <v>2960</v>
      </c>
      <c r="C1135" s="257" t="s">
        <v>2961</v>
      </c>
    </row>
    <row r="1136" spans="1:3">
      <c r="A1136" t="s">
        <v>2962</v>
      </c>
      <c r="C1136" s="257" t="s">
        <v>2963</v>
      </c>
    </row>
    <row r="1137" spans="1:3">
      <c r="A1137" t="s">
        <v>2964</v>
      </c>
      <c r="C1137" s="257" t="s">
        <v>2965</v>
      </c>
    </row>
    <row r="1138" spans="1:3">
      <c r="A1138" t="s">
        <v>2966</v>
      </c>
      <c r="C1138" s="257" t="s">
        <v>2967</v>
      </c>
    </row>
    <row r="1139" spans="1:3">
      <c r="A1139" t="s">
        <v>2968</v>
      </c>
      <c r="C1139" s="257" t="s">
        <v>2969</v>
      </c>
    </row>
    <row r="1140" spans="1:3">
      <c r="A1140" t="s">
        <v>2970</v>
      </c>
      <c r="C1140" s="257" t="s">
        <v>2971</v>
      </c>
    </row>
    <row r="1141" spans="1:3">
      <c r="A1141" t="s">
        <v>2972</v>
      </c>
      <c r="C1141" s="257" t="s">
        <v>2973</v>
      </c>
    </row>
    <row r="1142" spans="1:3">
      <c r="A1142" t="s">
        <v>2974</v>
      </c>
      <c r="C1142" s="257" t="s">
        <v>2975</v>
      </c>
    </row>
    <row r="1143" spans="1:3">
      <c r="A1143" t="s">
        <v>2976</v>
      </c>
      <c r="C1143" s="257" t="s">
        <v>2977</v>
      </c>
    </row>
    <row r="1144" spans="1:3">
      <c r="A1144" t="s">
        <v>2978</v>
      </c>
      <c r="C1144" s="257" t="s">
        <v>2979</v>
      </c>
    </row>
    <row r="1145" spans="1:3">
      <c r="A1145" t="s">
        <v>2980</v>
      </c>
      <c r="C1145" s="257" t="s">
        <v>2981</v>
      </c>
    </row>
    <row r="1146" spans="1:3">
      <c r="A1146" s="50" t="s">
        <v>2982</v>
      </c>
      <c r="B1146" s="50"/>
      <c r="C1146" s="258" t="s">
        <v>2983</v>
      </c>
    </row>
    <row r="1147" spans="1:3">
      <c r="A1147" s="50" t="s">
        <v>2982</v>
      </c>
      <c r="B1147" s="50"/>
      <c r="C1147" s="258" t="s">
        <v>2984</v>
      </c>
    </row>
    <row r="1148" spans="1:3">
      <c r="A1148" s="50" t="s">
        <v>2982</v>
      </c>
      <c r="B1148" s="50"/>
      <c r="C1148" s="258" t="s">
        <v>2985</v>
      </c>
    </row>
    <row r="1149" spans="1:3">
      <c r="A1149" s="50" t="s">
        <v>2982</v>
      </c>
      <c r="B1149" s="50"/>
      <c r="C1149" s="258" t="s">
        <v>2986</v>
      </c>
    </row>
    <row r="1150" spans="1:3">
      <c r="A1150" s="50" t="s">
        <v>2982</v>
      </c>
      <c r="B1150" s="50"/>
      <c r="C1150" s="258" t="s">
        <v>2987</v>
      </c>
    </row>
    <row r="1151" spans="1:3">
      <c r="A1151" s="50" t="s">
        <v>2982</v>
      </c>
      <c r="B1151" s="50"/>
      <c r="C1151" s="258" t="s">
        <v>2988</v>
      </c>
    </row>
    <row r="1152" spans="1:3">
      <c r="A1152" s="50" t="s">
        <v>2982</v>
      </c>
      <c r="B1152" s="50"/>
      <c r="C1152" s="258" t="s">
        <v>2989</v>
      </c>
    </row>
    <row r="1153" spans="1:3">
      <c r="A1153" s="50" t="s">
        <v>2982</v>
      </c>
      <c r="B1153" s="50"/>
      <c r="C1153" s="258" t="s">
        <v>2990</v>
      </c>
    </row>
    <row r="1154" spans="1:3">
      <c r="A1154" s="50" t="s">
        <v>2982</v>
      </c>
      <c r="B1154" s="50"/>
      <c r="C1154" s="258" t="s">
        <v>2991</v>
      </c>
    </row>
    <row r="1155" spans="1:3">
      <c r="A1155" s="50" t="s">
        <v>2982</v>
      </c>
      <c r="B1155" s="50"/>
      <c r="C1155" s="258" t="s">
        <v>2992</v>
      </c>
    </row>
    <row r="1156" spans="1:3">
      <c r="A1156" s="50" t="s">
        <v>2982</v>
      </c>
      <c r="B1156" s="50"/>
      <c r="C1156" s="258" t="s">
        <v>2993</v>
      </c>
    </row>
    <row r="1157" spans="1:3">
      <c r="A1157" s="50" t="s">
        <v>2982</v>
      </c>
      <c r="B1157" s="50"/>
      <c r="C1157" s="258" t="s">
        <v>2994</v>
      </c>
    </row>
    <row r="1158" spans="1:3">
      <c r="A1158" s="50" t="s">
        <v>2982</v>
      </c>
      <c r="B1158" s="50"/>
      <c r="C1158" s="258" t="s">
        <v>2995</v>
      </c>
    </row>
    <row r="1159" spans="1:3">
      <c r="A1159" s="50" t="s">
        <v>2982</v>
      </c>
      <c r="B1159" s="50"/>
      <c r="C1159" s="258" t="s">
        <v>2996</v>
      </c>
    </row>
    <row r="1160" spans="1:3">
      <c r="A1160" s="50" t="s">
        <v>2982</v>
      </c>
      <c r="B1160" s="50"/>
      <c r="C1160" s="258" t="s">
        <v>2997</v>
      </c>
    </row>
    <row r="1161" spans="1:3">
      <c r="A1161" s="50" t="s">
        <v>2982</v>
      </c>
      <c r="B1161" s="50"/>
      <c r="C1161" s="258" t="s">
        <v>2998</v>
      </c>
    </row>
    <row r="1162" spans="1:3">
      <c r="A1162" t="s">
        <v>2999</v>
      </c>
      <c r="B1162" t="s">
        <v>3000</v>
      </c>
      <c r="C1162" t="s">
        <v>3001</v>
      </c>
    </row>
    <row r="1163" spans="1:3">
      <c r="A1163" t="s">
        <v>3002</v>
      </c>
      <c r="B1163" t="s">
        <v>3003</v>
      </c>
      <c r="C1163" t="s">
        <v>3004</v>
      </c>
    </row>
    <row r="1164" spans="1:3">
      <c r="A1164" t="s">
        <v>3005</v>
      </c>
      <c r="B1164" t="s">
        <v>3006</v>
      </c>
      <c r="C1164" t="s">
        <v>3007</v>
      </c>
    </row>
    <row r="1165" spans="1:3">
      <c r="A1165" t="s">
        <v>3008</v>
      </c>
      <c r="B1165" t="s">
        <v>3009</v>
      </c>
      <c r="C1165" t="s">
        <v>3010</v>
      </c>
    </row>
    <row r="1166" spans="1:3">
      <c r="A1166" t="s">
        <v>3011</v>
      </c>
      <c r="B1166" t="s">
        <v>3012</v>
      </c>
      <c r="C1166" t="s">
        <v>3013</v>
      </c>
    </row>
    <row r="1167" spans="1:3">
      <c r="A1167" t="s">
        <v>3014</v>
      </c>
      <c r="B1167" t="s">
        <v>3015</v>
      </c>
      <c r="C1167" t="s">
        <v>3016</v>
      </c>
    </row>
    <row r="1168" spans="1:3">
      <c r="A1168" t="s">
        <v>3017</v>
      </c>
      <c r="C1168" s="257" t="s">
        <v>3018</v>
      </c>
    </row>
    <row r="1169" spans="1:3">
      <c r="A1169" t="s">
        <v>3019</v>
      </c>
      <c r="C1169" s="257" t="s">
        <v>3020</v>
      </c>
    </row>
    <row r="1170" spans="1:3">
      <c r="A1170" t="s">
        <v>3021</v>
      </c>
      <c r="B1170" t="s">
        <v>3022</v>
      </c>
      <c r="C1170" t="s">
        <v>3023</v>
      </c>
    </row>
    <row r="1171" spans="1:3">
      <c r="A1171" t="s">
        <v>3024</v>
      </c>
      <c r="B1171" t="s">
        <v>3025</v>
      </c>
      <c r="C1171" t="s">
        <v>3026</v>
      </c>
    </row>
    <row r="1172" spans="1:3">
      <c r="A1172" t="s">
        <v>3027</v>
      </c>
      <c r="B1172" t="s">
        <v>3028</v>
      </c>
      <c r="C1172" t="s">
        <v>3029</v>
      </c>
    </row>
    <row r="1173" spans="1:3">
      <c r="A1173" t="s">
        <v>3030</v>
      </c>
      <c r="C1173" s="257" t="s">
        <v>3031</v>
      </c>
    </row>
    <row r="1174" spans="1:3">
      <c r="A1174" t="s">
        <v>3032</v>
      </c>
      <c r="C1174" s="257" t="s">
        <v>3033</v>
      </c>
    </row>
    <row r="1175" spans="1:3">
      <c r="A1175" t="s">
        <v>3034</v>
      </c>
      <c r="C1175" s="257" t="s">
        <v>3035</v>
      </c>
    </row>
    <row r="1176" spans="1:3">
      <c r="A1176" t="s">
        <v>3036</v>
      </c>
      <c r="B1176" t="s">
        <v>3037</v>
      </c>
      <c r="C1176" t="s">
        <v>3038</v>
      </c>
    </row>
    <row r="1177" spans="1:3">
      <c r="A1177" t="s">
        <v>3039</v>
      </c>
      <c r="B1177" t="s">
        <v>3040</v>
      </c>
      <c r="C1177" t="s">
        <v>3041</v>
      </c>
    </row>
    <row r="1178" spans="1:3">
      <c r="A1178" t="s">
        <v>3042</v>
      </c>
      <c r="B1178" t="s">
        <v>3043</v>
      </c>
      <c r="C1178" t="s">
        <v>3044</v>
      </c>
    </row>
    <row r="1179" spans="1:3">
      <c r="A1179" t="s">
        <v>3045</v>
      </c>
      <c r="B1179" t="s">
        <v>3046</v>
      </c>
      <c r="C1179" t="s">
        <v>3047</v>
      </c>
    </row>
    <row r="1180" spans="1:3">
      <c r="A1180" t="s">
        <v>3048</v>
      </c>
      <c r="B1180" t="s">
        <v>3049</v>
      </c>
      <c r="C1180" t="s">
        <v>3050</v>
      </c>
    </row>
    <row r="1181" spans="1:3">
      <c r="A1181" t="s">
        <v>3051</v>
      </c>
      <c r="B1181" t="s">
        <v>3052</v>
      </c>
      <c r="C1181" t="s">
        <v>3053</v>
      </c>
    </row>
    <row r="1182" spans="1:3">
      <c r="A1182" t="s">
        <v>3054</v>
      </c>
      <c r="B1182" t="s">
        <v>3055</v>
      </c>
      <c r="C1182" t="s">
        <v>3056</v>
      </c>
    </row>
    <row r="1183" spans="1:3">
      <c r="A1183" t="s">
        <v>3057</v>
      </c>
      <c r="B1183" t="s">
        <v>3058</v>
      </c>
      <c r="C1183" t="s">
        <v>3059</v>
      </c>
    </row>
    <row r="1184" spans="1:3">
      <c r="A1184" t="s">
        <v>3060</v>
      </c>
      <c r="B1184" t="s">
        <v>3061</v>
      </c>
      <c r="C1184" t="s">
        <v>3062</v>
      </c>
    </row>
    <row r="1185" spans="1:3">
      <c r="A1185" t="s">
        <v>3063</v>
      </c>
      <c r="B1185" t="s">
        <v>3064</v>
      </c>
      <c r="C1185" t="s">
        <v>3065</v>
      </c>
    </row>
    <row r="1186" spans="1:3">
      <c r="A1186" t="s">
        <v>3066</v>
      </c>
      <c r="B1186" t="s">
        <v>3067</v>
      </c>
      <c r="C1186" t="s">
        <v>3068</v>
      </c>
    </row>
    <row r="1187" spans="1:3">
      <c r="A1187" t="s">
        <v>3069</v>
      </c>
      <c r="B1187" t="s">
        <v>3070</v>
      </c>
      <c r="C1187" t="s">
        <v>3071</v>
      </c>
    </row>
    <row r="1188" spans="1:3">
      <c r="A1188" t="s">
        <v>3072</v>
      </c>
      <c r="B1188" t="s">
        <v>3073</v>
      </c>
      <c r="C1188" t="s">
        <v>3074</v>
      </c>
    </row>
    <row r="1189" spans="1:3">
      <c r="A1189" t="s">
        <v>3075</v>
      </c>
      <c r="B1189" t="s">
        <v>3076</v>
      </c>
      <c r="C1189" t="s">
        <v>3077</v>
      </c>
    </row>
    <row r="1190" spans="1:3">
      <c r="A1190" t="s">
        <v>3078</v>
      </c>
      <c r="B1190" t="s">
        <v>3079</v>
      </c>
      <c r="C1190" t="s">
        <v>3080</v>
      </c>
    </row>
    <row r="1191" spans="1:3">
      <c r="A1191" t="s">
        <v>3081</v>
      </c>
      <c r="B1191" t="s">
        <v>3082</v>
      </c>
      <c r="C1191" t="s">
        <v>3083</v>
      </c>
    </row>
    <row r="1192" spans="1:3">
      <c r="A1192" t="s">
        <v>3084</v>
      </c>
      <c r="B1192" t="s">
        <v>3085</v>
      </c>
      <c r="C1192" t="s">
        <v>3086</v>
      </c>
    </row>
    <row r="1193" spans="1:3">
      <c r="A1193" t="s">
        <v>3087</v>
      </c>
      <c r="B1193" t="s">
        <v>3088</v>
      </c>
      <c r="C1193" t="s">
        <v>3089</v>
      </c>
    </row>
    <row r="1194" spans="1:3">
      <c r="A1194" t="s">
        <v>3090</v>
      </c>
      <c r="B1194" t="s">
        <v>3091</v>
      </c>
      <c r="C1194" t="s">
        <v>3092</v>
      </c>
    </row>
    <row r="1195" spans="1:3">
      <c r="A1195" t="s">
        <v>3093</v>
      </c>
      <c r="B1195" t="s">
        <v>3094</v>
      </c>
      <c r="C1195" t="s">
        <v>3095</v>
      </c>
    </row>
    <row r="1196" spans="1:3">
      <c r="A1196" t="s">
        <v>3096</v>
      </c>
      <c r="B1196" t="s">
        <v>3097</v>
      </c>
      <c r="C1196" t="s">
        <v>3098</v>
      </c>
    </row>
    <row r="1197" spans="1:3">
      <c r="A1197" t="s">
        <v>3099</v>
      </c>
      <c r="B1197" t="s">
        <v>3100</v>
      </c>
      <c r="C1197" t="s">
        <v>3101</v>
      </c>
    </row>
    <row r="1198" spans="1:3">
      <c r="A1198" t="s">
        <v>3102</v>
      </c>
      <c r="B1198" t="s">
        <v>3103</v>
      </c>
      <c r="C1198" t="s">
        <v>3104</v>
      </c>
    </row>
    <row r="1199" spans="1:3">
      <c r="A1199" t="s">
        <v>3105</v>
      </c>
      <c r="B1199" t="s">
        <v>3106</v>
      </c>
      <c r="C1199" t="s">
        <v>3107</v>
      </c>
    </row>
    <row r="1200" spans="1:3">
      <c r="A1200" t="s">
        <v>3108</v>
      </c>
      <c r="B1200" t="s">
        <v>3109</v>
      </c>
      <c r="C1200" t="s">
        <v>3110</v>
      </c>
    </row>
    <row r="1201" spans="1:3">
      <c r="A1201" t="s">
        <v>3111</v>
      </c>
      <c r="B1201" t="s">
        <v>3112</v>
      </c>
      <c r="C1201" t="s">
        <v>3113</v>
      </c>
    </row>
    <row r="1202" spans="1:3">
      <c r="A1202" t="s">
        <v>3114</v>
      </c>
      <c r="B1202" t="s">
        <v>3115</v>
      </c>
      <c r="C1202" t="s">
        <v>3116</v>
      </c>
    </row>
    <row r="1203" spans="1:3">
      <c r="A1203" t="s">
        <v>3117</v>
      </c>
      <c r="B1203" t="s">
        <v>3118</v>
      </c>
      <c r="C1203" t="s">
        <v>3119</v>
      </c>
    </row>
    <row r="1204" spans="1:3">
      <c r="A1204" t="s">
        <v>3120</v>
      </c>
      <c r="B1204" t="s">
        <v>3121</v>
      </c>
      <c r="C1204" t="s">
        <v>3122</v>
      </c>
    </row>
    <row r="1205" spans="1:3">
      <c r="A1205" t="s">
        <v>3123</v>
      </c>
      <c r="B1205" t="s">
        <v>3124</v>
      </c>
      <c r="C1205" t="s">
        <v>3125</v>
      </c>
    </row>
    <row r="1206" spans="1:3">
      <c r="A1206" t="s">
        <v>3126</v>
      </c>
      <c r="B1206" t="s">
        <v>3127</v>
      </c>
      <c r="C1206" t="s">
        <v>3128</v>
      </c>
    </row>
    <row r="1207" spans="1:3">
      <c r="A1207" t="s">
        <v>3129</v>
      </c>
      <c r="C1207" s="257" t="s">
        <v>3130</v>
      </c>
    </row>
    <row r="1208" spans="1:3">
      <c r="A1208" t="s">
        <v>3131</v>
      </c>
      <c r="C1208" s="257" t="s">
        <v>3132</v>
      </c>
    </row>
    <row r="1209" spans="1:3">
      <c r="A1209" t="s">
        <v>3133</v>
      </c>
      <c r="C1209" s="257" t="s">
        <v>3134</v>
      </c>
    </row>
    <row r="1210" spans="1:3">
      <c r="A1210" t="s">
        <v>3135</v>
      </c>
      <c r="C1210" s="257" t="s">
        <v>3136</v>
      </c>
    </row>
    <row r="1211" spans="1:3">
      <c r="A1211" t="s">
        <v>3137</v>
      </c>
      <c r="C1211" s="257" t="s">
        <v>3138</v>
      </c>
    </row>
    <row r="1212" spans="1:3">
      <c r="A1212" t="s">
        <v>3139</v>
      </c>
      <c r="C1212" s="257" t="s">
        <v>3140</v>
      </c>
    </row>
    <row r="1213" spans="1:3">
      <c r="A1213" t="s">
        <v>3141</v>
      </c>
      <c r="C1213" s="257" t="s">
        <v>3101</v>
      </c>
    </row>
    <row r="1214" spans="1:3">
      <c r="A1214" t="s">
        <v>3142</v>
      </c>
      <c r="C1214" s="257" t="s">
        <v>3107</v>
      </c>
    </row>
    <row r="1215" spans="1:3">
      <c r="A1215" t="s">
        <v>3143</v>
      </c>
      <c r="C1215" s="257" t="s">
        <v>3144</v>
      </c>
    </row>
    <row r="1216" spans="1:3">
      <c r="A1216" t="s">
        <v>3145</v>
      </c>
      <c r="C1216" s="257" t="s">
        <v>3146</v>
      </c>
    </row>
    <row r="1217" spans="1:3">
      <c r="A1217" t="s">
        <v>3147</v>
      </c>
      <c r="C1217" s="257" t="s">
        <v>3148</v>
      </c>
    </row>
    <row r="1218" spans="1:3">
      <c r="A1218" t="s">
        <v>3149</v>
      </c>
      <c r="C1218" s="257" t="s">
        <v>3150</v>
      </c>
    </row>
    <row r="1219" spans="1:3">
      <c r="A1219" t="s">
        <v>3151</v>
      </c>
      <c r="C1219" s="257" t="s">
        <v>3152</v>
      </c>
    </row>
    <row r="1220" spans="1:3">
      <c r="A1220" t="s">
        <v>3153</v>
      </c>
      <c r="C1220" s="257" t="s">
        <v>3154</v>
      </c>
    </row>
    <row r="1221" spans="1:3">
      <c r="A1221" t="s">
        <v>3155</v>
      </c>
      <c r="C1221" s="257" t="s">
        <v>3156</v>
      </c>
    </row>
    <row r="1222" spans="1:3">
      <c r="A1222" t="s">
        <v>3157</v>
      </c>
      <c r="C1222" s="257" t="s">
        <v>3158</v>
      </c>
    </row>
    <row r="1223" spans="1:3">
      <c r="A1223" t="s">
        <v>3159</v>
      </c>
      <c r="C1223" s="257" t="s">
        <v>3160</v>
      </c>
    </row>
    <row r="1224" spans="1:3">
      <c r="A1224" t="s">
        <v>3161</v>
      </c>
      <c r="C1224" s="257" t="s">
        <v>3162</v>
      </c>
    </row>
    <row r="1225" spans="1:3">
      <c r="A1225" t="s">
        <v>3163</v>
      </c>
      <c r="B1225" t="s">
        <v>3164</v>
      </c>
      <c r="C1225" t="s">
        <v>3165</v>
      </c>
    </row>
    <row r="1226" spans="1:3">
      <c r="A1226" t="s">
        <v>3166</v>
      </c>
      <c r="B1226" t="s">
        <v>3167</v>
      </c>
      <c r="C1226" t="s">
        <v>3168</v>
      </c>
    </row>
    <row r="1227" spans="1:3">
      <c r="A1227" t="s">
        <v>3169</v>
      </c>
      <c r="B1227" t="s">
        <v>3170</v>
      </c>
      <c r="C1227" t="s">
        <v>3171</v>
      </c>
    </row>
    <row r="1228" spans="1:3">
      <c r="A1228" t="s">
        <v>3172</v>
      </c>
      <c r="B1228" t="s">
        <v>3173</v>
      </c>
      <c r="C1228" t="s">
        <v>3174</v>
      </c>
    </row>
    <row r="1229" spans="1:3">
      <c r="A1229" t="s">
        <v>3175</v>
      </c>
      <c r="B1229" t="s">
        <v>3176</v>
      </c>
      <c r="C1229" t="s">
        <v>3177</v>
      </c>
    </row>
    <row r="1230" spans="1:3">
      <c r="A1230" t="s">
        <v>3178</v>
      </c>
      <c r="B1230" t="s">
        <v>3179</v>
      </c>
      <c r="C1230" t="s">
        <v>3180</v>
      </c>
    </row>
    <row r="1231" spans="1:3">
      <c r="A1231" t="s">
        <v>3181</v>
      </c>
      <c r="B1231" t="s">
        <v>3182</v>
      </c>
      <c r="C1231" t="s">
        <v>3183</v>
      </c>
    </row>
    <row r="1232" spans="1:3">
      <c r="A1232" t="s">
        <v>3184</v>
      </c>
      <c r="B1232" t="s">
        <v>3185</v>
      </c>
      <c r="C1232" t="s">
        <v>3186</v>
      </c>
    </row>
    <row r="1233" spans="1:3">
      <c r="A1233" t="s">
        <v>3187</v>
      </c>
      <c r="B1233" t="s">
        <v>3188</v>
      </c>
      <c r="C1233" t="s">
        <v>3189</v>
      </c>
    </row>
    <row r="1234" spans="1:3">
      <c r="A1234" t="s">
        <v>3190</v>
      </c>
      <c r="B1234" t="s">
        <v>3191</v>
      </c>
      <c r="C1234" t="s">
        <v>3192</v>
      </c>
    </row>
    <row r="1235" spans="1:3">
      <c r="A1235" t="s">
        <v>3193</v>
      </c>
      <c r="B1235" t="s">
        <v>3194</v>
      </c>
      <c r="C1235" t="s">
        <v>3195</v>
      </c>
    </row>
    <row r="1236" spans="1:3">
      <c r="A1236" t="s">
        <v>3196</v>
      </c>
      <c r="B1236" t="s">
        <v>3197</v>
      </c>
      <c r="C1236" t="s">
        <v>3198</v>
      </c>
    </row>
    <row r="1237" spans="1:3">
      <c r="A1237" t="s">
        <v>3199</v>
      </c>
      <c r="B1237" t="s">
        <v>3200</v>
      </c>
      <c r="C1237" t="s">
        <v>3201</v>
      </c>
    </row>
    <row r="1238" spans="1:3">
      <c r="A1238" t="s">
        <v>3202</v>
      </c>
      <c r="C1238" s="257" t="s">
        <v>3203</v>
      </c>
    </row>
    <row r="1239" spans="1:3">
      <c r="A1239" t="s">
        <v>3204</v>
      </c>
      <c r="C1239" s="257" t="s">
        <v>3205</v>
      </c>
    </row>
    <row r="1240" spans="1:3">
      <c r="A1240" t="s">
        <v>3206</v>
      </c>
      <c r="C1240" s="257" t="s">
        <v>3207</v>
      </c>
    </row>
    <row r="1241" spans="1:3">
      <c r="A1241" t="s">
        <v>3208</v>
      </c>
      <c r="C1241" s="257" t="s">
        <v>3209</v>
      </c>
    </row>
    <row r="1242" spans="1:3">
      <c r="A1242" t="s">
        <v>3210</v>
      </c>
      <c r="B1242" t="s">
        <v>3211</v>
      </c>
      <c r="C1242" t="s">
        <v>3212</v>
      </c>
    </row>
    <row r="1243" spans="1:3">
      <c r="A1243" t="s">
        <v>3213</v>
      </c>
      <c r="B1243" t="s">
        <v>3214</v>
      </c>
      <c r="C1243" t="s">
        <v>3215</v>
      </c>
    </row>
    <row r="1244" spans="1:3">
      <c r="A1244" t="s">
        <v>3216</v>
      </c>
      <c r="B1244" t="s">
        <v>3217</v>
      </c>
      <c r="C1244" t="s">
        <v>3218</v>
      </c>
    </row>
    <row r="1245" spans="1:3">
      <c r="A1245" t="s">
        <v>3219</v>
      </c>
      <c r="B1245" t="s">
        <v>3220</v>
      </c>
      <c r="C1245" t="s">
        <v>3221</v>
      </c>
    </row>
    <row r="1246" spans="1:3">
      <c r="A1246" t="s">
        <v>3222</v>
      </c>
      <c r="B1246" t="s">
        <v>3223</v>
      </c>
      <c r="C1246" t="s">
        <v>3224</v>
      </c>
    </row>
    <row r="1247" spans="1:3">
      <c r="A1247" t="s">
        <v>3225</v>
      </c>
      <c r="B1247" t="s">
        <v>3226</v>
      </c>
      <c r="C1247" t="s">
        <v>3227</v>
      </c>
    </row>
    <row r="1248" spans="1:3">
      <c r="A1248" t="s">
        <v>3228</v>
      </c>
      <c r="B1248" t="s">
        <v>3229</v>
      </c>
      <c r="C1248" t="s">
        <v>3230</v>
      </c>
    </row>
    <row r="1249" spans="1:3">
      <c r="A1249" t="s">
        <v>3231</v>
      </c>
      <c r="B1249" t="s">
        <v>3232</v>
      </c>
      <c r="C1249" t="s">
        <v>3233</v>
      </c>
    </row>
    <row r="1250" spans="1:3">
      <c r="A1250" t="s">
        <v>3234</v>
      </c>
      <c r="B1250" t="s">
        <v>3235</v>
      </c>
      <c r="C1250" t="s">
        <v>3236</v>
      </c>
    </row>
    <row r="1251" spans="1:3">
      <c r="A1251" t="s">
        <v>3237</v>
      </c>
      <c r="B1251" t="s">
        <v>3238</v>
      </c>
      <c r="C1251" t="s">
        <v>3239</v>
      </c>
    </row>
    <row r="1252" spans="1:3">
      <c r="A1252" t="s">
        <v>3240</v>
      </c>
      <c r="B1252" t="s">
        <v>3241</v>
      </c>
      <c r="C1252" t="s">
        <v>3242</v>
      </c>
    </row>
    <row r="1253" spans="1:3">
      <c r="A1253" t="s">
        <v>3243</v>
      </c>
      <c r="B1253" t="s">
        <v>3244</v>
      </c>
      <c r="C1253" t="s">
        <v>3245</v>
      </c>
    </row>
    <row r="1254" spans="1:3">
      <c r="A1254" t="s">
        <v>3246</v>
      </c>
      <c r="B1254" t="s">
        <v>3247</v>
      </c>
      <c r="C1254" t="s">
        <v>3248</v>
      </c>
    </row>
    <row r="1255" spans="1:3">
      <c r="A1255" t="s">
        <v>3249</v>
      </c>
      <c r="B1255" t="s">
        <v>3250</v>
      </c>
      <c r="C1255" t="s">
        <v>3251</v>
      </c>
    </row>
    <row r="1256" spans="1:3">
      <c r="A1256" t="s">
        <v>3252</v>
      </c>
      <c r="B1256" t="s">
        <v>3253</v>
      </c>
      <c r="C1256" t="s">
        <v>3254</v>
      </c>
    </row>
    <row r="1257" spans="1:3">
      <c r="A1257" t="s">
        <v>3255</v>
      </c>
      <c r="B1257" t="s">
        <v>3256</v>
      </c>
      <c r="C1257" t="s">
        <v>3257</v>
      </c>
    </row>
    <row r="1258" spans="1:3">
      <c r="A1258" t="s">
        <v>3258</v>
      </c>
      <c r="B1258" t="s">
        <v>3259</v>
      </c>
      <c r="C1258" t="s">
        <v>3260</v>
      </c>
    </row>
    <row r="1259" spans="1:3">
      <c r="A1259" t="s">
        <v>3261</v>
      </c>
      <c r="B1259" t="s">
        <v>3262</v>
      </c>
      <c r="C1259" t="s">
        <v>3263</v>
      </c>
    </row>
    <row r="1260" spans="1:3">
      <c r="A1260" t="s">
        <v>3264</v>
      </c>
      <c r="B1260" t="s">
        <v>3265</v>
      </c>
      <c r="C1260" t="s">
        <v>3266</v>
      </c>
    </row>
    <row r="1261" spans="1:3">
      <c r="A1261" t="s">
        <v>3267</v>
      </c>
      <c r="B1261" t="s">
        <v>3268</v>
      </c>
      <c r="C1261" t="s">
        <v>3269</v>
      </c>
    </row>
    <row r="1262" spans="1:3">
      <c r="A1262" t="s">
        <v>3270</v>
      </c>
      <c r="B1262" t="s">
        <v>3271</v>
      </c>
      <c r="C1262" t="s">
        <v>3272</v>
      </c>
    </row>
    <row r="1263" spans="1:3">
      <c r="A1263" t="s">
        <v>3273</v>
      </c>
      <c r="B1263" t="s">
        <v>3274</v>
      </c>
      <c r="C1263" t="s">
        <v>3275</v>
      </c>
    </row>
    <row r="1264" spans="1:3">
      <c r="A1264" t="s">
        <v>3276</v>
      </c>
      <c r="B1264" t="s">
        <v>3277</v>
      </c>
      <c r="C1264" t="s">
        <v>3278</v>
      </c>
    </row>
    <row r="1265" spans="1:3">
      <c r="A1265" t="s">
        <v>3279</v>
      </c>
      <c r="C1265" s="257" t="s">
        <v>3280</v>
      </c>
    </row>
    <row r="1266" spans="1:3">
      <c r="A1266" t="s">
        <v>3281</v>
      </c>
      <c r="B1266" t="s">
        <v>3282</v>
      </c>
      <c r="C1266" t="s">
        <v>3283</v>
      </c>
    </row>
    <row r="1267" spans="1:3">
      <c r="A1267" t="s">
        <v>3284</v>
      </c>
      <c r="B1267" t="s">
        <v>3285</v>
      </c>
      <c r="C1267" t="s">
        <v>3286</v>
      </c>
    </row>
    <row r="1268" spans="1:3">
      <c r="A1268" t="s">
        <v>3287</v>
      </c>
      <c r="B1268" t="s">
        <v>3288</v>
      </c>
      <c r="C1268" t="s">
        <v>3289</v>
      </c>
    </row>
    <row r="1269" spans="1:3">
      <c r="A1269" t="s">
        <v>3290</v>
      </c>
      <c r="B1269" t="s">
        <v>3291</v>
      </c>
      <c r="C1269" t="s">
        <v>3292</v>
      </c>
    </row>
    <row r="1270" spans="1:3">
      <c r="A1270" t="s">
        <v>3293</v>
      </c>
      <c r="B1270" t="s">
        <v>3294</v>
      </c>
      <c r="C1270" t="s">
        <v>3295</v>
      </c>
    </row>
    <row r="1271" spans="1:3">
      <c r="A1271" t="s">
        <v>3296</v>
      </c>
      <c r="B1271" t="s">
        <v>3297</v>
      </c>
      <c r="C1271" t="s">
        <v>3298</v>
      </c>
    </row>
    <row r="1272" spans="1:3">
      <c r="A1272" t="s">
        <v>3299</v>
      </c>
      <c r="B1272" t="s">
        <v>3300</v>
      </c>
      <c r="C1272" t="s">
        <v>3301</v>
      </c>
    </row>
    <row r="1273" spans="1:3">
      <c r="A1273" t="s">
        <v>3302</v>
      </c>
      <c r="B1273" t="s">
        <v>3303</v>
      </c>
      <c r="C1273" t="s">
        <v>3304</v>
      </c>
    </row>
    <row r="1274" spans="1:3">
      <c r="A1274" t="s">
        <v>3305</v>
      </c>
      <c r="B1274" t="s">
        <v>3306</v>
      </c>
      <c r="C1274" t="s">
        <v>3307</v>
      </c>
    </row>
    <row r="1275" spans="1:3">
      <c r="A1275" t="s">
        <v>3308</v>
      </c>
      <c r="B1275" t="s">
        <v>3309</v>
      </c>
      <c r="C1275" t="s">
        <v>3310</v>
      </c>
    </row>
    <row r="1276" spans="1:3">
      <c r="A1276" t="s">
        <v>3311</v>
      </c>
      <c r="B1276" t="s">
        <v>3312</v>
      </c>
      <c r="C1276" t="s">
        <v>3313</v>
      </c>
    </row>
    <row r="1277" spans="1:3">
      <c r="A1277" t="s">
        <v>3314</v>
      </c>
      <c r="B1277" t="s">
        <v>3315</v>
      </c>
      <c r="C1277" t="s">
        <v>3316</v>
      </c>
    </row>
    <row r="1278" spans="1:3">
      <c r="A1278" t="s">
        <v>3317</v>
      </c>
      <c r="B1278" t="s">
        <v>3318</v>
      </c>
      <c r="C1278" t="s">
        <v>3319</v>
      </c>
    </row>
    <row r="1279" spans="1:3">
      <c r="A1279" t="s">
        <v>3320</v>
      </c>
      <c r="B1279" t="s">
        <v>3321</v>
      </c>
      <c r="C1279" t="s">
        <v>3322</v>
      </c>
    </row>
    <row r="1280" spans="1:3">
      <c r="A1280" t="s">
        <v>3323</v>
      </c>
      <c r="B1280" t="s">
        <v>3324</v>
      </c>
      <c r="C1280" t="s">
        <v>3325</v>
      </c>
    </row>
    <row r="1281" spans="1:3">
      <c r="A1281" t="s">
        <v>3326</v>
      </c>
      <c r="B1281" t="s">
        <v>3327</v>
      </c>
      <c r="C1281" t="s">
        <v>3328</v>
      </c>
    </row>
    <row r="1282" spans="1:3">
      <c r="A1282" t="s">
        <v>3329</v>
      </c>
      <c r="B1282" t="s">
        <v>3330</v>
      </c>
      <c r="C1282" t="s">
        <v>3331</v>
      </c>
    </row>
    <row r="1283" spans="1:3">
      <c r="A1283" t="s">
        <v>3332</v>
      </c>
      <c r="B1283" t="s">
        <v>3333</v>
      </c>
      <c r="C1283" t="s">
        <v>3334</v>
      </c>
    </row>
    <row r="1284" spans="1:3">
      <c r="A1284" t="s">
        <v>3335</v>
      </c>
      <c r="B1284" t="s">
        <v>3336</v>
      </c>
      <c r="C1284" t="s">
        <v>3337</v>
      </c>
    </row>
    <row r="1285" spans="1:3">
      <c r="A1285" t="s">
        <v>3338</v>
      </c>
      <c r="B1285" t="s">
        <v>3339</v>
      </c>
      <c r="C1285" t="s">
        <v>3340</v>
      </c>
    </row>
    <row r="1286" spans="1:3">
      <c r="A1286" t="s">
        <v>3341</v>
      </c>
      <c r="B1286" t="s">
        <v>3342</v>
      </c>
      <c r="C1286" t="s">
        <v>3343</v>
      </c>
    </row>
    <row r="1287" spans="1:3">
      <c r="A1287" t="s">
        <v>3344</v>
      </c>
      <c r="C1287" s="257" t="s">
        <v>3345</v>
      </c>
    </row>
    <row r="1288" spans="1:3">
      <c r="A1288" t="s">
        <v>3346</v>
      </c>
      <c r="C1288" s="257" t="s">
        <v>3347</v>
      </c>
    </row>
    <row r="1289" spans="1:3">
      <c r="A1289" t="s">
        <v>3348</v>
      </c>
      <c r="C1289" s="257" t="s">
        <v>3349</v>
      </c>
    </row>
    <row r="1290" spans="1:3">
      <c r="A1290" t="s">
        <v>3350</v>
      </c>
      <c r="C1290" s="257" t="s">
        <v>3351</v>
      </c>
    </row>
    <row r="1291" spans="1:3">
      <c r="A1291" t="s">
        <v>3352</v>
      </c>
      <c r="C1291" s="257" t="s">
        <v>3353</v>
      </c>
    </row>
    <row r="1292" spans="1:3">
      <c r="A1292" t="s">
        <v>3354</v>
      </c>
      <c r="C1292" s="257" t="s">
        <v>3355</v>
      </c>
    </row>
    <row r="1293" spans="1:3">
      <c r="A1293" t="s">
        <v>3356</v>
      </c>
      <c r="C1293" s="257" t="s">
        <v>3357</v>
      </c>
    </row>
    <row r="1294" spans="1:3">
      <c r="A1294" t="s">
        <v>3358</v>
      </c>
      <c r="C1294" s="257" t="s">
        <v>3359</v>
      </c>
    </row>
    <row r="1295" spans="1:3">
      <c r="A1295" t="s">
        <v>3360</v>
      </c>
      <c r="C1295" s="257" t="s">
        <v>3361</v>
      </c>
    </row>
    <row r="1296" spans="1:3">
      <c r="A1296" t="s">
        <v>3362</v>
      </c>
      <c r="C1296" s="257" t="s">
        <v>3363</v>
      </c>
    </row>
    <row r="1297" spans="1:3">
      <c r="A1297" t="s">
        <v>3364</v>
      </c>
      <c r="C1297" s="257" t="s">
        <v>3365</v>
      </c>
    </row>
    <row r="1298" spans="1:3">
      <c r="A1298" t="s">
        <v>3366</v>
      </c>
      <c r="C1298" s="257" t="s">
        <v>3367</v>
      </c>
    </row>
    <row r="1299" spans="1:3">
      <c r="A1299" t="s">
        <v>3368</v>
      </c>
      <c r="C1299" s="257" t="s">
        <v>3369</v>
      </c>
    </row>
    <row r="1300" spans="1:3">
      <c r="A1300" t="s">
        <v>3370</v>
      </c>
      <c r="C1300" s="257" t="s">
        <v>3371</v>
      </c>
    </row>
    <row r="1301" spans="1:3">
      <c r="A1301" t="s">
        <v>3372</v>
      </c>
      <c r="C1301" s="257" t="s">
        <v>3373</v>
      </c>
    </row>
    <row r="1302" spans="1:3">
      <c r="A1302" t="s">
        <v>3374</v>
      </c>
      <c r="C1302" s="257" t="s">
        <v>3375</v>
      </c>
    </row>
    <row r="1303" spans="1:3">
      <c r="A1303" t="s">
        <v>3376</v>
      </c>
      <c r="C1303" s="257" t="s">
        <v>3377</v>
      </c>
    </row>
    <row r="1304" spans="1:3">
      <c r="A1304" t="s">
        <v>3378</v>
      </c>
      <c r="C1304" s="257" t="s">
        <v>3379</v>
      </c>
    </row>
    <row r="1305" spans="1:3">
      <c r="A1305" t="s">
        <v>3380</v>
      </c>
      <c r="C1305" s="257" t="s">
        <v>3381</v>
      </c>
    </row>
    <row r="1306" spans="1:3">
      <c r="A1306" t="s">
        <v>3382</v>
      </c>
      <c r="C1306" s="257" t="s">
        <v>3383</v>
      </c>
    </row>
    <row r="1307" spans="1:3">
      <c r="A1307" t="s">
        <v>3384</v>
      </c>
      <c r="C1307" s="257" t="s">
        <v>3385</v>
      </c>
    </row>
    <row r="1308" spans="1:3">
      <c r="A1308" t="s">
        <v>3386</v>
      </c>
      <c r="C1308" s="257" t="s">
        <v>3387</v>
      </c>
    </row>
    <row r="1309" spans="1:3">
      <c r="A1309" t="s">
        <v>3388</v>
      </c>
      <c r="C1309" s="257" t="s">
        <v>3389</v>
      </c>
    </row>
    <row r="1310" spans="1:3">
      <c r="A1310" t="s">
        <v>3390</v>
      </c>
      <c r="C1310" s="257" t="s">
        <v>3391</v>
      </c>
    </row>
    <row r="1311" spans="1:3">
      <c r="A1311" t="s">
        <v>3392</v>
      </c>
      <c r="C1311" s="257" t="s">
        <v>3393</v>
      </c>
    </row>
    <row r="1312" spans="1:3">
      <c r="A1312" t="s">
        <v>3394</v>
      </c>
      <c r="C1312" s="257" t="s">
        <v>3395</v>
      </c>
    </row>
    <row r="1313" spans="1:3">
      <c r="A1313" t="s">
        <v>3396</v>
      </c>
      <c r="C1313" s="257" t="s">
        <v>3397</v>
      </c>
    </row>
    <row r="1314" spans="1:3">
      <c r="A1314" t="s">
        <v>3398</v>
      </c>
      <c r="C1314" s="257" t="s">
        <v>3399</v>
      </c>
    </row>
    <row r="1315" spans="1:3">
      <c r="A1315" t="s">
        <v>3400</v>
      </c>
      <c r="C1315" s="257" t="s">
        <v>3351</v>
      </c>
    </row>
    <row r="1316" spans="1:3">
      <c r="A1316" t="s">
        <v>3401</v>
      </c>
      <c r="C1316" s="257" t="s">
        <v>3402</v>
      </c>
    </row>
    <row r="1317" spans="1:3">
      <c r="A1317" t="s">
        <v>3403</v>
      </c>
      <c r="C1317" s="257" t="s">
        <v>3404</v>
      </c>
    </row>
    <row r="1318" spans="1:3">
      <c r="A1318" t="s">
        <v>3405</v>
      </c>
      <c r="C1318" s="257" t="s">
        <v>3406</v>
      </c>
    </row>
    <row r="1319" spans="1:3">
      <c r="A1319" t="s">
        <v>3407</v>
      </c>
      <c r="C1319" s="257" t="s">
        <v>3408</v>
      </c>
    </row>
    <row r="1320" spans="1:3">
      <c r="A1320" t="s">
        <v>3409</v>
      </c>
      <c r="C1320" s="257" t="s">
        <v>3410</v>
      </c>
    </row>
    <row r="1321" spans="1:3">
      <c r="A1321" t="s">
        <v>3411</v>
      </c>
      <c r="C1321" s="257" t="s">
        <v>3412</v>
      </c>
    </row>
    <row r="1322" spans="1:3">
      <c r="A1322" t="s">
        <v>3413</v>
      </c>
      <c r="C1322" s="257" t="s">
        <v>3414</v>
      </c>
    </row>
    <row r="1323" spans="1:3">
      <c r="A1323" t="s">
        <v>3415</v>
      </c>
      <c r="B1323" t="s">
        <v>3416</v>
      </c>
      <c r="C1323" t="s">
        <v>3417</v>
      </c>
    </row>
    <row r="1324" spans="1:3">
      <c r="A1324" t="s">
        <v>3418</v>
      </c>
      <c r="B1324" t="s">
        <v>3419</v>
      </c>
      <c r="C1324" t="s">
        <v>3420</v>
      </c>
    </row>
    <row r="1325" spans="1:3">
      <c r="A1325" t="s">
        <v>3421</v>
      </c>
      <c r="C1325" s="257" t="s">
        <v>3422</v>
      </c>
    </row>
    <row r="1326" spans="1:3">
      <c r="A1326" t="s">
        <v>3423</v>
      </c>
      <c r="B1326" t="s">
        <v>3424</v>
      </c>
      <c r="C1326" t="s">
        <v>3425</v>
      </c>
    </row>
    <row r="1327" spans="1:3">
      <c r="A1327" t="s">
        <v>3426</v>
      </c>
      <c r="B1327" t="s">
        <v>3427</v>
      </c>
      <c r="C1327" t="s">
        <v>3428</v>
      </c>
    </row>
    <row r="1328" spans="1:3">
      <c r="A1328" t="s">
        <v>3429</v>
      </c>
      <c r="B1328" t="s">
        <v>3430</v>
      </c>
      <c r="C1328" t="s">
        <v>3431</v>
      </c>
    </row>
    <row r="1329" spans="1:3">
      <c r="A1329" t="s">
        <v>3432</v>
      </c>
      <c r="B1329" t="s">
        <v>3433</v>
      </c>
      <c r="C1329" t="s">
        <v>3434</v>
      </c>
    </row>
    <row r="1330" spans="1:3">
      <c r="A1330" t="s">
        <v>3435</v>
      </c>
      <c r="B1330" t="s">
        <v>3436</v>
      </c>
      <c r="C1330" t="s">
        <v>3437</v>
      </c>
    </row>
    <row r="1331" spans="1:3">
      <c r="A1331" t="s">
        <v>3438</v>
      </c>
      <c r="B1331" t="s">
        <v>3439</v>
      </c>
      <c r="C1331" t="s">
        <v>3440</v>
      </c>
    </row>
    <row r="1332" spans="1:3">
      <c r="A1332" t="s">
        <v>3441</v>
      </c>
      <c r="B1332" t="s">
        <v>3442</v>
      </c>
      <c r="C1332" t="s">
        <v>3443</v>
      </c>
    </row>
    <row r="1333" spans="1:3">
      <c r="A1333" t="s">
        <v>3444</v>
      </c>
      <c r="B1333" t="s">
        <v>3445</v>
      </c>
      <c r="C1333" t="s">
        <v>3446</v>
      </c>
    </row>
    <row r="1334" spans="1:3">
      <c r="A1334" t="s">
        <v>3447</v>
      </c>
      <c r="B1334" t="s">
        <v>3448</v>
      </c>
      <c r="C1334" t="s">
        <v>3449</v>
      </c>
    </row>
    <row r="1335" spans="1:3">
      <c r="A1335" t="s">
        <v>3450</v>
      </c>
      <c r="B1335" t="s">
        <v>3451</v>
      </c>
      <c r="C1335" t="s">
        <v>3452</v>
      </c>
    </row>
    <row r="1336" spans="1:3">
      <c r="A1336" t="s">
        <v>3453</v>
      </c>
      <c r="B1336" t="s">
        <v>3454</v>
      </c>
      <c r="C1336" t="s">
        <v>3455</v>
      </c>
    </row>
    <row r="1337" spans="1:3">
      <c r="A1337" t="s">
        <v>3456</v>
      </c>
      <c r="B1337" t="s">
        <v>3457</v>
      </c>
      <c r="C1337" t="s">
        <v>3458</v>
      </c>
    </row>
    <row r="1338" spans="1:3">
      <c r="A1338" t="s">
        <v>3459</v>
      </c>
      <c r="B1338" t="s">
        <v>3460</v>
      </c>
      <c r="C1338" t="s">
        <v>3461</v>
      </c>
    </row>
    <row r="1339" spans="1:3">
      <c r="A1339" t="s">
        <v>3462</v>
      </c>
      <c r="B1339" t="s">
        <v>3463</v>
      </c>
      <c r="C1339" t="s">
        <v>3464</v>
      </c>
    </row>
    <row r="1340" spans="1:3">
      <c r="A1340" t="s">
        <v>3465</v>
      </c>
      <c r="B1340" t="s">
        <v>3466</v>
      </c>
      <c r="C1340" t="s">
        <v>3467</v>
      </c>
    </row>
    <row r="1341" spans="1:3">
      <c r="A1341" t="s">
        <v>3468</v>
      </c>
      <c r="B1341" t="s">
        <v>3469</v>
      </c>
      <c r="C1341" t="s">
        <v>3470</v>
      </c>
    </row>
    <row r="1342" spans="1:3">
      <c r="A1342" t="s">
        <v>3471</v>
      </c>
      <c r="B1342" t="s">
        <v>3472</v>
      </c>
      <c r="C1342" t="s">
        <v>3473</v>
      </c>
    </row>
    <row r="1343" spans="1:3">
      <c r="A1343" t="s">
        <v>3474</v>
      </c>
      <c r="B1343" t="s">
        <v>3475</v>
      </c>
      <c r="C1343" t="s">
        <v>3476</v>
      </c>
    </row>
    <row r="1344" spans="1:3">
      <c r="A1344" t="s">
        <v>3477</v>
      </c>
      <c r="B1344" t="s">
        <v>3478</v>
      </c>
      <c r="C1344" t="s">
        <v>3479</v>
      </c>
    </row>
    <row r="1345" spans="1:3">
      <c r="A1345" t="s">
        <v>3480</v>
      </c>
      <c r="B1345" t="s">
        <v>3481</v>
      </c>
      <c r="C1345" t="s">
        <v>3482</v>
      </c>
    </row>
    <row r="1346" spans="1:3">
      <c r="A1346" t="s">
        <v>3483</v>
      </c>
      <c r="B1346" t="s">
        <v>3484</v>
      </c>
      <c r="C1346" t="s">
        <v>3485</v>
      </c>
    </row>
    <row r="1347" spans="1:3">
      <c r="A1347" t="s">
        <v>3486</v>
      </c>
      <c r="B1347" t="s">
        <v>3487</v>
      </c>
      <c r="C1347" t="s">
        <v>3488</v>
      </c>
    </row>
    <row r="1348" spans="1:3">
      <c r="A1348" t="s">
        <v>3489</v>
      </c>
      <c r="B1348" t="s">
        <v>3490</v>
      </c>
      <c r="C1348" t="s">
        <v>3491</v>
      </c>
    </row>
    <row r="1349" spans="1:3">
      <c r="A1349" t="s">
        <v>3492</v>
      </c>
      <c r="B1349" t="s">
        <v>3493</v>
      </c>
      <c r="C1349" t="s">
        <v>3494</v>
      </c>
    </row>
    <row r="1350" spans="1:3">
      <c r="A1350" t="s">
        <v>3495</v>
      </c>
      <c r="B1350" t="s">
        <v>3496</v>
      </c>
      <c r="C1350" t="s">
        <v>3497</v>
      </c>
    </row>
    <row r="1351" spans="1:3">
      <c r="A1351" t="s">
        <v>3498</v>
      </c>
      <c r="B1351" t="s">
        <v>3499</v>
      </c>
      <c r="C1351" t="s">
        <v>3500</v>
      </c>
    </row>
    <row r="1352" spans="1:3">
      <c r="A1352" t="s">
        <v>3501</v>
      </c>
      <c r="B1352" t="s">
        <v>3502</v>
      </c>
      <c r="C1352" t="s">
        <v>3503</v>
      </c>
    </row>
    <row r="1353" spans="1:3">
      <c r="A1353" t="s">
        <v>3504</v>
      </c>
      <c r="B1353" t="s">
        <v>3505</v>
      </c>
      <c r="C1353" t="s">
        <v>3506</v>
      </c>
    </row>
    <row r="1354" spans="1:3">
      <c r="A1354" t="s">
        <v>3507</v>
      </c>
      <c r="B1354" t="s">
        <v>3508</v>
      </c>
      <c r="C1354" t="s">
        <v>3509</v>
      </c>
    </row>
    <row r="1355" spans="1:3">
      <c r="A1355" t="s">
        <v>3510</v>
      </c>
      <c r="B1355" t="s">
        <v>3511</v>
      </c>
      <c r="C1355" t="s">
        <v>3512</v>
      </c>
    </row>
    <row r="1356" spans="1:3">
      <c r="A1356" t="s">
        <v>3513</v>
      </c>
      <c r="C1356" s="257" t="s">
        <v>3514</v>
      </c>
    </row>
    <row r="1357" spans="1:3">
      <c r="A1357" t="s">
        <v>3515</v>
      </c>
      <c r="C1357" s="257" t="s">
        <v>3516</v>
      </c>
    </row>
    <row r="1358" spans="1:3">
      <c r="A1358" t="s">
        <v>3517</v>
      </c>
      <c r="C1358" s="257" t="s">
        <v>3518</v>
      </c>
    </row>
    <row r="1359" spans="1:3">
      <c r="A1359" t="s">
        <v>3519</v>
      </c>
      <c r="C1359" s="257" t="s">
        <v>3520</v>
      </c>
    </row>
    <row r="1360" spans="1:3">
      <c r="A1360" t="s">
        <v>3521</v>
      </c>
      <c r="C1360" s="257" t="s">
        <v>3522</v>
      </c>
    </row>
    <row r="1361" spans="1:3">
      <c r="A1361" t="s">
        <v>3523</v>
      </c>
      <c r="B1361" t="s">
        <v>3524</v>
      </c>
      <c r="C1361" t="s">
        <v>3525</v>
      </c>
    </row>
    <row r="1362" spans="1:3">
      <c r="A1362" t="s">
        <v>3526</v>
      </c>
      <c r="C1362" s="257" t="s">
        <v>3527</v>
      </c>
    </row>
    <row r="1363" spans="1:3">
      <c r="A1363" t="s">
        <v>3528</v>
      </c>
      <c r="C1363" s="257" t="s">
        <v>3529</v>
      </c>
    </row>
    <row r="1364" spans="1:3">
      <c r="A1364" t="s">
        <v>3530</v>
      </c>
      <c r="C1364" s="257" t="s">
        <v>3531</v>
      </c>
    </row>
    <row r="1365" spans="1:3">
      <c r="A1365" t="s">
        <v>3532</v>
      </c>
      <c r="C1365" s="257" t="s">
        <v>3533</v>
      </c>
    </row>
    <row r="1366" spans="1:3">
      <c r="A1366" t="s">
        <v>3534</v>
      </c>
      <c r="C1366" s="257" t="s">
        <v>3535</v>
      </c>
    </row>
    <row r="1367" spans="1:3">
      <c r="A1367" t="s">
        <v>3536</v>
      </c>
      <c r="C1367" s="257" t="s">
        <v>3537</v>
      </c>
    </row>
    <row r="1368" spans="1:3">
      <c r="A1368" t="s">
        <v>3538</v>
      </c>
      <c r="C1368" s="257" t="s">
        <v>3539</v>
      </c>
    </row>
    <row r="1369" spans="1:3">
      <c r="A1369" t="s">
        <v>3540</v>
      </c>
      <c r="C1369" s="257" t="s">
        <v>3541</v>
      </c>
    </row>
    <row r="1370" spans="1:3">
      <c r="A1370" t="s">
        <v>3542</v>
      </c>
      <c r="C1370" s="257" t="s">
        <v>3543</v>
      </c>
    </row>
    <row r="1371" spans="1:3">
      <c r="A1371" t="s">
        <v>3544</v>
      </c>
      <c r="C1371" s="257" t="s">
        <v>3545</v>
      </c>
    </row>
    <row r="1372" spans="1:3">
      <c r="A1372" t="s">
        <v>3546</v>
      </c>
      <c r="C1372" s="257" t="s">
        <v>3547</v>
      </c>
    </row>
    <row r="1373" spans="1:3">
      <c r="A1373" t="s">
        <v>3548</v>
      </c>
      <c r="C1373" s="257" t="s">
        <v>3549</v>
      </c>
    </row>
    <row r="1374" spans="1:3">
      <c r="A1374" t="s">
        <v>3550</v>
      </c>
      <c r="C1374" s="257" t="s">
        <v>3551</v>
      </c>
    </row>
    <row r="1375" spans="1:3">
      <c r="A1375" t="s">
        <v>3552</v>
      </c>
      <c r="C1375" s="257" t="s">
        <v>3553</v>
      </c>
    </row>
    <row r="1376" spans="1:3">
      <c r="A1376" s="50" t="s">
        <v>3554</v>
      </c>
      <c r="B1376" s="50"/>
      <c r="C1376" s="258" t="s">
        <v>3555</v>
      </c>
    </row>
    <row r="1377" spans="1:3">
      <c r="A1377" t="s">
        <v>3556</v>
      </c>
      <c r="C1377" s="257" t="s">
        <v>3557</v>
      </c>
    </row>
    <row r="1378" spans="1:3">
      <c r="A1378" t="s">
        <v>3558</v>
      </c>
      <c r="C1378" s="257" t="s">
        <v>3559</v>
      </c>
    </row>
    <row r="1379" spans="1:3">
      <c r="A1379" t="s">
        <v>3560</v>
      </c>
      <c r="C1379" s="257" t="s">
        <v>3561</v>
      </c>
    </row>
    <row r="1380" spans="1:3">
      <c r="A1380" t="s">
        <v>3562</v>
      </c>
      <c r="B1380" t="s">
        <v>3563</v>
      </c>
      <c r="C1380" t="s">
        <v>3564</v>
      </c>
    </row>
    <row r="1381" spans="1:3">
      <c r="A1381" t="s">
        <v>3565</v>
      </c>
      <c r="B1381" t="s">
        <v>3566</v>
      </c>
      <c r="C1381" t="s">
        <v>3567</v>
      </c>
    </row>
    <row r="1382" spans="1:3">
      <c r="A1382" t="s">
        <v>3568</v>
      </c>
      <c r="B1382" t="s">
        <v>3569</v>
      </c>
      <c r="C1382" t="s">
        <v>3570</v>
      </c>
    </row>
    <row r="1383" spans="1:3">
      <c r="A1383" t="s">
        <v>3571</v>
      </c>
      <c r="B1383" t="s">
        <v>3572</v>
      </c>
      <c r="C1383" t="s">
        <v>3573</v>
      </c>
    </row>
    <row r="1384" spans="1:3">
      <c r="A1384" t="s">
        <v>3574</v>
      </c>
      <c r="B1384" t="s">
        <v>3575</v>
      </c>
      <c r="C1384" t="s">
        <v>3576</v>
      </c>
    </row>
    <row r="1385" spans="1:3">
      <c r="A1385" t="s">
        <v>3577</v>
      </c>
      <c r="B1385" t="s">
        <v>3578</v>
      </c>
      <c r="C1385" t="s">
        <v>3579</v>
      </c>
    </row>
    <row r="1386" spans="1:3">
      <c r="A1386" t="s">
        <v>3580</v>
      </c>
      <c r="B1386" t="s">
        <v>3581</v>
      </c>
      <c r="C1386" t="s">
        <v>3582</v>
      </c>
    </row>
    <row r="1387" spans="1:3">
      <c r="A1387" t="s">
        <v>3583</v>
      </c>
      <c r="B1387" t="s">
        <v>3584</v>
      </c>
      <c r="C1387" t="s">
        <v>3585</v>
      </c>
    </row>
    <row r="1388" spans="1:3">
      <c r="A1388" t="s">
        <v>3586</v>
      </c>
      <c r="B1388" t="s">
        <v>3587</v>
      </c>
      <c r="C1388" t="s">
        <v>3588</v>
      </c>
    </row>
    <row r="1389" spans="1:3">
      <c r="A1389" t="s">
        <v>3589</v>
      </c>
      <c r="B1389" t="s">
        <v>3590</v>
      </c>
      <c r="C1389" t="s">
        <v>3591</v>
      </c>
    </row>
    <row r="1390" spans="1:3">
      <c r="A1390" t="s">
        <v>3592</v>
      </c>
      <c r="B1390" t="s">
        <v>3593</v>
      </c>
      <c r="C1390" t="s">
        <v>3594</v>
      </c>
    </row>
    <row r="1391" spans="1:3">
      <c r="A1391" t="s">
        <v>3595</v>
      </c>
      <c r="B1391" t="s">
        <v>3596</v>
      </c>
      <c r="C1391" t="s">
        <v>3597</v>
      </c>
    </row>
    <row r="1392" spans="1:3">
      <c r="A1392" t="s">
        <v>3598</v>
      </c>
      <c r="B1392" t="s">
        <v>3599</v>
      </c>
      <c r="C1392" t="s">
        <v>3600</v>
      </c>
    </row>
    <row r="1393" spans="1:3">
      <c r="A1393" t="s">
        <v>3601</v>
      </c>
      <c r="B1393" t="s">
        <v>3602</v>
      </c>
      <c r="C1393" t="s">
        <v>3603</v>
      </c>
    </row>
    <row r="1394" spans="1:3">
      <c r="A1394" t="s">
        <v>3604</v>
      </c>
      <c r="B1394" t="s">
        <v>3605</v>
      </c>
      <c r="C1394" t="s">
        <v>3606</v>
      </c>
    </row>
    <row r="1395" spans="1:3">
      <c r="A1395" t="s">
        <v>3607</v>
      </c>
      <c r="B1395" t="s">
        <v>3608</v>
      </c>
      <c r="C1395" t="s">
        <v>3609</v>
      </c>
    </row>
    <row r="1396" spans="1:3">
      <c r="A1396" t="s">
        <v>3610</v>
      </c>
      <c r="B1396" t="s">
        <v>3611</v>
      </c>
      <c r="C1396" t="s">
        <v>3612</v>
      </c>
    </row>
    <row r="1397" spans="1:3">
      <c r="A1397" t="s">
        <v>3613</v>
      </c>
      <c r="B1397" t="s">
        <v>3614</v>
      </c>
      <c r="C1397" t="s">
        <v>3615</v>
      </c>
    </row>
    <row r="1398" spans="1:3">
      <c r="A1398" t="s">
        <v>3616</v>
      </c>
      <c r="B1398" t="s">
        <v>3617</v>
      </c>
      <c r="C1398" t="s">
        <v>3618</v>
      </c>
    </row>
    <row r="1399" spans="1:3">
      <c r="A1399" t="s">
        <v>3619</v>
      </c>
      <c r="B1399" t="s">
        <v>3620</v>
      </c>
      <c r="C1399" t="s">
        <v>3621</v>
      </c>
    </row>
    <row r="1400" spans="1:3">
      <c r="A1400" t="s">
        <v>3622</v>
      </c>
      <c r="B1400" t="s">
        <v>3623</v>
      </c>
      <c r="C1400" t="s">
        <v>3624</v>
      </c>
    </row>
    <row r="1401" spans="1:3">
      <c r="A1401" t="s">
        <v>3625</v>
      </c>
      <c r="B1401" t="s">
        <v>3626</v>
      </c>
      <c r="C1401" t="s">
        <v>3627</v>
      </c>
    </row>
    <row r="1402" spans="1:3">
      <c r="A1402" t="s">
        <v>3628</v>
      </c>
      <c r="B1402" t="s">
        <v>3629</v>
      </c>
      <c r="C1402" t="s">
        <v>3630</v>
      </c>
    </row>
    <row r="1403" spans="1:3">
      <c r="A1403" t="s">
        <v>3631</v>
      </c>
      <c r="B1403" t="s">
        <v>3632</v>
      </c>
      <c r="C1403" t="s">
        <v>3633</v>
      </c>
    </row>
    <row r="1404" spans="1:3">
      <c r="A1404" t="s">
        <v>3634</v>
      </c>
      <c r="B1404" t="s">
        <v>3635</v>
      </c>
      <c r="C1404" t="s">
        <v>3636</v>
      </c>
    </row>
    <row r="1405" spans="1:3">
      <c r="A1405" t="s">
        <v>3637</v>
      </c>
      <c r="B1405" t="s">
        <v>3638</v>
      </c>
      <c r="C1405" t="s">
        <v>3639</v>
      </c>
    </row>
    <row r="1406" spans="1:3">
      <c r="A1406" t="s">
        <v>3640</v>
      </c>
      <c r="B1406" t="s">
        <v>3641</v>
      </c>
      <c r="C1406" t="s">
        <v>3642</v>
      </c>
    </row>
    <row r="1407" spans="1:3">
      <c r="A1407" t="s">
        <v>3643</v>
      </c>
      <c r="B1407" t="s">
        <v>3644</v>
      </c>
      <c r="C1407" t="s">
        <v>3645</v>
      </c>
    </row>
    <row r="1408" spans="1:3">
      <c r="A1408" t="s">
        <v>3646</v>
      </c>
      <c r="B1408" t="s">
        <v>3647</v>
      </c>
      <c r="C1408" t="s">
        <v>3648</v>
      </c>
    </row>
    <row r="1409" spans="1:3">
      <c r="A1409" t="s">
        <v>3649</v>
      </c>
      <c r="B1409" t="s">
        <v>3650</v>
      </c>
      <c r="C1409" t="s">
        <v>3651</v>
      </c>
    </row>
    <row r="1410" spans="1:3">
      <c r="A1410" t="s">
        <v>3652</v>
      </c>
      <c r="B1410" t="s">
        <v>3653</v>
      </c>
      <c r="C1410" t="s">
        <v>3654</v>
      </c>
    </row>
    <row r="1411" spans="1:3">
      <c r="A1411" t="s">
        <v>3655</v>
      </c>
      <c r="B1411" t="s">
        <v>3656</v>
      </c>
      <c r="C1411" t="s">
        <v>3657</v>
      </c>
    </row>
    <row r="1412" spans="1:3">
      <c r="A1412" t="s">
        <v>3658</v>
      </c>
      <c r="B1412" t="s">
        <v>3659</v>
      </c>
      <c r="C1412" t="s">
        <v>3660</v>
      </c>
    </row>
    <row r="1413" spans="1:3">
      <c r="A1413" t="s">
        <v>3661</v>
      </c>
      <c r="B1413" t="s">
        <v>3662</v>
      </c>
      <c r="C1413" t="s">
        <v>3663</v>
      </c>
    </row>
    <row r="1414" spans="1:3">
      <c r="A1414" t="s">
        <v>3664</v>
      </c>
      <c r="B1414" t="s">
        <v>3665</v>
      </c>
      <c r="C1414" t="s">
        <v>3666</v>
      </c>
    </row>
    <row r="1415" spans="1:3">
      <c r="A1415" t="s">
        <v>3667</v>
      </c>
      <c r="B1415" t="s">
        <v>3668</v>
      </c>
      <c r="C1415" t="s">
        <v>3669</v>
      </c>
    </row>
    <row r="1416" spans="1:3">
      <c r="A1416" t="s">
        <v>3670</v>
      </c>
      <c r="B1416" t="s">
        <v>3671</v>
      </c>
      <c r="C1416" t="s">
        <v>3672</v>
      </c>
    </row>
    <row r="1417" spans="1:3">
      <c r="A1417" t="s">
        <v>3673</v>
      </c>
      <c r="B1417" t="s">
        <v>3674</v>
      </c>
      <c r="C1417" t="s">
        <v>3675</v>
      </c>
    </row>
    <row r="1418" spans="1:3">
      <c r="A1418" t="s">
        <v>3676</v>
      </c>
      <c r="B1418" t="s">
        <v>3677</v>
      </c>
      <c r="C1418" t="s">
        <v>3678</v>
      </c>
    </row>
    <row r="1419" spans="1:3">
      <c r="A1419" t="s">
        <v>3679</v>
      </c>
      <c r="B1419" t="s">
        <v>3680</v>
      </c>
      <c r="C1419" t="s">
        <v>3681</v>
      </c>
    </row>
    <row r="1420" spans="1:3">
      <c r="A1420" t="s">
        <v>3682</v>
      </c>
      <c r="B1420" t="s">
        <v>3683</v>
      </c>
      <c r="C1420" t="s">
        <v>3684</v>
      </c>
    </row>
    <row r="1421" spans="1:3">
      <c r="A1421" t="s">
        <v>3685</v>
      </c>
      <c r="B1421" t="s">
        <v>3686</v>
      </c>
      <c r="C1421" t="s">
        <v>3687</v>
      </c>
    </row>
    <row r="1422" spans="1:3">
      <c r="A1422" t="s">
        <v>3688</v>
      </c>
      <c r="B1422" t="s">
        <v>3689</v>
      </c>
      <c r="C1422" t="s">
        <v>3690</v>
      </c>
    </row>
    <row r="1423" spans="1:3">
      <c r="A1423" t="s">
        <v>3691</v>
      </c>
      <c r="B1423" t="s">
        <v>3692</v>
      </c>
      <c r="C1423" t="s">
        <v>3693</v>
      </c>
    </row>
    <row r="1424" spans="1:3">
      <c r="A1424" t="s">
        <v>3694</v>
      </c>
      <c r="B1424" t="s">
        <v>3695</v>
      </c>
      <c r="C1424" t="s">
        <v>3696</v>
      </c>
    </row>
    <row r="1425" spans="1:3">
      <c r="A1425" t="s">
        <v>3697</v>
      </c>
      <c r="B1425" t="s">
        <v>3698</v>
      </c>
      <c r="C1425" t="s">
        <v>3699</v>
      </c>
    </row>
    <row r="1426" spans="1:3">
      <c r="A1426" t="s">
        <v>3700</v>
      </c>
      <c r="B1426" t="s">
        <v>3701</v>
      </c>
      <c r="C1426" t="s">
        <v>3702</v>
      </c>
    </row>
    <row r="1427" spans="1:3">
      <c r="A1427" t="s">
        <v>3703</v>
      </c>
      <c r="B1427" t="s">
        <v>3704</v>
      </c>
      <c r="C1427" t="s">
        <v>3705</v>
      </c>
    </row>
    <row r="1428" spans="1:3">
      <c r="A1428" t="s">
        <v>3706</v>
      </c>
      <c r="B1428" t="s">
        <v>3707</v>
      </c>
      <c r="C1428" t="s">
        <v>3708</v>
      </c>
    </row>
    <row r="1429" spans="1:3">
      <c r="A1429" t="s">
        <v>3709</v>
      </c>
      <c r="B1429" t="s">
        <v>3710</v>
      </c>
      <c r="C1429" t="s">
        <v>3711</v>
      </c>
    </row>
    <row r="1430" spans="1:3">
      <c r="A1430" t="s">
        <v>3712</v>
      </c>
      <c r="B1430" t="s">
        <v>3713</v>
      </c>
      <c r="C1430" t="s">
        <v>3714</v>
      </c>
    </row>
    <row r="1431" spans="1:3">
      <c r="A1431" t="s">
        <v>3715</v>
      </c>
      <c r="B1431" t="s">
        <v>3716</v>
      </c>
      <c r="C1431" t="s">
        <v>3717</v>
      </c>
    </row>
    <row r="1432" spans="1:3">
      <c r="A1432" t="s">
        <v>3718</v>
      </c>
      <c r="B1432" t="s">
        <v>3719</v>
      </c>
      <c r="C1432" t="s">
        <v>3720</v>
      </c>
    </row>
    <row r="1433" spans="1:3">
      <c r="A1433" t="s">
        <v>3721</v>
      </c>
      <c r="B1433" t="s">
        <v>3722</v>
      </c>
      <c r="C1433" t="s">
        <v>3723</v>
      </c>
    </row>
    <row r="1434" spans="1:3">
      <c r="A1434" t="s">
        <v>3724</v>
      </c>
      <c r="B1434" t="s">
        <v>3725</v>
      </c>
      <c r="C1434" t="s">
        <v>3726</v>
      </c>
    </row>
    <row r="1435" spans="1:3">
      <c r="A1435" t="s">
        <v>3727</v>
      </c>
      <c r="B1435" t="s">
        <v>3728</v>
      </c>
      <c r="C1435" t="s">
        <v>3729</v>
      </c>
    </row>
    <row r="1436" spans="1:3">
      <c r="A1436" t="s">
        <v>3730</v>
      </c>
      <c r="B1436" t="s">
        <v>3731</v>
      </c>
      <c r="C1436" t="s">
        <v>3732</v>
      </c>
    </row>
    <row r="1437" spans="1:3">
      <c r="A1437" t="s">
        <v>3733</v>
      </c>
      <c r="B1437" t="s">
        <v>3734</v>
      </c>
      <c r="C1437" t="s">
        <v>3735</v>
      </c>
    </row>
    <row r="1438" spans="1:3">
      <c r="A1438" t="s">
        <v>3736</v>
      </c>
      <c r="B1438" t="s">
        <v>3737</v>
      </c>
      <c r="C1438" t="s">
        <v>3738</v>
      </c>
    </row>
    <row r="1439" spans="1:3">
      <c r="A1439" t="s">
        <v>3739</v>
      </c>
      <c r="B1439" t="s">
        <v>3740</v>
      </c>
      <c r="C1439" t="s">
        <v>3741</v>
      </c>
    </row>
    <row r="1440" spans="1:3">
      <c r="A1440" t="s">
        <v>3742</v>
      </c>
      <c r="B1440" t="s">
        <v>3731</v>
      </c>
      <c r="C1440" t="s">
        <v>3743</v>
      </c>
    </row>
    <row r="1441" spans="1:3">
      <c r="A1441" t="s">
        <v>3744</v>
      </c>
      <c r="B1441" t="s">
        <v>3745</v>
      </c>
      <c r="C1441" t="s">
        <v>3746</v>
      </c>
    </row>
    <row r="1442" spans="1:3">
      <c r="A1442" t="s">
        <v>3747</v>
      </c>
      <c r="B1442" t="s">
        <v>3748</v>
      </c>
      <c r="C1442" t="s">
        <v>3749</v>
      </c>
    </row>
    <row r="1443" spans="1:3">
      <c r="A1443" t="s">
        <v>3750</v>
      </c>
      <c r="B1443" t="s">
        <v>3751</v>
      </c>
      <c r="C1443" t="s">
        <v>3752</v>
      </c>
    </row>
    <row r="1444" spans="1:3">
      <c r="A1444" t="s">
        <v>3753</v>
      </c>
      <c r="B1444" t="s">
        <v>3754</v>
      </c>
      <c r="C1444" t="s">
        <v>3755</v>
      </c>
    </row>
    <row r="1445" spans="1:3">
      <c r="A1445" t="s">
        <v>3756</v>
      </c>
      <c r="B1445" t="s">
        <v>3754</v>
      </c>
      <c r="C1445" t="s">
        <v>3757</v>
      </c>
    </row>
    <row r="1446" spans="1:3">
      <c r="A1446" t="s">
        <v>3758</v>
      </c>
      <c r="B1446" t="s">
        <v>3759</v>
      </c>
      <c r="C1446" t="s">
        <v>3760</v>
      </c>
    </row>
    <row r="1447" spans="1:3">
      <c r="A1447" t="s">
        <v>3761</v>
      </c>
      <c r="B1447" t="s">
        <v>3762</v>
      </c>
      <c r="C1447" t="s">
        <v>3763</v>
      </c>
    </row>
    <row r="1448" spans="1:3">
      <c r="A1448" t="s">
        <v>3764</v>
      </c>
      <c r="B1448" t="s">
        <v>3765</v>
      </c>
      <c r="C1448" t="s">
        <v>3766</v>
      </c>
    </row>
    <row r="1449" spans="1:3">
      <c r="A1449" t="s">
        <v>3767</v>
      </c>
      <c r="B1449" t="s">
        <v>3768</v>
      </c>
      <c r="C1449" t="s">
        <v>3769</v>
      </c>
    </row>
    <row r="1450" spans="1:3">
      <c r="A1450" t="s">
        <v>3770</v>
      </c>
      <c r="B1450" t="s">
        <v>3771</v>
      </c>
      <c r="C1450" t="s">
        <v>3772</v>
      </c>
    </row>
    <row r="1451" spans="1:3">
      <c r="A1451" t="s">
        <v>3773</v>
      </c>
      <c r="B1451" t="s">
        <v>3774</v>
      </c>
      <c r="C1451" t="s">
        <v>3775</v>
      </c>
    </row>
    <row r="1452" spans="1:3">
      <c r="A1452" t="s">
        <v>3776</v>
      </c>
      <c r="B1452" t="s">
        <v>3777</v>
      </c>
      <c r="C1452" t="s">
        <v>3778</v>
      </c>
    </row>
    <row r="1453" spans="1:3">
      <c r="A1453" t="s">
        <v>3779</v>
      </c>
      <c r="B1453" t="s">
        <v>3780</v>
      </c>
      <c r="C1453" t="s">
        <v>3781</v>
      </c>
    </row>
    <row r="1454" spans="1:3">
      <c r="A1454" t="s">
        <v>3782</v>
      </c>
      <c r="B1454" t="s">
        <v>3783</v>
      </c>
      <c r="C1454" t="s">
        <v>3784</v>
      </c>
    </row>
    <row r="1455" spans="1:3">
      <c r="A1455" t="s">
        <v>3785</v>
      </c>
      <c r="B1455" t="s">
        <v>3786</v>
      </c>
      <c r="C1455" t="s">
        <v>3787</v>
      </c>
    </row>
    <row r="1456" spans="1:3">
      <c r="A1456" t="s">
        <v>3788</v>
      </c>
      <c r="B1456" t="s">
        <v>3789</v>
      </c>
      <c r="C1456" t="s">
        <v>3790</v>
      </c>
    </row>
    <row r="1457" spans="1:3">
      <c r="A1457" t="s">
        <v>3791</v>
      </c>
      <c r="B1457" t="s">
        <v>3792</v>
      </c>
      <c r="C1457" t="s">
        <v>3793</v>
      </c>
    </row>
    <row r="1458" spans="1:3">
      <c r="A1458" t="s">
        <v>3794</v>
      </c>
      <c r="B1458" t="s">
        <v>3795</v>
      </c>
      <c r="C1458" t="s">
        <v>3796</v>
      </c>
    </row>
    <row r="1459" spans="1:3">
      <c r="A1459" t="s">
        <v>3797</v>
      </c>
      <c r="B1459" t="s">
        <v>3798</v>
      </c>
      <c r="C1459" t="s">
        <v>3799</v>
      </c>
    </row>
    <row r="1460" spans="1:3">
      <c r="A1460" t="s">
        <v>3800</v>
      </c>
      <c r="B1460" t="s">
        <v>3801</v>
      </c>
      <c r="C1460" t="s">
        <v>3802</v>
      </c>
    </row>
    <row r="1461" spans="1:3">
      <c r="A1461" t="s">
        <v>3803</v>
      </c>
      <c r="B1461" t="s">
        <v>3804</v>
      </c>
      <c r="C1461" t="s">
        <v>3805</v>
      </c>
    </row>
    <row r="1462" spans="1:3">
      <c r="A1462" t="s">
        <v>3806</v>
      </c>
      <c r="B1462" t="s">
        <v>3807</v>
      </c>
      <c r="C1462" t="s">
        <v>3808</v>
      </c>
    </row>
    <row r="1463" spans="1:3">
      <c r="A1463" t="s">
        <v>3809</v>
      </c>
      <c r="B1463" t="s">
        <v>3810</v>
      </c>
      <c r="C1463" t="s">
        <v>3811</v>
      </c>
    </row>
    <row r="1464" spans="1:3">
      <c r="A1464" t="s">
        <v>3812</v>
      </c>
      <c r="B1464" t="s">
        <v>3813</v>
      </c>
      <c r="C1464" t="s">
        <v>3814</v>
      </c>
    </row>
    <row r="1465" spans="1:3">
      <c r="A1465" t="s">
        <v>3815</v>
      </c>
      <c r="B1465" t="s">
        <v>3816</v>
      </c>
      <c r="C1465" t="s">
        <v>3817</v>
      </c>
    </row>
    <row r="1466" spans="1:3">
      <c r="A1466" t="s">
        <v>3818</v>
      </c>
      <c r="B1466" t="s">
        <v>3819</v>
      </c>
      <c r="C1466" t="s">
        <v>3820</v>
      </c>
    </row>
    <row r="1467" spans="1:3">
      <c r="A1467" s="50" t="s">
        <v>3821</v>
      </c>
      <c r="B1467" s="50"/>
      <c r="C1467" s="258" t="s">
        <v>3822</v>
      </c>
    </row>
    <row r="1468" spans="1:3">
      <c r="A1468" s="50" t="s">
        <v>3821</v>
      </c>
      <c r="B1468" s="50"/>
      <c r="C1468" s="258" t="s">
        <v>3823</v>
      </c>
    </row>
    <row r="1469" spans="1:3">
      <c r="A1469" s="50" t="s">
        <v>3821</v>
      </c>
      <c r="B1469" s="50"/>
      <c r="C1469" s="258" t="s">
        <v>3824</v>
      </c>
    </row>
    <row r="1470" spans="1:3">
      <c r="A1470" s="50" t="s">
        <v>3821</v>
      </c>
      <c r="B1470" s="50"/>
      <c r="C1470" s="258" t="s">
        <v>3825</v>
      </c>
    </row>
    <row r="1471" spans="1:3">
      <c r="A1471" s="50" t="s">
        <v>3821</v>
      </c>
      <c r="B1471" s="50"/>
      <c r="C1471" s="258" t="s">
        <v>3826</v>
      </c>
    </row>
    <row r="1472" spans="1:3">
      <c r="A1472" s="50" t="s">
        <v>3821</v>
      </c>
      <c r="B1472" s="50"/>
      <c r="C1472" s="258" t="s">
        <v>3827</v>
      </c>
    </row>
    <row r="1473" spans="1:3">
      <c r="A1473" s="50" t="s">
        <v>3821</v>
      </c>
      <c r="B1473" s="50"/>
      <c r="C1473" s="258" t="s">
        <v>3828</v>
      </c>
    </row>
    <row r="1474" spans="1:3">
      <c r="A1474" s="50" t="s">
        <v>3821</v>
      </c>
      <c r="B1474" s="50"/>
      <c r="C1474" s="258" t="s">
        <v>3829</v>
      </c>
    </row>
    <row r="1475" spans="1:3">
      <c r="A1475" s="50" t="s">
        <v>3821</v>
      </c>
      <c r="B1475" s="50"/>
      <c r="C1475" s="258" t="s">
        <v>3830</v>
      </c>
    </row>
    <row r="1476" spans="1:3">
      <c r="A1476" s="50" t="s">
        <v>3821</v>
      </c>
      <c r="B1476" s="50"/>
      <c r="C1476" s="258" t="s">
        <v>3831</v>
      </c>
    </row>
    <row r="1477" spans="1:3">
      <c r="A1477" s="50" t="s">
        <v>3821</v>
      </c>
      <c r="B1477" s="50"/>
      <c r="C1477" s="258" t="s">
        <v>3832</v>
      </c>
    </row>
    <row r="1478" spans="1:3">
      <c r="A1478" s="50" t="s">
        <v>3821</v>
      </c>
      <c r="B1478" s="50"/>
      <c r="C1478" s="258" t="s">
        <v>3833</v>
      </c>
    </row>
    <row r="1479" spans="1:3">
      <c r="A1479" s="50" t="s">
        <v>3821</v>
      </c>
      <c r="B1479" s="50"/>
      <c r="C1479" s="258" t="s">
        <v>3834</v>
      </c>
    </row>
    <row r="1480" spans="1:3">
      <c r="A1480" s="50" t="s">
        <v>3821</v>
      </c>
      <c r="B1480" s="50"/>
      <c r="C1480" s="258" t="s">
        <v>3835</v>
      </c>
    </row>
    <row r="1481" spans="1:3">
      <c r="A1481" s="50" t="s">
        <v>3821</v>
      </c>
      <c r="B1481" s="50"/>
      <c r="C1481" s="258" t="s">
        <v>3836</v>
      </c>
    </row>
    <row r="1482" spans="1:3">
      <c r="A1482" s="50" t="s">
        <v>3821</v>
      </c>
      <c r="B1482" s="50"/>
      <c r="C1482" s="258" t="s">
        <v>3837</v>
      </c>
    </row>
    <row r="1483" spans="1:3">
      <c r="A1483" s="50" t="s">
        <v>3838</v>
      </c>
      <c r="B1483" s="50"/>
      <c r="C1483" s="258" t="s">
        <v>3839</v>
      </c>
    </row>
    <row r="1484" spans="1:3">
      <c r="A1484" s="50" t="s">
        <v>3838</v>
      </c>
      <c r="B1484" s="50"/>
      <c r="C1484" s="258" t="s">
        <v>3840</v>
      </c>
    </row>
    <row r="1485" spans="1:3">
      <c r="A1485" s="50" t="s">
        <v>3838</v>
      </c>
      <c r="B1485" s="50"/>
      <c r="C1485" s="258" t="s">
        <v>3841</v>
      </c>
    </row>
    <row r="1486" spans="1:3">
      <c r="A1486" s="50" t="s">
        <v>3838</v>
      </c>
      <c r="B1486" s="50"/>
      <c r="C1486" s="258" t="s">
        <v>3842</v>
      </c>
    </row>
    <row r="1487" spans="1:3">
      <c r="A1487" s="50" t="s">
        <v>3838</v>
      </c>
      <c r="B1487" s="50"/>
      <c r="C1487" s="258" t="s">
        <v>3843</v>
      </c>
    </row>
    <row r="1488" spans="1:3">
      <c r="A1488" s="50" t="s">
        <v>3838</v>
      </c>
      <c r="B1488" s="50"/>
      <c r="C1488" s="258" t="s">
        <v>3844</v>
      </c>
    </row>
    <row r="1489" spans="1:3">
      <c r="A1489" s="50" t="s">
        <v>3838</v>
      </c>
      <c r="B1489" s="50"/>
      <c r="C1489" s="258" t="s">
        <v>3845</v>
      </c>
    </row>
    <row r="1490" spans="1:3">
      <c r="A1490" s="50" t="s">
        <v>3838</v>
      </c>
      <c r="B1490" s="50"/>
      <c r="C1490" s="258" t="s">
        <v>3846</v>
      </c>
    </row>
    <row r="1491" spans="1:3">
      <c r="A1491" s="50" t="s">
        <v>3838</v>
      </c>
      <c r="B1491" s="50"/>
      <c r="C1491" s="258" t="s">
        <v>3847</v>
      </c>
    </row>
    <row r="1492" spans="1:3">
      <c r="A1492" s="50" t="s">
        <v>3838</v>
      </c>
      <c r="B1492" s="50"/>
      <c r="C1492" s="258" t="s">
        <v>3848</v>
      </c>
    </row>
    <row r="1493" spans="1:3">
      <c r="A1493" s="50" t="s">
        <v>3838</v>
      </c>
      <c r="B1493" s="50"/>
      <c r="C1493" s="258" t="s">
        <v>3849</v>
      </c>
    </row>
    <row r="1494" spans="1:3">
      <c r="A1494" s="50" t="s">
        <v>3838</v>
      </c>
      <c r="B1494" s="50"/>
      <c r="C1494" s="258" t="s">
        <v>3850</v>
      </c>
    </row>
    <row r="1495" spans="1:3">
      <c r="A1495" s="50" t="s">
        <v>3838</v>
      </c>
      <c r="B1495" s="50"/>
      <c r="C1495" s="258" t="s">
        <v>3851</v>
      </c>
    </row>
    <row r="1496" spans="1:3">
      <c r="A1496" s="50" t="s">
        <v>3838</v>
      </c>
      <c r="B1496" s="50"/>
      <c r="C1496" s="258" t="s">
        <v>3852</v>
      </c>
    </row>
    <row r="1497" spans="1:3">
      <c r="A1497" s="50" t="s">
        <v>3838</v>
      </c>
      <c r="B1497" s="50"/>
      <c r="C1497" s="258" t="s">
        <v>3853</v>
      </c>
    </row>
    <row r="1498" spans="1:3">
      <c r="A1498" s="50" t="s">
        <v>3838</v>
      </c>
      <c r="B1498" s="50"/>
      <c r="C1498" s="258" t="s">
        <v>3854</v>
      </c>
    </row>
    <row r="1499" spans="1:3">
      <c r="A1499" t="s">
        <v>3855</v>
      </c>
      <c r="C1499" s="257" t="s">
        <v>3856</v>
      </c>
    </row>
    <row r="1500" spans="1:3">
      <c r="A1500" t="s">
        <v>3857</v>
      </c>
      <c r="C1500" s="257" t="s">
        <v>3858</v>
      </c>
    </row>
    <row r="1501" spans="1:3">
      <c r="A1501" t="s">
        <v>3859</v>
      </c>
      <c r="C1501" s="257" t="s">
        <v>3860</v>
      </c>
    </row>
    <row r="1502" spans="1:3">
      <c r="A1502" t="s">
        <v>3861</v>
      </c>
      <c r="C1502" s="257" t="s">
        <v>3862</v>
      </c>
    </row>
    <row r="1503" spans="1:3">
      <c r="A1503" t="s">
        <v>3863</v>
      </c>
      <c r="C1503" s="257" t="s">
        <v>3864</v>
      </c>
    </row>
    <row r="1504" spans="1:3">
      <c r="A1504" t="s">
        <v>3865</v>
      </c>
      <c r="C1504" s="257" t="s">
        <v>3866</v>
      </c>
    </row>
    <row r="1505" spans="1:3">
      <c r="A1505" t="s">
        <v>3867</v>
      </c>
      <c r="C1505" s="257" t="s">
        <v>3868</v>
      </c>
    </row>
    <row r="1506" spans="1:3">
      <c r="A1506" t="s">
        <v>3869</v>
      </c>
      <c r="C1506" s="257" t="s">
        <v>3870</v>
      </c>
    </row>
    <row r="1507" spans="1:3">
      <c r="A1507" t="s">
        <v>3871</v>
      </c>
      <c r="C1507" s="257" t="s">
        <v>3872</v>
      </c>
    </row>
    <row r="1508" spans="1:3">
      <c r="A1508" t="s">
        <v>3873</v>
      </c>
      <c r="C1508" s="257" t="s">
        <v>3874</v>
      </c>
    </row>
    <row r="1509" spans="1:3">
      <c r="A1509" t="s">
        <v>3875</v>
      </c>
      <c r="C1509" s="257" t="s">
        <v>3876</v>
      </c>
    </row>
    <row r="1510" spans="1:3">
      <c r="A1510" t="s">
        <v>3877</v>
      </c>
      <c r="C1510" s="257" t="s">
        <v>3878</v>
      </c>
    </row>
    <row r="1511" spans="1:3">
      <c r="A1511" t="s">
        <v>3879</v>
      </c>
      <c r="C1511" s="257" t="s">
        <v>3880</v>
      </c>
    </row>
    <row r="1512" spans="1:3">
      <c r="A1512" t="s">
        <v>3881</v>
      </c>
      <c r="C1512" s="257" t="s">
        <v>3882</v>
      </c>
    </row>
    <row r="1513" spans="1:3">
      <c r="A1513" t="s">
        <v>3883</v>
      </c>
      <c r="C1513" s="257" t="s">
        <v>3884</v>
      </c>
    </row>
    <row r="1514" spans="1:3">
      <c r="A1514" t="s">
        <v>3885</v>
      </c>
      <c r="C1514" s="257" t="s">
        <v>3886</v>
      </c>
    </row>
    <row r="1515" spans="1:3">
      <c r="A1515" t="s">
        <v>3887</v>
      </c>
      <c r="C1515" s="257" t="s">
        <v>3888</v>
      </c>
    </row>
    <row r="1516" spans="1:3">
      <c r="A1516" t="s">
        <v>3889</v>
      </c>
      <c r="C1516" s="257" t="s">
        <v>3890</v>
      </c>
    </row>
    <row r="1517" spans="1:3">
      <c r="A1517" t="s">
        <v>3891</v>
      </c>
      <c r="C1517" s="257" t="s">
        <v>3892</v>
      </c>
    </row>
    <row r="1518" spans="1:3">
      <c r="A1518" t="s">
        <v>3893</v>
      </c>
      <c r="C1518" s="257" t="s">
        <v>3894</v>
      </c>
    </row>
    <row r="1519" spans="1:3">
      <c r="A1519" t="s">
        <v>3895</v>
      </c>
      <c r="C1519" s="257" t="s">
        <v>3896</v>
      </c>
    </row>
    <row r="1520" spans="1:3">
      <c r="A1520" t="s">
        <v>3897</v>
      </c>
      <c r="C1520" s="257" t="s">
        <v>3898</v>
      </c>
    </row>
    <row r="1521" spans="1:3">
      <c r="A1521" t="s">
        <v>3899</v>
      </c>
      <c r="C1521" s="257" t="s">
        <v>3900</v>
      </c>
    </row>
    <row r="1522" spans="1:3">
      <c r="A1522" t="s">
        <v>3901</v>
      </c>
      <c r="B1522" t="s">
        <v>3902</v>
      </c>
      <c r="C1522" t="s">
        <v>3903</v>
      </c>
    </row>
    <row r="1523" spans="1:3">
      <c r="A1523" t="s">
        <v>3904</v>
      </c>
      <c r="B1523" t="s">
        <v>3905</v>
      </c>
      <c r="C1523" t="s">
        <v>3906</v>
      </c>
    </row>
    <row r="1524" spans="1:3">
      <c r="A1524" t="s">
        <v>3907</v>
      </c>
      <c r="B1524" t="s">
        <v>3908</v>
      </c>
      <c r="C1524" t="s">
        <v>3909</v>
      </c>
    </row>
    <row r="1525" spans="1:3">
      <c r="A1525" t="s">
        <v>3910</v>
      </c>
      <c r="B1525" t="s">
        <v>3911</v>
      </c>
      <c r="C1525" t="s">
        <v>3912</v>
      </c>
    </row>
    <row r="1526" spans="1:3">
      <c r="A1526" t="s">
        <v>3913</v>
      </c>
      <c r="B1526" t="s">
        <v>3914</v>
      </c>
      <c r="C1526" t="s">
        <v>3915</v>
      </c>
    </row>
    <row r="1527" spans="1:3">
      <c r="A1527" t="s">
        <v>3916</v>
      </c>
      <c r="B1527" t="s">
        <v>3917</v>
      </c>
      <c r="C1527" t="s">
        <v>3918</v>
      </c>
    </row>
    <row r="1528" spans="1:3">
      <c r="A1528" t="s">
        <v>3919</v>
      </c>
      <c r="B1528" t="s">
        <v>3920</v>
      </c>
      <c r="C1528" t="s">
        <v>3921</v>
      </c>
    </row>
    <row r="1529" spans="1:3">
      <c r="A1529" t="s">
        <v>3922</v>
      </c>
      <c r="B1529" t="s">
        <v>3923</v>
      </c>
      <c r="C1529" t="s">
        <v>3924</v>
      </c>
    </row>
    <row r="1530" spans="1:3">
      <c r="A1530" t="s">
        <v>3925</v>
      </c>
      <c r="B1530" t="s">
        <v>3926</v>
      </c>
      <c r="C1530" t="s">
        <v>3927</v>
      </c>
    </row>
    <row r="1531" spans="1:3">
      <c r="A1531" t="s">
        <v>3928</v>
      </c>
      <c r="B1531" t="s">
        <v>3929</v>
      </c>
      <c r="C1531" t="s">
        <v>3930</v>
      </c>
    </row>
    <row r="1532" spans="1:3">
      <c r="A1532" t="s">
        <v>3931</v>
      </c>
      <c r="C1532" s="257" t="s">
        <v>3932</v>
      </c>
    </row>
    <row r="1533" spans="1:3">
      <c r="A1533" t="s">
        <v>3933</v>
      </c>
      <c r="C1533" s="257" t="s">
        <v>3934</v>
      </c>
    </row>
    <row r="1534" spans="1:3">
      <c r="A1534" t="s">
        <v>3935</v>
      </c>
      <c r="B1534" t="s">
        <v>3936</v>
      </c>
      <c r="C1534" t="s">
        <v>3937</v>
      </c>
    </row>
    <row r="1535" spans="1:3">
      <c r="A1535" t="s">
        <v>3938</v>
      </c>
      <c r="C1535" s="257" t="s">
        <v>3939</v>
      </c>
    </row>
    <row r="1536" spans="1:3">
      <c r="A1536" t="s">
        <v>3940</v>
      </c>
      <c r="B1536" t="s">
        <v>3941</v>
      </c>
      <c r="C1536" t="s">
        <v>3942</v>
      </c>
    </row>
    <row r="1537" spans="1:3">
      <c r="A1537" t="s">
        <v>3943</v>
      </c>
      <c r="B1537" t="s">
        <v>3944</v>
      </c>
      <c r="C1537" t="s">
        <v>3945</v>
      </c>
    </row>
    <row r="1538" spans="1:3">
      <c r="A1538" t="s">
        <v>3946</v>
      </c>
      <c r="B1538" t="s">
        <v>3947</v>
      </c>
      <c r="C1538" t="s">
        <v>3948</v>
      </c>
    </row>
    <row r="1539" spans="1:3">
      <c r="A1539" t="s">
        <v>3949</v>
      </c>
      <c r="B1539" t="s">
        <v>3950</v>
      </c>
      <c r="C1539" t="s">
        <v>3951</v>
      </c>
    </row>
    <row r="1540" spans="1:3">
      <c r="A1540" t="s">
        <v>3952</v>
      </c>
      <c r="B1540" t="s">
        <v>3953</v>
      </c>
      <c r="C1540" t="s">
        <v>3954</v>
      </c>
    </row>
    <row r="1541" spans="1:3">
      <c r="A1541" t="s">
        <v>3955</v>
      </c>
      <c r="B1541" t="s">
        <v>3956</v>
      </c>
      <c r="C1541" t="s">
        <v>3957</v>
      </c>
    </row>
    <row r="1542" spans="1:3">
      <c r="A1542" t="s">
        <v>3958</v>
      </c>
      <c r="B1542" t="s">
        <v>3959</v>
      </c>
      <c r="C1542" t="s">
        <v>3960</v>
      </c>
    </row>
    <row r="1543" spans="1:3">
      <c r="A1543" t="s">
        <v>3961</v>
      </c>
      <c r="B1543" t="s">
        <v>3962</v>
      </c>
      <c r="C1543" t="s">
        <v>3963</v>
      </c>
    </row>
    <row r="1544" spans="1:3">
      <c r="A1544" t="s">
        <v>3964</v>
      </c>
      <c r="B1544" t="s">
        <v>3965</v>
      </c>
      <c r="C1544" t="s">
        <v>3966</v>
      </c>
    </row>
    <row r="1545" spans="1:3">
      <c r="A1545" t="s">
        <v>3967</v>
      </c>
      <c r="B1545" t="s">
        <v>3968</v>
      </c>
      <c r="C1545" t="s">
        <v>3969</v>
      </c>
    </row>
    <row r="1546" spans="1:3">
      <c r="A1546" t="s">
        <v>3970</v>
      </c>
      <c r="B1546" t="s">
        <v>3971</v>
      </c>
      <c r="C1546" t="s">
        <v>3972</v>
      </c>
    </row>
    <row r="1547" spans="1:3">
      <c r="A1547" t="s">
        <v>3973</v>
      </c>
      <c r="B1547" t="s">
        <v>3974</v>
      </c>
      <c r="C1547" t="s">
        <v>3975</v>
      </c>
    </row>
    <row r="1548" spans="1:3">
      <c r="A1548" t="s">
        <v>3976</v>
      </c>
      <c r="B1548" t="s">
        <v>3977</v>
      </c>
      <c r="C1548" t="s">
        <v>3978</v>
      </c>
    </row>
    <row r="1549" spans="1:3">
      <c r="A1549" t="s">
        <v>3979</v>
      </c>
      <c r="B1549" t="s">
        <v>3980</v>
      </c>
      <c r="C1549" t="s">
        <v>3981</v>
      </c>
    </row>
    <row r="1550" spans="1:3">
      <c r="A1550" t="s">
        <v>3982</v>
      </c>
      <c r="B1550" t="s">
        <v>3983</v>
      </c>
      <c r="C1550" t="s">
        <v>3984</v>
      </c>
    </row>
    <row r="1551" spans="1:3">
      <c r="A1551" t="s">
        <v>3985</v>
      </c>
      <c r="B1551" t="s">
        <v>3986</v>
      </c>
      <c r="C1551" t="s">
        <v>3987</v>
      </c>
    </row>
    <row r="1552" spans="1:3">
      <c r="A1552" t="s">
        <v>3988</v>
      </c>
      <c r="B1552" t="s">
        <v>3989</v>
      </c>
      <c r="C1552" t="s">
        <v>3990</v>
      </c>
    </row>
    <row r="1553" spans="1:3">
      <c r="A1553" t="s">
        <v>3991</v>
      </c>
      <c r="B1553" t="s">
        <v>3992</v>
      </c>
      <c r="C1553" t="s">
        <v>3993</v>
      </c>
    </row>
    <row r="1554" spans="1:3">
      <c r="A1554" t="s">
        <v>3994</v>
      </c>
      <c r="B1554" t="s">
        <v>3995</v>
      </c>
      <c r="C1554" t="s">
        <v>3996</v>
      </c>
    </row>
    <row r="1555" spans="1:3">
      <c r="A1555" t="s">
        <v>3997</v>
      </c>
      <c r="B1555" t="s">
        <v>3998</v>
      </c>
      <c r="C1555" t="s">
        <v>3999</v>
      </c>
    </row>
    <row r="1556" spans="1:3">
      <c r="A1556" t="s">
        <v>4000</v>
      </c>
      <c r="B1556" t="s">
        <v>4001</v>
      </c>
      <c r="C1556" t="s">
        <v>4002</v>
      </c>
    </row>
    <row r="1557" spans="1:3">
      <c r="A1557" t="s">
        <v>4003</v>
      </c>
      <c r="B1557" t="s">
        <v>4004</v>
      </c>
      <c r="C1557" t="s">
        <v>4005</v>
      </c>
    </row>
    <row r="1558" spans="1:3">
      <c r="A1558" t="s">
        <v>4006</v>
      </c>
      <c r="C1558" s="257" t="s">
        <v>4007</v>
      </c>
    </row>
    <row r="1559" spans="1:3">
      <c r="A1559" t="s">
        <v>4008</v>
      </c>
      <c r="C1559" s="257" t="s">
        <v>4007</v>
      </c>
    </row>
    <row r="1560" spans="1:3">
      <c r="A1560" t="s">
        <v>4009</v>
      </c>
      <c r="C1560" s="257" t="s">
        <v>4010</v>
      </c>
    </row>
    <row r="1561" spans="1:3">
      <c r="A1561" t="s">
        <v>4011</v>
      </c>
      <c r="C1561" s="257" t="s">
        <v>4012</v>
      </c>
    </row>
    <row r="1562" spans="1:3">
      <c r="A1562" t="s">
        <v>4013</v>
      </c>
      <c r="C1562" s="257" t="s">
        <v>4014</v>
      </c>
    </row>
    <row r="1563" spans="1:3">
      <c r="A1563" t="s">
        <v>4015</v>
      </c>
      <c r="C1563" s="257" t="s">
        <v>4016</v>
      </c>
    </row>
    <row r="1564" spans="1:3">
      <c r="A1564" t="s">
        <v>4017</v>
      </c>
      <c r="C1564" s="257" t="s">
        <v>4018</v>
      </c>
    </row>
    <row r="1565" spans="1:3">
      <c r="A1565" t="s">
        <v>4019</v>
      </c>
      <c r="C1565" s="257" t="s">
        <v>4020</v>
      </c>
    </row>
    <row r="1566" spans="1:3">
      <c r="A1566" t="s">
        <v>4021</v>
      </c>
      <c r="C1566" s="257" t="s">
        <v>4022</v>
      </c>
    </row>
    <row r="1567" spans="1:3">
      <c r="A1567" t="s">
        <v>4023</v>
      </c>
      <c r="B1567" t="s">
        <v>4024</v>
      </c>
      <c r="C1567" t="s">
        <v>4025</v>
      </c>
    </row>
    <row r="1568" spans="1:3">
      <c r="A1568" t="s">
        <v>4026</v>
      </c>
      <c r="B1568" t="s">
        <v>4027</v>
      </c>
      <c r="C1568" t="s">
        <v>4028</v>
      </c>
    </row>
    <row r="1569" spans="1:3">
      <c r="A1569" t="s">
        <v>4029</v>
      </c>
      <c r="B1569" t="s">
        <v>4030</v>
      </c>
      <c r="C1569" t="s">
        <v>4031</v>
      </c>
    </row>
    <row r="1570" spans="1:3">
      <c r="A1570" t="s">
        <v>4032</v>
      </c>
      <c r="B1570" t="s">
        <v>4033</v>
      </c>
      <c r="C1570" t="s">
        <v>4034</v>
      </c>
    </row>
    <row r="1571" spans="1:3">
      <c r="A1571" t="s">
        <v>4035</v>
      </c>
      <c r="B1571" t="s">
        <v>4036</v>
      </c>
      <c r="C1571" t="s">
        <v>4037</v>
      </c>
    </row>
    <row r="1572" spans="1:3">
      <c r="A1572" s="259" t="s">
        <v>4038</v>
      </c>
      <c r="B1572" s="259" t="s">
        <v>4039</v>
      </c>
      <c r="C1572" s="259" t="s">
        <v>4040</v>
      </c>
    </row>
    <row r="1573" spans="1:3">
      <c r="A1573" t="s">
        <v>4041</v>
      </c>
      <c r="B1573" t="s">
        <v>4042</v>
      </c>
      <c r="C1573" t="s">
        <v>4043</v>
      </c>
    </row>
    <row r="1574" spans="1:3">
      <c r="A1574" t="s">
        <v>4044</v>
      </c>
      <c r="B1574" t="s">
        <v>4045</v>
      </c>
      <c r="C1574" t="s">
        <v>4046</v>
      </c>
    </row>
    <row r="1575" spans="1:3">
      <c r="A1575" t="s">
        <v>4047</v>
      </c>
      <c r="B1575" t="s">
        <v>4048</v>
      </c>
      <c r="C1575" t="s">
        <v>4049</v>
      </c>
    </row>
    <row r="1576" spans="1:3">
      <c r="A1576" t="s">
        <v>4050</v>
      </c>
      <c r="B1576" t="s">
        <v>4051</v>
      </c>
      <c r="C1576" t="s">
        <v>4052</v>
      </c>
    </row>
    <row r="1577" spans="1:3">
      <c r="A1577" t="s">
        <v>4053</v>
      </c>
      <c r="B1577" t="s">
        <v>4054</v>
      </c>
      <c r="C1577" t="s">
        <v>4055</v>
      </c>
    </row>
    <row r="1578" spans="1:3">
      <c r="A1578" t="s">
        <v>4056</v>
      </c>
      <c r="B1578" t="s">
        <v>4057</v>
      </c>
      <c r="C1578" t="s">
        <v>4058</v>
      </c>
    </row>
    <row r="1579" spans="1:3">
      <c r="A1579" t="s">
        <v>4059</v>
      </c>
      <c r="B1579" t="s">
        <v>4060</v>
      </c>
      <c r="C1579" t="s">
        <v>4061</v>
      </c>
    </row>
    <row r="1580" spans="1:3">
      <c r="A1580" t="s">
        <v>4062</v>
      </c>
      <c r="B1580" t="s">
        <v>4063</v>
      </c>
      <c r="C1580" t="s">
        <v>4064</v>
      </c>
    </row>
    <row r="1581" spans="1:3">
      <c r="A1581" t="s">
        <v>4065</v>
      </c>
      <c r="B1581" t="s">
        <v>4066</v>
      </c>
      <c r="C1581" t="s">
        <v>4067</v>
      </c>
    </row>
    <row r="1582" spans="1:3">
      <c r="A1582" t="s">
        <v>4068</v>
      </c>
      <c r="B1582" t="s">
        <v>4069</v>
      </c>
      <c r="C1582" t="s">
        <v>4070</v>
      </c>
    </row>
    <row r="1583" spans="1:3">
      <c r="A1583" t="s">
        <v>4071</v>
      </c>
      <c r="B1583" t="s">
        <v>4072</v>
      </c>
      <c r="C1583" t="s">
        <v>4073</v>
      </c>
    </row>
    <row r="1584" spans="1:3">
      <c r="A1584" t="s">
        <v>4074</v>
      </c>
      <c r="B1584" t="s">
        <v>4075</v>
      </c>
      <c r="C1584" t="s">
        <v>4076</v>
      </c>
    </row>
    <row r="1585" spans="1:3">
      <c r="A1585" t="s">
        <v>4077</v>
      </c>
      <c r="B1585" t="s">
        <v>4078</v>
      </c>
      <c r="C1585" t="s">
        <v>4079</v>
      </c>
    </row>
    <row r="1586" spans="1:3">
      <c r="A1586" t="s">
        <v>4080</v>
      </c>
      <c r="B1586" t="s">
        <v>4081</v>
      </c>
      <c r="C1586" t="s">
        <v>4082</v>
      </c>
    </row>
    <row r="1587" spans="1:3">
      <c r="A1587" t="s">
        <v>4083</v>
      </c>
      <c r="C1587" s="257" t="s">
        <v>4084</v>
      </c>
    </row>
    <row r="1588" spans="1:3">
      <c r="A1588" t="s">
        <v>4085</v>
      </c>
      <c r="C1588" s="257" t="s">
        <v>4086</v>
      </c>
    </row>
    <row r="1589" spans="1:3">
      <c r="A1589" t="s">
        <v>4087</v>
      </c>
      <c r="C1589" s="257" t="s">
        <v>4088</v>
      </c>
    </row>
    <row r="1590" spans="1:3">
      <c r="A1590" t="s">
        <v>4089</v>
      </c>
      <c r="C1590" s="257" t="s">
        <v>4090</v>
      </c>
    </row>
    <row r="1591" spans="1:3">
      <c r="A1591" t="s">
        <v>4091</v>
      </c>
      <c r="C1591" s="257" t="s">
        <v>4092</v>
      </c>
    </row>
    <row r="1592" spans="1:3">
      <c r="A1592" t="s">
        <v>4093</v>
      </c>
      <c r="C1592" s="257" t="s">
        <v>4094</v>
      </c>
    </row>
    <row r="1593" spans="1:3">
      <c r="A1593" t="s">
        <v>4095</v>
      </c>
      <c r="C1593" s="257" t="s">
        <v>4096</v>
      </c>
    </row>
    <row r="1594" spans="1:3">
      <c r="A1594" t="s">
        <v>4097</v>
      </c>
      <c r="B1594" t="s">
        <v>4098</v>
      </c>
      <c r="C1594" t="s">
        <v>4099</v>
      </c>
    </row>
    <row r="1595" spans="1:3">
      <c r="A1595" t="s">
        <v>4100</v>
      </c>
      <c r="B1595" t="s">
        <v>4101</v>
      </c>
      <c r="C1595" t="s">
        <v>4102</v>
      </c>
    </row>
    <row r="1596" spans="1:3">
      <c r="A1596" t="s">
        <v>4103</v>
      </c>
      <c r="B1596" t="s">
        <v>4104</v>
      </c>
      <c r="C1596" t="s">
        <v>4105</v>
      </c>
    </row>
    <row r="1597" spans="1:3">
      <c r="A1597" t="s">
        <v>4106</v>
      </c>
      <c r="B1597" t="s">
        <v>4107</v>
      </c>
      <c r="C1597" t="s">
        <v>4108</v>
      </c>
    </row>
    <row r="1598" spans="1:3">
      <c r="A1598" t="s">
        <v>4109</v>
      </c>
      <c r="B1598" t="s">
        <v>4110</v>
      </c>
      <c r="C1598" t="s">
        <v>4111</v>
      </c>
    </row>
    <row r="1599" spans="1:3">
      <c r="A1599" t="s">
        <v>4112</v>
      </c>
      <c r="B1599" t="s">
        <v>4113</v>
      </c>
      <c r="C1599" t="s">
        <v>4114</v>
      </c>
    </row>
    <row r="1600" spans="1:3">
      <c r="A1600" t="s">
        <v>4115</v>
      </c>
      <c r="B1600" t="s">
        <v>4116</v>
      </c>
      <c r="C1600" t="s">
        <v>4117</v>
      </c>
    </row>
    <row r="1601" spans="1:3">
      <c r="A1601" t="s">
        <v>4118</v>
      </c>
      <c r="B1601" t="s">
        <v>4119</v>
      </c>
      <c r="C1601" t="s">
        <v>4120</v>
      </c>
    </row>
    <row r="1602" spans="1:3">
      <c r="A1602" t="s">
        <v>4121</v>
      </c>
      <c r="B1602" t="s">
        <v>4122</v>
      </c>
      <c r="C1602" t="s">
        <v>4123</v>
      </c>
    </row>
    <row r="1603" spans="1:3">
      <c r="A1603" t="s">
        <v>4124</v>
      </c>
      <c r="B1603" t="s">
        <v>4125</v>
      </c>
      <c r="C1603" t="s">
        <v>4126</v>
      </c>
    </row>
    <row r="1604" spans="1:3">
      <c r="A1604" t="s">
        <v>4127</v>
      </c>
      <c r="B1604" t="s">
        <v>4128</v>
      </c>
      <c r="C1604" t="s">
        <v>4129</v>
      </c>
    </row>
    <row r="1605" spans="1:3">
      <c r="A1605" t="s">
        <v>4130</v>
      </c>
      <c r="B1605" t="s">
        <v>4131</v>
      </c>
      <c r="C1605" t="s">
        <v>4132</v>
      </c>
    </row>
    <row r="1606" spans="1:3">
      <c r="A1606" t="s">
        <v>4133</v>
      </c>
      <c r="B1606" t="s">
        <v>4134</v>
      </c>
      <c r="C1606" t="s">
        <v>4135</v>
      </c>
    </row>
    <row r="1607" spans="1:3">
      <c r="A1607" t="s">
        <v>4136</v>
      </c>
      <c r="B1607" t="s">
        <v>4137</v>
      </c>
      <c r="C1607" t="s">
        <v>4138</v>
      </c>
    </row>
    <row r="1608" spans="1:3">
      <c r="A1608" t="s">
        <v>4139</v>
      </c>
      <c r="B1608" t="s">
        <v>4140</v>
      </c>
      <c r="C1608" t="s">
        <v>4141</v>
      </c>
    </row>
    <row r="1609" spans="1:3">
      <c r="A1609" t="s">
        <v>4142</v>
      </c>
      <c r="B1609" t="s">
        <v>4143</v>
      </c>
      <c r="C1609" t="s">
        <v>4144</v>
      </c>
    </row>
    <row r="1610" spans="1:3">
      <c r="A1610" t="s">
        <v>4145</v>
      </c>
      <c r="B1610" t="s">
        <v>4146</v>
      </c>
      <c r="C1610" t="s">
        <v>4147</v>
      </c>
    </row>
    <row r="1611" spans="1:3">
      <c r="A1611" t="s">
        <v>4148</v>
      </c>
      <c r="B1611" t="s">
        <v>4149</v>
      </c>
      <c r="C1611" t="s">
        <v>4150</v>
      </c>
    </row>
    <row r="1612" spans="1:3">
      <c r="A1612" t="s">
        <v>4151</v>
      </c>
      <c r="B1612" t="s">
        <v>4152</v>
      </c>
      <c r="C1612" t="s">
        <v>4153</v>
      </c>
    </row>
    <row r="1613" spans="1:3">
      <c r="A1613" t="s">
        <v>4154</v>
      </c>
      <c r="B1613" t="s">
        <v>4155</v>
      </c>
      <c r="C1613" t="s">
        <v>4156</v>
      </c>
    </row>
    <row r="1614" spans="1:3">
      <c r="A1614" t="s">
        <v>4157</v>
      </c>
      <c r="B1614" t="s">
        <v>4158</v>
      </c>
      <c r="C1614" t="s">
        <v>4159</v>
      </c>
    </row>
    <row r="1615" spans="1:3">
      <c r="A1615" t="s">
        <v>4160</v>
      </c>
      <c r="B1615" t="s">
        <v>4161</v>
      </c>
      <c r="C1615" t="s">
        <v>4162</v>
      </c>
    </row>
    <row r="1616" spans="1:3">
      <c r="A1616" t="s">
        <v>4163</v>
      </c>
      <c r="B1616" t="s">
        <v>4164</v>
      </c>
      <c r="C1616" t="s">
        <v>4165</v>
      </c>
    </row>
    <row r="1617" spans="1:3">
      <c r="A1617" t="s">
        <v>4166</v>
      </c>
      <c r="B1617" t="s">
        <v>4167</v>
      </c>
      <c r="C1617" t="s">
        <v>4168</v>
      </c>
    </row>
    <row r="1618" spans="1:3">
      <c r="A1618" t="s">
        <v>4169</v>
      </c>
      <c r="B1618" t="s">
        <v>4170</v>
      </c>
      <c r="C1618" t="s">
        <v>4171</v>
      </c>
    </row>
    <row r="1619" spans="1:3">
      <c r="A1619" t="s">
        <v>4172</v>
      </c>
      <c r="B1619" t="s">
        <v>4173</v>
      </c>
      <c r="C1619" t="s">
        <v>4174</v>
      </c>
    </row>
    <row r="1620" spans="1:3">
      <c r="A1620" t="s">
        <v>4175</v>
      </c>
      <c r="B1620" t="s">
        <v>4176</v>
      </c>
      <c r="C1620" t="s">
        <v>4177</v>
      </c>
    </row>
    <row r="1621" spans="1:3">
      <c r="A1621" t="s">
        <v>4178</v>
      </c>
      <c r="B1621" t="s">
        <v>4179</v>
      </c>
      <c r="C1621" t="s">
        <v>4180</v>
      </c>
    </row>
    <row r="1622" spans="1:3">
      <c r="A1622" t="s">
        <v>4181</v>
      </c>
      <c r="B1622" t="s">
        <v>4182</v>
      </c>
      <c r="C1622" t="s">
        <v>4183</v>
      </c>
    </row>
    <row r="1623" spans="1:3">
      <c r="A1623" t="s">
        <v>4184</v>
      </c>
      <c r="B1623" t="s">
        <v>4185</v>
      </c>
      <c r="C1623" t="s">
        <v>4186</v>
      </c>
    </row>
    <row r="1624" spans="1:3">
      <c r="A1624" t="s">
        <v>4187</v>
      </c>
      <c r="B1624" t="s">
        <v>4188</v>
      </c>
      <c r="C1624" t="s">
        <v>4189</v>
      </c>
    </row>
    <row r="1625" spans="1:3">
      <c r="A1625" t="s">
        <v>4190</v>
      </c>
      <c r="B1625" t="s">
        <v>4191</v>
      </c>
      <c r="C1625" t="s">
        <v>4192</v>
      </c>
    </row>
    <row r="1626" spans="1:3">
      <c r="A1626" t="s">
        <v>4193</v>
      </c>
      <c r="B1626" t="s">
        <v>4194</v>
      </c>
      <c r="C1626" t="s">
        <v>4195</v>
      </c>
    </row>
    <row r="1627" spans="1:3">
      <c r="A1627" t="s">
        <v>4196</v>
      </c>
      <c r="B1627" t="s">
        <v>4197</v>
      </c>
      <c r="C1627" t="s">
        <v>4198</v>
      </c>
    </row>
    <row r="1628" spans="1:3">
      <c r="A1628" t="s">
        <v>4199</v>
      </c>
      <c r="B1628" t="s">
        <v>4200</v>
      </c>
      <c r="C1628" t="s">
        <v>4201</v>
      </c>
    </row>
    <row r="1629" spans="1:3">
      <c r="A1629" t="s">
        <v>4202</v>
      </c>
      <c r="B1629" t="s">
        <v>4203</v>
      </c>
      <c r="C1629" t="s">
        <v>4204</v>
      </c>
    </row>
    <row r="1630" spans="1:3">
      <c r="A1630" t="s">
        <v>4205</v>
      </c>
      <c r="B1630" t="s">
        <v>4206</v>
      </c>
      <c r="C1630" t="s">
        <v>4207</v>
      </c>
    </row>
    <row r="1631" spans="1:3">
      <c r="A1631" t="s">
        <v>4208</v>
      </c>
      <c r="B1631" t="s">
        <v>4209</v>
      </c>
      <c r="C1631" t="s">
        <v>4210</v>
      </c>
    </row>
    <row r="1632" spans="1:3">
      <c r="A1632" t="s">
        <v>4211</v>
      </c>
      <c r="B1632" t="s">
        <v>4212</v>
      </c>
      <c r="C1632" t="s">
        <v>4213</v>
      </c>
    </row>
    <row r="1633" spans="1:3">
      <c r="A1633" t="s">
        <v>4214</v>
      </c>
      <c r="B1633" t="s">
        <v>4215</v>
      </c>
      <c r="C1633" t="s">
        <v>4216</v>
      </c>
    </row>
    <row r="1634" spans="1:3">
      <c r="A1634" t="s">
        <v>4217</v>
      </c>
      <c r="B1634" t="s">
        <v>4218</v>
      </c>
      <c r="C1634" t="s">
        <v>4219</v>
      </c>
    </row>
    <row r="1635" spans="1:3">
      <c r="A1635" t="s">
        <v>4220</v>
      </c>
      <c r="B1635" t="s">
        <v>4221</v>
      </c>
      <c r="C1635" t="s">
        <v>4222</v>
      </c>
    </row>
    <row r="1636" spans="1:3">
      <c r="A1636" t="s">
        <v>4223</v>
      </c>
      <c r="B1636" t="s">
        <v>4224</v>
      </c>
      <c r="C1636" t="s">
        <v>4225</v>
      </c>
    </row>
    <row r="1637" spans="1:3">
      <c r="A1637" t="s">
        <v>4226</v>
      </c>
      <c r="B1637" t="s">
        <v>4227</v>
      </c>
      <c r="C1637" t="s">
        <v>4228</v>
      </c>
    </row>
    <row r="1638" spans="1:3">
      <c r="A1638" t="s">
        <v>4229</v>
      </c>
      <c r="B1638" t="s">
        <v>4230</v>
      </c>
      <c r="C1638" t="s">
        <v>4231</v>
      </c>
    </row>
    <row r="1639" spans="1:3">
      <c r="A1639" t="s">
        <v>4232</v>
      </c>
      <c r="B1639" t="s">
        <v>4233</v>
      </c>
      <c r="C1639" t="s">
        <v>4234</v>
      </c>
    </row>
    <row r="1640" spans="1:3">
      <c r="A1640" t="s">
        <v>4235</v>
      </c>
      <c r="B1640" t="s">
        <v>4236</v>
      </c>
      <c r="C1640" t="s">
        <v>4237</v>
      </c>
    </row>
    <row r="1641" spans="1:3">
      <c r="A1641" t="s">
        <v>4238</v>
      </c>
      <c r="B1641" t="s">
        <v>4239</v>
      </c>
      <c r="C1641" t="s">
        <v>4240</v>
      </c>
    </row>
    <row r="1642" spans="1:3">
      <c r="A1642" t="s">
        <v>4241</v>
      </c>
      <c r="B1642" t="s">
        <v>4242</v>
      </c>
      <c r="C1642" t="s">
        <v>4243</v>
      </c>
    </row>
    <row r="1643" spans="1:3">
      <c r="A1643" t="s">
        <v>4244</v>
      </c>
      <c r="B1643" t="s">
        <v>4245</v>
      </c>
      <c r="C1643" t="s">
        <v>4246</v>
      </c>
    </row>
    <row r="1644" spans="1:3">
      <c r="A1644" t="s">
        <v>4247</v>
      </c>
      <c r="C1644" s="257" t="s">
        <v>4248</v>
      </c>
    </row>
    <row r="1645" spans="1:3">
      <c r="A1645" t="s">
        <v>4249</v>
      </c>
      <c r="C1645" s="257" t="s">
        <v>4250</v>
      </c>
    </row>
    <row r="1646" spans="1:3">
      <c r="A1646" t="s">
        <v>4251</v>
      </c>
      <c r="C1646" s="257" t="s">
        <v>4252</v>
      </c>
    </row>
    <row r="1647" spans="1:3">
      <c r="A1647" t="s">
        <v>4253</v>
      </c>
      <c r="C1647" s="257" t="s">
        <v>4254</v>
      </c>
    </row>
    <row r="1648" spans="1:3">
      <c r="A1648" t="s">
        <v>4255</v>
      </c>
      <c r="C1648" s="257" t="s">
        <v>4256</v>
      </c>
    </row>
    <row r="1649" spans="1:3">
      <c r="A1649" t="s">
        <v>4257</v>
      </c>
      <c r="C1649" s="257" t="s">
        <v>4258</v>
      </c>
    </row>
    <row r="1650" spans="1:3">
      <c r="A1650" t="s">
        <v>4259</v>
      </c>
      <c r="C1650" s="257" t="s">
        <v>4260</v>
      </c>
    </row>
    <row r="1651" spans="1:3">
      <c r="A1651" t="s">
        <v>4261</v>
      </c>
      <c r="C1651" s="257" t="s">
        <v>4262</v>
      </c>
    </row>
    <row r="1652" spans="1:3">
      <c r="A1652" t="s">
        <v>4263</v>
      </c>
      <c r="C1652" s="257" t="s">
        <v>4264</v>
      </c>
    </row>
    <row r="1653" spans="1:3">
      <c r="A1653" t="s">
        <v>4265</v>
      </c>
      <c r="C1653" s="257" t="s">
        <v>4266</v>
      </c>
    </row>
    <row r="1654" spans="1:3">
      <c r="A1654" t="s">
        <v>4267</v>
      </c>
      <c r="C1654" s="257" t="s">
        <v>4268</v>
      </c>
    </row>
    <row r="1655" spans="1:3">
      <c r="A1655" t="s">
        <v>4269</v>
      </c>
      <c r="C1655" s="257" t="s">
        <v>4270</v>
      </c>
    </row>
    <row r="1656" spans="1:3">
      <c r="A1656" t="s">
        <v>4271</v>
      </c>
      <c r="C1656" s="257" t="s">
        <v>4272</v>
      </c>
    </row>
    <row r="1657" spans="1:3">
      <c r="A1657" t="s">
        <v>4273</v>
      </c>
      <c r="C1657" s="257" t="s">
        <v>4274</v>
      </c>
    </row>
    <row r="1658" spans="1:3">
      <c r="A1658" t="s">
        <v>4275</v>
      </c>
      <c r="C1658" s="257" t="s">
        <v>4276</v>
      </c>
    </row>
    <row r="1659" spans="1:3">
      <c r="A1659" t="s">
        <v>4277</v>
      </c>
      <c r="C1659" s="257" t="s">
        <v>4278</v>
      </c>
    </row>
    <row r="1660" spans="1:3">
      <c r="A1660" t="s">
        <v>4279</v>
      </c>
      <c r="B1660" t="s">
        <v>4280</v>
      </c>
      <c r="C1660" t="s">
        <v>4281</v>
      </c>
    </row>
    <row r="1661" spans="1:3">
      <c r="A1661" t="s">
        <v>4282</v>
      </c>
      <c r="B1661" t="s">
        <v>4283</v>
      </c>
      <c r="C1661" t="s">
        <v>4284</v>
      </c>
    </row>
    <row r="1662" spans="1:3">
      <c r="A1662" t="s">
        <v>4285</v>
      </c>
      <c r="B1662" t="s">
        <v>4286</v>
      </c>
      <c r="C1662" t="s">
        <v>4287</v>
      </c>
    </row>
    <row r="1663" spans="1:3">
      <c r="A1663" t="s">
        <v>4288</v>
      </c>
      <c r="B1663" t="s">
        <v>4289</v>
      </c>
      <c r="C1663" t="s">
        <v>4290</v>
      </c>
    </row>
    <row r="1664" spans="1:3">
      <c r="A1664" t="s">
        <v>4291</v>
      </c>
      <c r="B1664" t="s">
        <v>4292</v>
      </c>
      <c r="C1664" t="s">
        <v>4293</v>
      </c>
    </row>
    <row r="1665" spans="1:3">
      <c r="A1665" t="s">
        <v>4294</v>
      </c>
      <c r="B1665" t="s">
        <v>4295</v>
      </c>
      <c r="C1665" t="s">
        <v>4296</v>
      </c>
    </row>
    <row r="1666" spans="1:3">
      <c r="A1666" t="s">
        <v>4297</v>
      </c>
      <c r="B1666" t="s">
        <v>4298</v>
      </c>
      <c r="C1666" t="s">
        <v>4299</v>
      </c>
    </row>
    <row r="1667" spans="1:3">
      <c r="A1667" t="s">
        <v>4300</v>
      </c>
      <c r="B1667" t="s">
        <v>4301</v>
      </c>
      <c r="C1667" t="s">
        <v>4302</v>
      </c>
    </row>
    <row r="1668" spans="1:3">
      <c r="A1668" t="s">
        <v>4303</v>
      </c>
      <c r="C1668" s="257" t="s">
        <v>4304</v>
      </c>
    </row>
    <row r="1669" spans="1:3">
      <c r="A1669" t="s">
        <v>4305</v>
      </c>
      <c r="B1669" t="s">
        <v>4306</v>
      </c>
      <c r="C1669" t="s">
        <v>4307</v>
      </c>
    </row>
    <row r="1670" spans="1:3">
      <c r="A1670" t="s">
        <v>4308</v>
      </c>
      <c r="B1670" t="s">
        <v>4309</v>
      </c>
      <c r="C1670" t="s">
        <v>4310</v>
      </c>
    </row>
    <row r="1671" spans="1:3">
      <c r="A1671" t="s">
        <v>4311</v>
      </c>
      <c r="B1671" t="s">
        <v>4312</v>
      </c>
      <c r="C1671" t="s">
        <v>4313</v>
      </c>
    </row>
    <row r="1672" spans="1:3">
      <c r="A1672" t="s">
        <v>4314</v>
      </c>
      <c r="B1672" t="s">
        <v>4315</v>
      </c>
      <c r="C1672" t="s">
        <v>4316</v>
      </c>
    </row>
    <row r="1673" spans="1:3">
      <c r="A1673" t="s">
        <v>4317</v>
      </c>
      <c r="C1673" s="257" t="s">
        <v>4318</v>
      </c>
    </row>
    <row r="1674" spans="1:3">
      <c r="A1674" t="s">
        <v>4319</v>
      </c>
      <c r="B1674" t="s">
        <v>4320</v>
      </c>
      <c r="C1674" t="s">
        <v>4321</v>
      </c>
    </row>
    <row r="1675" spans="1:3">
      <c r="A1675" t="s">
        <v>4322</v>
      </c>
      <c r="C1675" s="257" t="s">
        <v>4323</v>
      </c>
    </row>
    <row r="1676" spans="1:3">
      <c r="A1676" t="s">
        <v>4324</v>
      </c>
      <c r="C1676" s="257" t="s">
        <v>4325</v>
      </c>
    </row>
    <row r="1677" spans="1:3">
      <c r="A1677" t="s">
        <v>4326</v>
      </c>
      <c r="C1677" s="257" t="s">
        <v>4327</v>
      </c>
    </row>
    <row r="1678" spans="1:3">
      <c r="A1678" t="s">
        <v>4328</v>
      </c>
      <c r="C1678" s="257" t="s">
        <v>4329</v>
      </c>
    </row>
    <row r="1679" spans="1:3">
      <c r="A1679" t="s">
        <v>4330</v>
      </c>
      <c r="B1679" t="s">
        <v>4331</v>
      </c>
      <c r="C1679" t="s">
        <v>4332</v>
      </c>
    </row>
    <row r="1680" spans="1:3">
      <c r="A1680" t="s">
        <v>4333</v>
      </c>
      <c r="B1680" t="s">
        <v>4334</v>
      </c>
      <c r="C1680" t="s">
        <v>4335</v>
      </c>
    </row>
    <row r="1681" spans="1:3">
      <c r="A1681" t="s">
        <v>4336</v>
      </c>
      <c r="B1681" t="s">
        <v>4337</v>
      </c>
      <c r="C1681" t="s">
        <v>4338</v>
      </c>
    </row>
    <row r="1682" spans="1:3">
      <c r="A1682" t="s">
        <v>4339</v>
      </c>
      <c r="B1682" t="s">
        <v>4340</v>
      </c>
      <c r="C1682" t="s">
        <v>4341</v>
      </c>
    </row>
    <row r="1683" spans="1:3">
      <c r="A1683" t="s">
        <v>4342</v>
      </c>
      <c r="B1683" t="s">
        <v>4343</v>
      </c>
      <c r="C1683" t="s">
        <v>4344</v>
      </c>
    </row>
    <row r="1684" spans="1:3">
      <c r="A1684" t="s">
        <v>4345</v>
      </c>
      <c r="C1684" s="257" t="s">
        <v>4346</v>
      </c>
    </row>
    <row r="1685" spans="1:3">
      <c r="A1685" t="s">
        <v>4347</v>
      </c>
      <c r="C1685" s="257" t="s">
        <v>4348</v>
      </c>
    </row>
    <row r="1686" spans="1:3">
      <c r="A1686" t="s">
        <v>4349</v>
      </c>
      <c r="C1686" s="257" t="s">
        <v>4350</v>
      </c>
    </row>
    <row r="1687" spans="1:3">
      <c r="A1687" t="s">
        <v>4351</v>
      </c>
      <c r="C1687" s="257" t="s">
        <v>4352</v>
      </c>
    </row>
    <row r="1688" spans="1:3">
      <c r="A1688" t="s">
        <v>4353</v>
      </c>
      <c r="B1688" t="s">
        <v>4354</v>
      </c>
      <c r="C1688" t="s">
        <v>4355</v>
      </c>
    </row>
    <row r="1689" spans="1:3">
      <c r="A1689" t="s">
        <v>4356</v>
      </c>
      <c r="B1689" t="s">
        <v>4357</v>
      </c>
      <c r="C1689" t="s">
        <v>4358</v>
      </c>
    </row>
    <row r="1690" spans="1:3">
      <c r="A1690" t="s">
        <v>4359</v>
      </c>
      <c r="C1690" s="257" t="s">
        <v>4360</v>
      </c>
    </row>
    <row r="1691" spans="1:3">
      <c r="A1691" t="s">
        <v>4361</v>
      </c>
      <c r="C1691" s="257" t="s">
        <v>4362</v>
      </c>
    </row>
    <row r="1692" spans="1:3">
      <c r="A1692" t="s">
        <v>4363</v>
      </c>
      <c r="C1692" s="257" t="s">
        <v>4364</v>
      </c>
    </row>
    <row r="1693" spans="1:3">
      <c r="A1693" t="s">
        <v>4365</v>
      </c>
      <c r="B1693" t="s">
        <v>4366</v>
      </c>
      <c r="C1693" t="s">
        <v>4367</v>
      </c>
    </row>
    <row r="1694" spans="1:3">
      <c r="A1694" t="s">
        <v>4368</v>
      </c>
      <c r="B1694" t="s">
        <v>4369</v>
      </c>
      <c r="C1694" t="s">
        <v>4370</v>
      </c>
    </row>
    <row r="1695" spans="1:3">
      <c r="A1695" t="s">
        <v>4371</v>
      </c>
      <c r="B1695" t="s">
        <v>4372</v>
      </c>
      <c r="C1695" t="s">
        <v>4373</v>
      </c>
    </row>
    <row r="1696" spans="1:3">
      <c r="A1696" t="s">
        <v>4374</v>
      </c>
      <c r="B1696" t="s">
        <v>4375</v>
      </c>
      <c r="C1696" t="s">
        <v>4376</v>
      </c>
    </row>
    <row r="1697" spans="1:3">
      <c r="A1697" t="s">
        <v>4377</v>
      </c>
      <c r="B1697" t="s">
        <v>4378</v>
      </c>
      <c r="C1697" t="s">
        <v>4379</v>
      </c>
    </row>
    <row r="1698" spans="1:3">
      <c r="A1698" t="s">
        <v>4380</v>
      </c>
      <c r="B1698" t="s">
        <v>4381</v>
      </c>
      <c r="C1698" t="s">
        <v>4382</v>
      </c>
    </row>
    <row r="1699" spans="1:3">
      <c r="A1699" t="s">
        <v>4383</v>
      </c>
      <c r="B1699" t="s">
        <v>4384</v>
      </c>
      <c r="C1699" t="s">
        <v>4385</v>
      </c>
    </row>
    <row r="1700" spans="1:3">
      <c r="A1700" t="s">
        <v>4386</v>
      </c>
      <c r="B1700" t="s">
        <v>4387</v>
      </c>
      <c r="C1700" t="s">
        <v>4388</v>
      </c>
    </row>
    <row r="1701" spans="1:3">
      <c r="A1701" t="s">
        <v>4389</v>
      </c>
      <c r="B1701" t="s">
        <v>4390</v>
      </c>
      <c r="C1701" t="s">
        <v>4391</v>
      </c>
    </row>
    <row r="1702" spans="1:3">
      <c r="A1702" t="s">
        <v>4392</v>
      </c>
      <c r="B1702" t="s">
        <v>4393</v>
      </c>
      <c r="C1702" t="s">
        <v>4394</v>
      </c>
    </row>
    <row r="1703" spans="1:3">
      <c r="A1703" t="s">
        <v>4395</v>
      </c>
      <c r="B1703" t="s">
        <v>4396</v>
      </c>
      <c r="C1703" t="s">
        <v>4397</v>
      </c>
    </row>
    <row r="1704" spans="1:3">
      <c r="A1704" t="s">
        <v>4398</v>
      </c>
      <c r="B1704" t="s">
        <v>4399</v>
      </c>
      <c r="C1704" t="s">
        <v>4400</v>
      </c>
    </row>
    <row r="1705" spans="1:3">
      <c r="A1705" t="s">
        <v>4401</v>
      </c>
      <c r="B1705" t="s">
        <v>4402</v>
      </c>
      <c r="C1705" t="s">
        <v>4403</v>
      </c>
    </row>
    <row r="1706" spans="1:3">
      <c r="A1706" t="s">
        <v>4404</v>
      </c>
      <c r="B1706" t="s">
        <v>4405</v>
      </c>
      <c r="C1706" t="s">
        <v>4406</v>
      </c>
    </row>
    <row r="1707" spans="1:3">
      <c r="A1707" t="s">
        <v>4407</v>
      </c>
      <c r="B1707" t="s">
        <v>4408</v>
      </c>
      <c r="C1707" t="s">
        <v>4409</v>
      </c>
    </row>
    <row r="1708" spans="1:3">
      <c r="A1708" t="s">
        <v>4410</v>
      </c>
      <c r="B1708" t="s">
        <v>4411</v>
      </c>
      <c r="C1708" t="s">
        <v>4412</v>
      </c>
    </row>
    <row r="1709" spans="1:3">
      <c r="A1709" t="s">
        <v>4413</v>
      </c>
      <c r="B1709" t="s">
        <v>4414</v>
      </c>
      <c r="C1709" t="s">
        <v>4415</v>
      </c>
    </row>
    <row r="1710" spans="1:3">
      <c r="A1710" t="s">
        <v>4416</v>
      </c>
      <c r="B1710" t="s">
        <v>4417</v>
      </c>
      <c r="C1710" t="s">
        <v>4418</v>
      </c>
    </row>
    <row r="1711" spans="1:3">
      <c r="A1711" t="s">
        <v>4419</v>
      </c>
      <c r="B1711" t="s">
        <v>4420</v>
      </c>
      <c r="C1711" t="s">
        <v>4421</v>
      </c>
    </row>
    <row r="1712" spans="1:3">
      <c r="A1712" t="s">
        <v>4422</v>
      </c>
      <c r="B1712" t="s">
        <v>4423</v>
      </c>
      <c r="C1712" t="s">
        <v>4424</v>
      </c>
    </row>
    <row r="1713" spans="1:3">
      <c r="A1713" t="s">
        <v>4425</v>
      </c>
      <c r="B1713" t="s">
        <v>4426</v>
      </c>
      <c r="C1713" t="s">
        <v>4427</v>
      </c>
    </row>
    <row r="1714" spans="1:3">
      <c r="A1714" t="s">
        <v>4428</v>
      </c>
      <c r="B1714" t="s">
        <v>4429</v>
      </c>
      <c r="C1714" t="s">
        <v>4430</v>
      </c>
    </row>
    <row r="1715" spans="1:3">
      <c r="A1715" t="s">
        <v>4431</v>
      </c>
      <c r="B1715" t="s">
        <v>4432</v>
      </c>
      <c r="C1715" t="s">
        <v>4433</v>
      </c>
    </row>
    <row r="1716" spans="1:3">
      <c r="A1716" t="s">
        <v>4434</v>
      </c>
      <c r="B1716" t="s">
        <v>4435</v>
      </c>
      <c r="C1716" t="s">
        <v>4436</v>
      </c>
    </row>
    <row r="1717" spans="1:3">
      <c r="A1717" t="s">
        <v>4437</v>
      </c>
      <c r="B1717" t="s">
        <v>4438</v>
      </c>
      <c r="C1717" t="s">
        <v>4439</v>
      </c>
    </row>
    <row r="1718" spans="1:3">
      <c r="A1718" t="s">
        <v>4440</v>
      </c>
      <c r="B1718" t="s">
        <v>4441</v>
      </c>
      <c r="C1718" t="s">
        <v>4442</v>
      </c>
    </row>
    <row r="1719" spans="1:3">
      <c r="A1719" t="s">
        <v>4443</v>
      </c>
      <c r="B1719" t="s">
        <v>4444</v>
      </c>
      <c r="C1719" t="s">
        <v>4445</v>
      </c>
    </row>
    <row r="1720" spans="1:3">
      <c r="A1720" t="s">
        <v>4446</v>
      </c>
      <c r="B1720" t="s">
        <v>4447</v>
      </c>
      <c r="C1720" t="s">
        <v>4448</v>
      </c>
    </row>
    <row r="1721" spans="1:3">
      <c r="A1721" t="s">
        <v>4449</v>
      </c>
      <c r="B1721" t="s">
        <v>4450</v>
      </c>
      <c r="C1721" t="s">
        <v>4451</v>
      </c>
    </row>
    <row r="1722" spans="1:3">
      <c r="A1722" t="s">
        <v>4452</v>
      </c>
      <c r="B1722" t="s">
        <v>4453</v>
      </c>
      <c r="C1722" t="s">
        <v>4454</v>
      </c>
    </row>
    <row r="1723" spans="1:3">
      <c r="A1723" t="s">
        <v>4455</v>
      </c>
      <c r="B1723" t="s">
        <v>4456</v>
      </c>
      <c r="C1723" t="s">
        <v>4457</v>
      </c>
    </row>
    <row r="1724" spans="1:3">
      <c r="A1724" t="s">
        <v>4458</v>
      </c>
      <c r="B1724" t="s">
        <v>4459</v>
      </c>
      <c r="C1724" t="s">
        <v>4460</v>
      </c>
    </row>
    <row r="1725" spans="1:3">
      <c r="A1725" t="s">
        <v>4461</v>
      </c>
      <c r="B1725" t="s">
        <v>4462</v>
      </c>
      <c r="C1725" t="s">
        <v>4463</v>
      </c>
    </row>
    <row r="1726" spans="1:3">
      <c r="A1726" t="s">
        <v>4464</v>
      </c>
      <c r="B1726" t="s">
        <v>4465</v>
      </c>
      <c r="C1726" t="s">
        <v>4466</v>
      </c>
    </row>
    <row r="1727" spans="1:3">
      <c r="A1727" t="s">
        <v>4467</v>
      </c>
      <c r="B1727" t="s">
        <v>1574</v>
      </c>
      <c r="C1727" t="s">
        <v>4468</v>
      </c>
    </row>
    <row r="1728" spans="1:3">
      <c r="A1728" t="s">
        <v>4469</v>
      </c>
      <c r="C1728" s="257" t="s">
        <v>4470</v>
      </c>
    </row>
    <row r="1729" spans="1:3">
      <c r="A1729" t="s">
        <v>4471</v>
      </c>
      <c r="C1729" s="257" t="s">
        <v>4472</v>
      </c>
    </row>
    <row r="1730" spans="1:3">
      <c r="A1730" t="s">
        <v>4473</v>
      </c>
      <c r="C1730" s="257" t="s">
        <v>4474</v>
      </c>
    </row>
    <row r="1731" spans="1:3">
      <c r="A1731" t="s">
        <v>4475</v>
      </c>
      <c r="C1731" s="257" t="s">
        <v>4476</v>
      </c>
    </row>
    <row r="1732" spans="1:3">
      <c r="A1732" t="s">
        <v>4477</v>
      </c>
      <c r="C1732" s="257" t="s">
        <v>4478</v>
      </c>
    </row>
    <row r="1733" spans="1:3">
      <c r="A1733" t="s">
        <v>4479</v>
      </c>
      <c r="C1733" s="257" t="s">
        <v>4480</v>
      </c>
    </row>
    <row r="1734" spans="1:3">
      <c r="A1734" t="s">
        <v>4481</v>
      </c>
      <c r="C1734" s="257" t="s">
        <v>4482</v>
      </c>
    </row>
    <row r="1735" spans="1:3">
      <c r="A1735" t="s">
        <v>4483</v>
      </c>
      <c r="C1735" s="257" t="s">
        <v>4484</v>
      </c>
    </row>
    <row r="1736" spans="1:3">
      <c r="A1736" t="s">
        <v>4485</v>
      </c>
      <c r="C1736" s="257" t="s">
        <v>4486</v>
      </c>
    </row>
    <row r="1737" spans="1:3">
      <c r="A1737" t="s">
        <v>4487</v>
      </c>
      <c r="C1737" s="257" t="s">
        <v>4488</v>
      </c>
    </row>
    <row r="1738" spans="1:3">
      <c r="A1738" t="s">
        <v>4489</v>
      </c>
      <c r="C1738" s="257" t="s">
        <v>4490</v>
      </c>
    </row>
    <row r="1739" spans="1:3">
      <c r="A1739" t="s">
        <v>4491</v>
      </c>
      <c r="C1739" s="257" t="s">
        <v>4492</v>
      </c>
    </row>
    <row r="1740" spans="1:3">
      <c r="A1740" t="s">
        <v>4493</v>
      </c>
      <c r="C1740" s="257" t="s">
        <v>4494</v>
      </c>
    </row>
    <row r="1741" spans="1:3">
      <c r="A1741" t="s">
        <v>4495</v>
      </c>
      <c r="C1741" s="257" t="s">
        <v>4496</v>
      </c>
    </row>
    <row r="1742" spans="1:3">
      <c r="A1742" t="s">
        <v>4497</v>
      </c>
      <c r="C1742" s="257" t="s">
        <v>4498</v>
      </c>
    </row>
    <row r="1743" spans="1:3">
      <c r="A1743" t="s">
        <v>4499</v>
      </c>
      <c r="C1743" s="257" t="s">
        <v>4500</v>
      </c>
    </row>
    <row r="1744" spans="1:3">
      <c r="A1744" t="s">
        <v>4501</v>
      </c>
      <c r="C1744" s="257" t="s">
        <v>4502</v>
      </c>
    </row>
    <row r="1745" spans="1:3">
      <c r="A1745" t="s">
        <v>4503</v>
      </c>
      <c r="C1745" s="257" t="s">
        <v>4504</v>
      </c>
    </row>
    <row r="1746" spans="1:3">
      <c r="A1746" t="s">
        <v>4505</v>
      </c>
      <c r="C1746" s="257" t="s">
        <v>4506</v>
      </c>
    </row>
    <row r="1747" spans="1:3">
      <c r="A1747" t="s">
        <v>4507</v>
      </c>
      <c r="C1747" s="257" t="s">
        <v>4508</v>
      </c>
    </row>
    <row r="1748" spans="1:3">
      <c r="A1748" t="s">
        <v>4509</v>
      </c>
      <c r="C1748" s="257" t="s">
        <v>4510</v>
      </c>
    </row>
    <row r="1749" spans="1:3">
      <c r="A1749" t="s">
        <v>4511</v>
      </c>
      <c r="C1749" s="257" t="s">
        <v>4512</v>
      </c>
    </row>
    <row r="1750" spans="1:3">
      <c r="A1750" t="s">
        <v>4513</v>
      </c>
      <c r="C1750" s="257" t="s">
        <v>4514</v>
      </c>
    </row>
    <row r="1751" spans="1:3">
      <c r="A1751" t="s">
        <v>4515</v>
      </c>
      <c r="C1751" s="257" t="s">
        <v>4516</v>
      </c>
    </row>
    <row r="1752" spans="1:3">
      <c r="A1752" t="s">
        <v>4517</v>
      </c>
      <c r="C1752" s="257" t="s">
        <v>4518</v>
      </c>
    </row>
    <row r="1753" spans="1:3">
      <c r="A1753" t="s">
        <v>4519</v>
      </c>
      <c r="C1753" s="257" t="s">
        <v>4520</v>
      </c>
    </row>
    <row r="1754" spans="1:3">
      <c r="A1754" t="s">
        <v>4521</v>
      </c>
      <c r="C1754" s="257" t="s">
        <v>4522</v>
      </c>
    </row>
    <row r="1755" spans="1:3">
      <c r="A1755" t="s">
        <v>4523</v>
      </c>
      <c r="C1755" s="257" t="s">
        <v>4524</v>
      </c>
    </row>
    <row r="1756" spans="1:3">
      <c r="A1756" t="s">
        <v>4525</v>
      </c>
      <c r="C1756" s="257" t="s">
        <v>4526</v>
      </c>
    </row>
    <row r="1757" spans="1:3">
      <c r="A1757" t="s">
        <v>4527</v>
      </c>
      <c r="C1757" s="257" t="s">
        <v>4528</v>
      </c>
    </row>
    <row r="1758" spans="1:3">
      <c r="A1758" t="s">
        <v>4529</v>
      </c>
      <c r="C1758" s="257" t="s">
        <v>4530</v>
      </c>
    </row>
    <row r="1759" spans="1:3">
      <c r="A1759" t="s">
        <v>4531</v>
      </c>
      <c r="C1759" s="257" t="s">
        <v>4532</v>
      </c>
    </row>
    <row r="1760" spans="1:3">
      <c r="A1760" t="s">
        <v>4533</v>
      </c>
      <c r="C1760" s="257" t="s">
        <v>4534</v>
      </c>
    </row>
    <row r="1761" spans="1:3">
      <c r="A1761" s="50" t="s">
        <v>4535</v>
      </c>
      <c r="B1761" s="50"/>
      <c r="C1761" s="258" t="s">
        <v>4536</v>
      </c>
    </row>
    <row r="1762" spans="1:3">
      <c r="A1762" s="50" t="s">
        <v>4535</v>
      </c>
      <c r="B1762" s="50"/>
      <c r="C1762" s="258" t="s">
        <v>4537</v>
      </c>
    </row>
    <row r="1763" spans="1:3">
      <c r="A1763" s="50" t="s">
        <v>4535</v>
      </c>
      <c r="B1763" s="50"/>
      <c r="C1763" s="258" t="s">
        <v>4538</v>
      </c>
    </row>
    <row r="1764" spans="1:3">
      <c r="A1764" s="50" t="s">
        <v>4535</v>
      </c>
      <c r="B1764" s="50"/>
      <c r="C1764" s="258" t="s">
        <v>4539</v>
      </c>
    </row>
    <row r="1765" spans="1:3">
      <c r="A1765" s="50" t="s">
        <v>4535</v>
      </c>
      <c r="B1765" s="50"/>
      <c r="C1765" s="258" t="s">
        <v>4540</v>
      </c>
    </row>
    <row r="1766" spans="1:3">
      <c r="A1766" s="50" t="s">
        <v>4535</v>
      </c>
      <c r="B1766" s="50"/>
      <c r="C1766" s="258" t="s">
        <v>4541</v>
      </c>
    </row>
    <row r="1767" spans="1:3">
      <c r="A1767" s="50" t="s">
        <v>4535</v>
      </c>
      <c r="B1767" s="50"/>
      <c r="C1767" s="258" t="s">
        <v>4542</v>
      </c>
    </row>
    <row r="1768" spans="1:3">
      <c r="A1768" s="50" t="s">
        <v>4535</v>
      </c>
      <c r="B1768" s="50"/>
      <c r="C1768" s="258" t="s">
        <v>4543</v>
      </c>
    </row>
    <row r="1769" spans="1:3">
      <c r="A1769" s="50" t="s">
        <v>4535</v>
      </c>
      <c r="B1769" s="50"/>
      <c r="C1769" s="258" t="s">
        <v>4544</v>
      </c>
    </row>
    <row r="1770" spans="1:3">
      <c r="A1770" s="50" t="s">
        <v>4535</v>
      </c>
      <c r="B1770" s="50"/>
      <c r="C1770" s="258" t="s">
        <v>4545</v>
      </c>
    </row>
    <row r="1771" spans="1:3">
      <c r="A1771" s="50" t="s">
        <v>4535</v>
      </c>
      <c r="B1771" s="50"/>
      <c r="C1771" s="258" t="s">
        <v>4546</v>
      </c>
    </row>
    <row r="1772" spans="1:3">
      <c r="A1772" s="50" t="s">
        <v>4535</v>
      </c>
      <c r="B1772" s="50"/>
      <c r="C1772" s="258" t="s">
        <v>4547</v>
      </c>
    </row>
    <row r="1773" spans="1:3">
      <c r="A1773" s="50" t="s">
        <v>4535</v>
      </c>
      <c r="B1773" s="50"/>
      <c r="C1773" s="258" t="s">
        <v>4548</v>
      </c>
    </row>
    <row r="1774" spans="1:3">
      <c r="A1774" s="50" t="s">
        <v>4535</v>
      </c>
      <c r="B1774" s="50"/>
      <c r="C1774" s="258" t="s">
        <v>4549</v>
      </c>
    </row>
    <row r="1775" spans="1:3">
      <c r="A1775" s="50" t="s">
        <v>4535</v>
      </c>
      <c r="B1775" s="50"/>
      <c r="C1775" s="258" t="s">
        <v>4550</v>
      </c>
    </row>
    <row r="1776" spans="1:3">
      <c r="A1776" s="50" t="s">
        <v>4535</v>
      </c>
      <c r="B1776" s="50"/>
      <c r="C1776" s="258" t="s">
        <v>4551</v>
      </c>
    </row>
    <row r="1777" spans="1:3">
      <c r="A1777" t="s">
        <v>4552</v>
      </c>
      <c r="C1777" s="257" t="s">
        <v>4553</v>
      </c>
    </row>
    <row r="1778" spans="1:3">
      <c r="A1778" t="s">
        <v>4554</v>
      </c>
      <c r="C1778" s="257" t="s">
        <v>4555</v>
      </c>
    </row>
    <row r="1779" spans="1:3">
      <c r="A1779" t="s">
        <v>4556</v>
      </c>
      <c r="C1779" s="257" t="s">
        <v>4557</v>
      </c>
    </row>
    <row r="1780" spans="1:3">
      <c r="A1780" t="s">
        <v>4558</v>
      </c>
      <c r="C1780" s="257" t="s">
        <v>4559</v>
      </c>
    </row>
    <row r="1781" spans="1:3">
      <c r="A1781" t="s">
        <v>4560</v>
      </c>
      <c r="C1781" s="257" t="s">
        <v>4561</v>
      </c>
    </row>
    <row r="1782" spans="1:3">
      <c r="A1782" t="s">
        <v>4562</v>
      </c>
      <c r="C1782" s="257" t="s">
        <v>4563</v>
      </c>
    </row>
    <row r="1783" spans="1:3">
      <c r="A1783" t="s">
        <v>4564</v>
      </c>
      <c r="C1783" s="257" t="s">
        <v>4565</v>
      </c>
    </row>
    <row r="1784" spans="1:3">
      <c r="A1784" t="s">
        <v>4566</v>
      </c>
      <c r="B1784" t="s">
        <v>4567</v>
      </c>
      <c r="C1784" t="s">
        <v>4568</v>
      </c>
    </row>
    <row r="1785" spans="1:3">
      <c r="A1785" t="s">
        <v>4569</v>
      </c>
      <c r="C1785" s="257" t="s">
        <v>4570</v>
      </c>
    </row>
    <row r="1786" spans="1:3">
      <c r="A1786" t="s">
        <v>4571</v>
      </c>
      <c r="B1786" t="s">
        <v>4572</v>
      </c>
      <c r="C1786" t="s">
        <v>4573</v>
      </c>
    </row>
    <row r="1787" spans="1:3">
      <c r="A1787" t="s">
        <v>4574</v>
      </c>
      <c r="B1787" t="s">
        <v>4575</v>
      </c>
      <c r="C1787" t="s">
        <v>4576</v>
      </c>
    </row>
    <row r="1788" spans="1:3">
      <c r="A1788" t="s">
        <v>4577</v>
      </c>
      <c r="B1788" t="s">
        <v>4578</v>
      </c>
      <c r="C1788" t="s">
        <v>4579</v>
      </c>
    </row>
    <row r="1789" spans="1:3">
      <c r="A1789" t="s">
        <v>4580</v>
      </c>
      <c r="C1789" s="257" t="s">
        <v>4581</v>
      </c>
    </row>
    <row r="1790" spans="1:3">
      <c r="A1790" t="s">
        <v>4582</v>
      </c>
      <c r="C1790" s="257" t="s">
        <v>4583</v>
      </c>
    </row>
    <row r="1791" spans="1:3">
      <c r="A1791" t="s">
        <v>4584</v>
      </c>
      <c r="C1791" s="257" t="s">
        <v>4585</v>
      </c>
    </row>
    <row r="1792" spans="1:3">
      <c r="A1792" t="s">
        <v>4586</v>
      </c>
      <c r="C1792" s="257" t="s">
        <v>4587</v>
      </c>
    </row>
    <row r="1793" spans="1:3">
      <c r="A1793" t="s">
        <v>4588</v>
      </c>
      <c r="C1793" s="257" t="s">
        <v>4589</v>
      </c>
    </row>
    <row r="1794" spans="1:3">
      <c r="A1794" t="s">
        <v>4590</v>
      </c>
      <c r="B1794" t="s">
        <v>4591</v>
      </c>
      <c r="C1794" t="s">
        <v>4592</v>
      </c>
    </row>
    <row r="1795" spans="1:3">
      <c r="A1795" t="s">
        <v>4593</v>
      </c>
      <c r="B1795" t="s">
        <v>4594</v>
      </c>
      <c r="C1795" t="s">
        <v>4595</v>
      </c>
    </row>
    <row r="1796" spans="1:3">
      <c r="A1796" t="s">
        <v>4596</v>
      </c>
      <c r="B1796" t="s">
        <v>4597</v>
      </c>
      <c r="C1796" t="s">
        <v>4598</v>
      </c>
    </row>
    <row r="1797" spans="1:3">
      <c r="A1797" t="s">
        <v>4599</v>
      </c>
      <c r="B1797" t="s">
        <v>4600</v>
      </c>
      <c r="C1797" t="s">
        <v>4601</v>
      </c>
    </row>
    <row r="1798" spans="1:3">
      <c r="A1798" t="s">
        <v>4602</v>
      </c>
      <c r="B1798" t="s">
        <v>4603</v>
      </c>
      <c r="C1798" t="s">
        <v>4604</v>
      </c>
    </row>
    <row r="1799" spans="1:3">
      <c r="A1799" t="s">
        <v>4605</v>
      </c>
      <c r="B1799" t="s">
        <v>4606</v>
      </c>
      <c r="C1799" t="s">
        <v>4607</v>
      </c>
    </row>
    <row r="1800" spans="1:3">
      <c r="A1800" t="s">
        <v>4608</v>
      </c>
      <c r="B1800" t="s">
        <v>4609</v>
      </c>
      <c r="C1800" t="s">
        <v>4610</v>
      </c>
    </row>
    <row r="1801" spans="1:3">
      <c r="A1801" t="s">
        <v>4611</v>
      </c>
      <c r="B1801" t="s">
        <v>4612</v>
      </c>
      <c r="C1801" t="s">
        <v>4613</v>
      </c>
    </row>
    <row r="1802" spans="1:3">
      <c r="A1802" t="s">
        <v>4614</v>
      </c>
      <c r="B1802" t="s">
        <v>4615</v>
      </c>
      <c r="C1802" t="s">
        <v>4616</v>
      </c>
    </row>
    <row r="1803" spans="1:3">
      <c r="A1803" t="s">
        <v>4617</v>
      </c>
      <c r="C1803" s="257" t="s">
        <v>4618</v>
      </c>
    </row>
    <row r="1804" spans="1:3">
      <c r="A1804" t="s">
        <v>4619</v>
      </c>
      <c r="C1804" s="257" t="s">
        <v>4620</v>
      </c>
    </row>
    <row r="1805" spans="1:3">
      <c r="A1805" t="s">
        <v>4621</v>
      </c>
      <c r="C1805" s="257" t="s">
        <v>4622</v>
      </c>
    </row>
    <row r="1806" spans="1:3">
      <c r="A1806" t="s">
        <v>4623</v>
      </c>
      <c r="C1806" s="257" t="s">
        <v>4624</v>
      </c>
    </row>
    <row r="1807" spans="1:3">
      <c r="A1807" t="s">
        <v>4625</v>
      </c>
      <c r="C1807" s="257" t="s">
        <v>4626</v>
      </c>
    </row>
    <row r="1808" spans="1:3">
      <c r="A1808" t="s">
        <v>4627</v>
      </c>
      <c r="C1808" s="257" t="s">
        <v>4628</v>
      </c>
    </row>
    <row r="1809" spans="1:3">
      <c r="A1809" t="s">
        <v>4629</v>
      </c>
      <c r="C1809" s="257" t="s">
        <v>4630</v>
      </c>
    </row>
    <row r="1810" spans="1:3">
      <c r="A1810" t="s">
        <v>4631</v>
      </c>
      <c r="C1810" s="257" t="s">
        <v>4632</v>
      </c>
    </row>
    <row r="1811" spans="1:3">
      <c r="A1811" t="s">
        <v>4633</v>
      </c>
      <c r="C1811" s="257" t="s">
        <v>4634</v>
      </c>
    </row>
    <row r="1812" spans="1:3">
      <c r="A1812" t="s">
        <v>4635</v>
      </c>
      <c r="C1812" s="257" t="s">
        <v>4636</v>
      </c>
    </row>
    <row r="1813" spans="1:3">
      <c r="A1813" t="s">
        <v>4637</v>
      </c>
      <c r="C1813" s="257" t="s">
        <v>4638</v>
      </c>
    </row>
    <row r="1814" spans="1:3">
      <c r="A1814" t="s">
        <v>4639</v>
      </c>
      <c r="C1814" s="257" t="s">
        <v>4640</v>
      </c>
    </row>
    <row r="1815" spans="1:3">
      <c r="A1815" t="s">
        <v>4641</v>
      </c>
      <c r="C1815" s="257" t="s">
        <v>4642</v>
      </c>
    </row>
    <row r="1816" spans="1:3">
      <c r="A1816" t="s">
        <v>4643</v>
      </c>
      <c r="C1816" s="257" t="s">
        <v>4644</v>
      </c>
    </row>
    <row r="1817" spans="1:3">
      <c r="A1817" t="s">
        <v>4645</v>
      </c>
      <c r="C1817" s="257" t="s">
        <v>4646</v>
      </c>
    </row>
    <row r="1818" spans="1:3">
      <c r="A1818" t="s">
        <v>4647</v>
      </c>
      <c r="C1818" s="257" t="s">
        <v>4648</v>
      </c>
    </row>
    <row r="1819" spans="1:3">
      <c r="A1819" t="s">
        <v>4649</v>
      </c>
      <c r="C1819" s="257" t="s">
        <v>4650</v>
      </c>
    </row>
    <row r="1820" spans="1:3">
      <c r="A1820" t="s">
        <v>4651</v>
      </c>
      <c r="C1820" s="257" t="s">
        <v>4652</v>
      </c>
    </row>
    <row r="1821" spans="1:3">
      <c r="A1821" t="s">
        <v>4653</v>
      </c>
      <c r="C1821" s="257" t="s">
        <v>4654</v>
      </c>
    </row>
    <row r="1822" spans="1:3">
      <c r="A1822" t="s">
        <v>4655</v>
      </c>
      <c r="C1822" s="257" t="s">
        <v>4656</v>
      </c>
    </row>
    <row r="1823" spans="1:3">
      <c r="A1823" t="s">
        <v>4657</v>
      </c>
      <c r="C1823" s="257" t="s">
        <v>4658</v>
      </c>
    </row>
    <row r="1824" spans="1:3">
      <c r="A1824" t="s">
        <v>4659</v>
      </c>
      <c r="B1824" t="s">
        <v>4660</v>
      </c>
      <c r="C1824" t="s">
        <v>4661</v>
      </c>
    </row>
    <row r="1825" spans="1:3">
      <c r="A1825" t="s">
        <v>4662</v>
      </c>
      <c r="B1825" t="s">
        <v>4663</v>
      </c>
      <c r="C1825" t="s">
        <v>4664</v>
      </c>
    </row>
    <row r="1826" spans="1:3">
      <c r="A1826" t="s">
        <v>4665</v>
      </c>
      <c r="B1826" t="s">
        <v>4666</v>
      </c>
      <c r="C1826" t="s">
        <v>4667</v>
      </c>
    </row>
    <row r="1827" spans="1:3">
      <c r="A1827" t="s">
        <v>4668</v>
      </c>
      <c r="B1827" t="s">
        <v>4669</v>
      </c>
      <c r="C1827" t="s">
        <v>4670</v>
      </c>
    </row>
    <row r="1828" spans="1:3">
      <c r="A1828" t="s">
        <v>4671</v>
      </c>
      <c r="B1828" t="s">
        <v>4672</v>
      </c>
      <c r="C1828" t="s">
        <v>4673</v>
      </c>
    </row>
    <row r="1829" spans="1:3">
      <c r="A1829" t="s">
        <v>4674</v>
      </c>
      <c r="B1829" t="s">
        <v>4675</v>
      </c>
      <c r="C1829" t="s">
        <v>4676</v>
      </c>
    </row>
    <row r="1830" spans="1:3">
      <c r="A1830" t="s">
        <v>4677</v>
      </c>
      <c r="B1830" t="s">
        <v>4678</v>
      </c>
      <c r="C1830" t="s">
        <v>4679</v>
      </c>
    </row>
    <row r="1831" spans="1:3">
      <c r="A1831" t="s">
        <v>4680</v>
      </c>
      <c r="B1831" t="s">
        <v>4681</v>
      </c>
      <c r="C1831" t="s">
        <v>4682</v>
      </c>
    </row>
    <row r="1832" spans="1:3">
      <c r="A1832" t="s">
        <v>4683</v>
      </c>
      <c r="B1832" t="s">
        <v>4684</v>
      </c>
      <c r="C1832" t="s">
        <v>4685</v>
      </c>
    </row>
    <row r="1833" spans="1:3">
      <c r="A1833" t="s">
        <v>4686</v>
      </c>
      <c r="B1833" t="s">
        <v>4687</v>
      </c>
      <c r="C1833" t="s">
        <v>4688</v>
      </c>
    </row>
    <row r="1834" spans="1:3">
      <c r="A1834" t="s">
        <v>4689</v>
      </c>
      <c r="B1834" t="s">
        <v>4690</v>
      </c>
      <c r="C1834" t="s">
        <v>4691</v>
      </c>
    </row>
    <row r="1835" spans="1:3">
      <c r="A1835" t="s">
        <v>4692</v>
      </c>
      <c r="B1835" t="s">
        <v>4693</v>
      </c>
      <c r="C1835" t="s">
        <v>4694</v>
      </c>
    </row>
    <row r="1836" spans="1:3">
      <c r="A1836" t="s">
        <v>4695</v>
      </c>
      <c r="B1836" t="s">
        <v>4696</v>
      </c>
      <c r="C1836" t="s">
        <v>4697</v>
      </c>
    </row>
    <row r="1837" spans="1:3">
      <c r="A1837" t="s">
        <v>4698</v>
      </c>
      <c r="B1837" t="s">
        <v>4699</v>
      </c>
      <c r="C1837" t="s">
        <v>4700</v>
      </c>
    </row>
    <row r="1838" spans="1:3">
      <c r="A1838" t="s">
        <v>4701</v>
      </c>
      <c r="B1838" t="s">
        <v>4702</v>
      </c>
      <c r="C1838" t="s">
        <v>4703</v>
      </c>
    </row>
    <row r="1839" spans="1:3">
      <c r="A1839" t="s">
        <v>4704</v>
      </c>
      <c r="B1839" t="s">
        <v>4705</v>
      </c>
      <c r="C1839" t="s">
        <v>4706</v>
      </c>
    </row>
    <row r="1840" spans="1:3">
      <c r="A1840" t="s">
        <v>4707</v>
      </c>
      <c r="B1840" t="s">
        <v>4708</v>
      </c>
      <c r="C1840" t="s">
        <v>4709</v>
      </c>
    </row>
    <row r="1841" spans="1:3">
      <c r="A1841" t="s">
        <v>4710</v>
      </c>
      <c r="B1841" t="s">
        <v>4711</v>
      </c>
      <c r="C1841" t="s">
        <v>4712</v>
      </c>
    </row>
    <row r="1842" spans="1:3">
      <c r="A1842" t="s">
        <v>4713</v>
      </c>
      <c r="B1842" t="s">
        <v>4714</v>
      </c>
      <c r="C1842" t="s">
        <v>4715</v>
      </c>
    </row>
    <row r="1843" spans="1:3">
      <c r="A1843" t="s">
        <v>4716</v>
      </c>
      <c r="B1843" t="s">
        <v>4717</v>
      </c>
      <c r="C1843" t="s">
        <v>4718</v>
      </c>
    </row>
    <row r="1844" spans="1:3">
      <c r="A1844" t="s">
        <v>4719</v>
      </c>
      <c r="B1844" t="s">
        <v>4720</v>
      </c>
      <c r="C1844" t="s">
        <v>4721</v>
      </c>
    </row>
    <row r="1845" spans="1:3">
      <c r="A1845" t="s">
        <v>4722</v>
      </c>
      <c r="B1845" t="s">
        <v>4723</v>
      </c>
      <c r="C1845" t="s">
        <v>4724</v>
      </c>
    </row>
    <row r="1846" spans="1:3">
      <c r="A1846" t="s">
        <v>4725</v>
      </c>
      <c r="B1846" t="s">
        <v>4726</v>
      </c>
      <c r="C1846" t="s">
        <v>4727</v>
      </c>
    </row>
    <row r="1847" spans="1:3">
      <c r="A1847" t="s">
        <v>4728</v>
      </c>
      <c r="B1847" t="s">
        <v>4729</v>
      </c>
      <c r="C1847" t="s">
        <v>4730</v>
      </c>
    </row>
    <row r="1848" spans="1:3">
      <c r="A1848" t="s">
        <v>4731</v>
      </c>
      <c r="B1848" t="s">
        <v>4732</v>
      </c>
      <c r="C1848" t="s">
        <v>4733</v>
      </c>
    </row>
    <row r="1849" spans="1:3">
      <c r="A1849" t="s">
        <v>4734</v>
      </c>
      <c r="B1849" t="s">
        <v>4735</v>
      </c>
      <c r="C1849" t="s">
        <v>4736</v>
      </c>
    </row>
    <row r="1850" spans="1:3">
      <c r="A1850" t="s">
        <v>4737</v>
      </c>
      <c r="B1850" t="s">
        <v>4738</v>
      </c>
      <c r="C1850" t="s">
        <v>4739</v>
      </c>
    </row>
    <row r="1851" spans="1:3">
      <c r="A1851" t="s">
        <v>4740</v>
      </c>
      <c r="B1851" t="s">
        <v>4741</v>
      </c>
      <c r="C1851" t="s">
        <v>4742</v>
      </c>
    </row>
    <row r="1852" spans="1:3">
      <c r="A1852" t="s">
        <v>4743</v>
      </c>
      <c r="B1852" t="s">
        <v>4744</v>
      </c>
      <c r="C1852" t="s">
        <v>4745</v>
      </c>
    </row>
    <row r="1853" spans="1:3">
      <c r="A1853" t="s">
        <v>4746</v>
      </c>
      <c r="B1853" t="s">
        <v>4747</v>
      </c>
      <c r="C1853" t="s">
        <v>4748</v>
      </c>
    </row>
    <row r="1854" spans="1:3">
      <c r="A1854" t="s">
        <v>4749</v>
      </c>
      <c r="B1854" t="s">
        <v>4750</v>
      </c>
      <c r="C1854" t="s">
        <v>4751</v>
      </c>
    </row>
    <row r="1855" spans="1:3">
      <c r="A1855" t="s">
        <v>4752</v>
      </c>
      <c r="B1855" t="s">
        <v>4753</v>
      </c>
      <c r="C1855" t="s">
        <v>4754</v>
      </c>
    </row>
    <row r="1856" spans="1:3">
      <c r="A1856" t="s">
        <v>4755</v>
      </c>
      <c r="B1856" t="s">
        <v>4756</v>
      </c>
      <c r="C1856" t="s">
        <v>4757</v>
      </c>
    </row>
    <row r="1857" spans="1:3">
      <c r="A1857" t="s">
        <v>4758</v>
      </c>
      <c r="B1857" t="s">
        <v>4759</v>
      </c>
      <c r="C1857" t="s">
        <v>4760</v>
      </c>
    </row>
    <row r="1858" spans="1:3">
      <c r="A1858" t="s">
        <v>4761</v>
      </c>
      <c r="B1858" t="s">
        <v>4762</v>
      </c>
      <c r="C1858" t="s">
        <v>4763</v>
      </c>
    </row>
    <row r="1859" spans="1:3">
      <c r="A1859" t="s">
        <v>4764</v>
      </c>
      <c r="B1859" t="s">
        <v>4765</v>
      </c>
      <c r="C1859" t="s">
        <v>4766</v>
      </c>
    </row>
    <row r="1860" spans="1:3">
      <c r="A1860" t="s">
        <v>4767</v>
      </c>
      <c r="B1860" t="s">
        <v>4768</v>
      </c>
      <c r="C1860" t="s">
        <v>4769</v>
      </c>
    </row>
    <row r="1861" spans="1:3">
      <c r="A1861" t="s">
        <v>4770</v>
      </c>
      <c r="B1861" t="s">
        <v>4771</v>
      </c>
      <c r="C1861" t="s">
        <v>4772</v>
      </c>
    </row>
    <row r="1862" spans="1:3">
      <c r="A1862" t="s">
        <v>4773</v>
      </c>
      <c r="B1862" t="s">
        <v>4774</v>
      </c>
      <c r="C1862" t="s">
        <v>4775</v>
      </c>
    </row>
    <row r="1863" spans="1:3">
      <c r="A1863" t="s">
        <v>4776</v>
      </c>
      <c r="C1863" s="257" t="s">
        <v>4777</v>
      </c>
    </row>
    <row r="1864" spans="1:3">
      <c r="A1864" t="s">
        <v>4778</v>
      </c>
      <c r="C1864" s="257" t="s">
        <v>4779</v>
      </c>
    </row>
    <row r="1865" spans="1:3">
      <c r="A1865" t="s">
        <v>4780</v>
      </c>
      <c r="C1865" s="257" t="s">
        <v>4781</v>
      </c>
    </row>
    <row r="1866" spans="1:3">
      <c r="A1866" t="s">
        <v>4782</v>
      </c>
      <c r="C1866" s="257" t="s">
        <v>4783</v>
      </c>
    </row>
    <row r="1867" spans="1:3">
      <c r="A1867" t="s">
        <v>4784</v>
      </c>
      <c r="C1867" s="257" t="s">
        <v>4785</v>
      </c>
    </row>
    <row r="1868" spans="1:3">
      <c r="A1868" t="s">
        <v>4786</v>
      </c>
      <c r="C1868" s="257" t="s">
        <v>4787</v>
      </c>
    </row>
    <row r="1869" spans="1:3">
      <c r="A1869" t="s">
        <v>4788</v>
      </c>
      <c r="C1869" s="257" t="s">
        <v>4789</v>
      </c>
    </row>
    <row r="1870" spans="1:3">
      <c r="A1870" t="s">
        <v>4790</v>
      </c>
      <c r="C1870" s="257" t="s">
        <v>4742</v>
      </c>
    </row>
    <row r="1871" spans="1:3">
      <c r="A1871" t="s">
        <v>4791</v>
      </c>
      <c r="C1871" s="257" t="s">
        <v>4792</v>
      </c>
    </row>
    <row r="1872" spans="1:3">
      <c r="A1872" t="s">
        <v>4793</v>
      </c>
      <c r="C1872" s="257" t="s">
        <v>4794</v>
      </c>
    </row>
    <row r="1873" spans="1:3">
      <c r="A1873" t="s">
        <v>4795</v>
      </c>
      <c r="C1873" s="257" t="s">
        <v>4796</v>
      </c>
    </row>
    <row r="1874" spans="1:3">
      <c r="A1874" t="s">
        <v>4797</v>
      </c>
      <c r="C1874" s="257" t="s">
        <v>4798</v>
      </c>
    </row>
    <row r="1875" spans="1:3">
      <c r="A1875" t="s">
        <v>4799</v>
      </c>
      <c r="C1875" s="257" t="s">
        <v>4800</v>
      </c>
    </row>
    <row r="1876" spans="1:3">
      <c r="A1876" t="s">
        <v>4801</v>
      </c>
      <c r="C1876" s="257" t="s">
        <v>4802</v>
      </c>
    </row>
    <row r="1877" spans="1:3">
      <c r="A1877" t="s">
        <v>4803</v>
      </c>
      <c r="C1877" s="257" t="s">
        <v>4804</v>
      </c>
    </row>
    <row r="1878" spans="1:3">
      <c r="A1878" t="s">
        <v>4805</v>
      </c>
      <c r="C1878" s="257" t="s">
        <v>4806</v>
      </c>
    </row>
    <row r="1879" spans="1:3">
      <c r="A1879" t="s">
        <v>4807</v>
      </c>
      <c r="C1879" s="257" t="s">
        <v>4808</v>
      </c>
    </row>
    <row r="1880" spans="1:3">
      <c r="A1880" t="s">
        <v>4809</v>
      </c>
      <c r="C1880" s="257" t="s">
        <v>4810</v>
      </c>
    </row>
    <row r="1881" spans="1:3">
      <c r="A1881" t="s">
        <v>4811</v>
      </c>
      <c r="C1881" s="257" t="s">
        <v>4812</v>
      </c>
    </row>
    <row r="1882" spans="1:3">
      <c r="A1882" t="s">
        <v>4813</v>
      </c>
      <c r="C1882" s="257" t="s">
        <v>4814</v>
      </c>
    </row>
    <row r="1883" spans="1:3">
      <c r="A1883" t="s">
        <v>4815</v>
      </c>
      <c r="C1883" s="257" t="s">
        <v>4816</v>
      </c>
    </row>
    <row r="1884" spans="1:3">
      <c r="A1884" t="s">
        <v>4817</v>
      </c>
      <c r="C1884" s="257" t="s">
        <v>4818</v>
      </c>
    </row>
    <row r="1885" spans="1:3">
      <c r="A1885" t="s">
        <v>4819</v>
      </c>
      <c r="C1885" s="257" t="s">
        <v>4820</v>
      </c>
    </row>
    <row r="1886" spans="1:3">
      <c r="A1886" t="s">
        <v>4821</v>
      </c>
      <c r="C1886" s="257" t="s">
        <v>4822</v>
      </c>
    </row>
    <row r="1887" spans="1:3">
      <c r="A1887" t="s">
        <v>4823</v>
      </c>
      <c r="C1887" s="257" t="s">
        <v>4824</v>
      </c>
    </row>
    <row r="1888" spans="1:3">
      <c r="A1888" t="s">
        <v>4825</v>
      </c>
      <c r="C1888" s="257" t="s">
        <v>4826</v>
      </c>
    </row>
    <row r="1889" spans="1:3">
      <c r="A1889" t="s">
        <v>4827</v>
      </c>
      <c r="C1889" s="257" t="s">
        <v>4828</v>
      </c>
    </row>
    <row r="1890" spans="1:3">
      <c r="A1890" t="s">
        <v>4829</v>
      </c>
      <c r="C1890" s="257" t="s">
        <v>4830</v>
      </c>
    </row>
    <row r="1891" spans="1:3">
      <c r="A1891" t="s">
        <v>4831</v>
      </c>
      <c r="C1891" s="257" t="s">
        <v>4832</v>
      </c>
    </row>
    <row r="1892" spans="1:3">
      <c r="A1892" t="s">
        <v>4833</v>
      </c>
      <c r="C1892" s="257" t="s">
        <v>4834</v>
      </c>
    </row>
    <row r="1893" spans="1:3">
      <c r="A1893" s="50" t="s">
        <v>4835</v>
      </c>
      <c r="B1893" s="50"/>
      <c r="C1893" s="258" t="s">
        <v>4836</v>
      </c>
    </row>
    <row r="1894" spans="1:3">
      <c r="A1894" s="50" t="s">
        <v>4835</v>
      </c>
      <c r="B1894" s="50"/>
      <c r="C1894" s="258" t="s">
        <v>4837</v>
      </c>
    </row>
    <row r="1895" spans="1:3">
      <c r="A1895" s="50" t="s">
        <v>4835</v>
      </c>
      <c r="B1895" s="50"/>
      <c r="C1895" s="258" t="s">
        <v>4838</v>
      </c>
    </row>
    <row r="1896" spans="1:3">
      <c r="A1896" s="50" t="s">
        <v>4835</v>
      </c>
      <c r="B1896" s="50"/>
      <c r="C1896" s="258" t="s">
        <v>4839</v>
      </c>
    </row>
    <row r="1897" spans="1:3">
      <c r="A1897" s="50" t="s">
        <v>4835</v>
      </c>
      <c r="B1897" s="50"/>
      <c r="C1897" s="258" t="s">
        <v>4840</v>
      </c>
    </row>
    <row r="1898" spans="1:3">
      <c r="A1898" s="50" t="s">
        <v>4835</v>
      </c>
      <c r="B1898" s="50"/>
      <c r="C1898" s="258" t="s">
        <v>4841</v>
      </c>
    </row>
    <row r="1899" spans="1:3">
      <c r="A1899" s="50" t="s">
        <v>4835</v>
      </c>
      <c r="B1899" s="50"/>
      <c r="C1899" s="258" t="s">
        <v>4842</v>
      </c>
    </row>
    <row r="1900" spans="1:3">
      <c r="A1900" s="50" t="s">
        <v>4835</v>
      </c>
      <c r="B1900" s="50"/>
      <c r="C1900" s="258" t="s">
        <v>4843</v>
      </c>
    </row>
    <row r="1901" spans="1:3">
      <c r="A1901" s="50" t="s">
        <v>4835</v>
      </c>
      <c r="B1901" s="50"/>
      <c r="C1901" s="258" t="s">
        <v>4844</v>
      </c>
    </row>
    <row r="1902" spans="1:3">
      <c r="A1902" s="50" t="s">
        <v>4835</v>
      </c>
      <c r="B1902" s="50"/>
      <c r="C1902" s="258" t="s">
        <v>4845</v>
      </c>
    </row>
    <row r="1903" spans="1:3">
      <c r="A1903" s="50" t="s">
        <v>4835</v>
      </c>
      <c r="B1903" s="50"/>
      <c r="C1903" s="258" t="s">
        <v>4846</v>
      </c>
    </row>
    <row r="1904" spans="1:3">
      <c r="A1904" s="50" t="s">
        <v>4835</v>
      </c>
      <c r="B1904" s="50"/>
      <c r="C1904" s="258" t="s">
        <v>4847</v>
      </c>
    </row>
    <row r="1905" spans="1:3">
      <c r="A1905" s="50" t="s">
        <v>4835</v>
      </c>
      <c r="B1905" s="50"/>
      <c r="C1905" s="258" t="s">
        <v>4848</v>
      </c>
    </row>
    <row r="1906" spans="1:3">
      <c r="A1906" s="50" t="s">
        <v>4835</v>
      </c>
      <c r="B1906" s="50"/>
      <c r="C1906" s="258" t="s">
        <v>4849</v>
      </c>
    </row>
    <row r="1907" spans="1:3">
      <c r="A1907" s="50" t="s">
        <v>4835</v>
      </c>
      <c r="B1907" s="50"/>
      <c r="C1907" s="258" t="s">
        <v>4850</v>
      </c>
    </row>
    <row r="1908" spans="1:3">
      <c r="A1908" s="50" t="s">
        <v>4835</v>
      </c>
      <c r="B1908" s="50"/>
      <c r="C1908" s="258" t="s">
        <v>4851</v>
      </c>
    </row>
    <row r="1909" spans="1:3">
      <c r="A1909" s="50" t="s">
        <v>4835</v>
      </c>
      <c r="B1909" s="50"/>
      <c r="C1909" s="258" t="s">
        <v>4852</v>
      </c>
    </row>
    <row r="1910" spans="1:3">
      <c r="A1910" s="50" t="s">
        <v>4853</v>
      </c>
      <c r="B1910" s="50"/>
      <c r="C1910" s="258" t="s">
        <v>4854</v>
      </c>
    </row>
    <row r="1911" spans="1:3">
      <c r="A1911" s="50" t="s">
        <v>4853</v>
      </c>
      <c r="B1911" s="50"/>
      <c r="C1911" s="258" t="s">
        <v>4855</v>
      </c>
    </row>
    <row r="1912" spans="1:3">
      <c r="A1912" s="50" t="s">
        <v>4853</v>
      </c>
      <c r="B1912" s="50"/>
      <c r="C1912" s="258" t="s">
        <v>4856</v>
      </c>
    </row>
    <row r="1913" spans="1:3">
      <c r="A1913" s="50" t="s">
        <v>4853</v>
      </c>
      <c r="B1913" s="50"/>
      <c r="C1913" s="258" t="s">
        <v>4857</v>
      </c>
    </row>
    <row r="1914" spans="1:3">
      <c r="A1914" s="50" t="s">
        <v>4853</v>
      </c>
      <c r="B1914" s="50"/>
      <c r="C1914" s="258" t="s">
        <v>4858</v>
      </c>
    </row>
    <row r="1915" spans="1:3">
      <c r="A1915" s="50" t="s">
        <v>4853</v>
      </c>
      <c r="B1915" s="50"/>
      <c r="C1915" s="258" t="s">
        <v>4859</v>
      </c>
    </row>
    <row r="1916" spans="1:3">
      <c r="A1916" s="50" t="s">
        <v>4853</v>
      </c>
      <c r="B1916" s="50"/>
      <c r="C1916" s="258" t="s">
        <v>4860</v>
      </c>
    </row>
    <row r="1917" spans="1:3">
      <c r="A1917" s="50" t="s">
        <v>4853</v>
      </c>
      <c r="B1917" s="50"/>
      <c r="C1917" s="258" t="s">
        <v>4861</v>
      </c>
    </row>
    <row r="1918" spans="1:3">
      <c r="A1918" s="50" t="s">
        <v>4853</v>
      </c>
      <c r="B1918" s="50"/>
      <c r="C1918" s="258" t="s">
        <v>4862</v>
      </c>
    </row>
    <row r="1919" spans="1:3">
      <c r="A1919" s="50" t="s">
        <v>4853</v>
      </c>
      <c r="B1919" s="50"/>
      <c r="C1919" s="258" t="s">
        <v>4863</v>
      </c>
    </row>
    <row r="1920" spans="1:3">
      <c r="A1920" s="50" t="s">
        <v>4853</v>
      </c>
      <c r="B1920" s="50"/>
      <c r="C1920" s="258" t="s">
        <v>4864</v>
      </c>
    </row>
    <row r="1921" spans="1:3">
      <c r="A1921" s="50" t="s">
        <v>4853</v>
      </c>
      <c r="B1921" s="50"/>
      <c r="C1921" s="258" t="s">
        <v>4865</v>
      </c>
    </row>
    <row r="1922" spans="1:3">
      <c r="A1922" s="50" t="s">
        <v>4853</v>
      </c>
      <c r="B1922" s="50"/>
      <c r="C1922" s="258" t="s">
        <v>4866</v>
      </c>
    </row>
    <row r="1923" spans="1:3">
      <c r="A1923" s="50" t="s">
        <v>4853</v>
      </c>
      <c r="B1923" s="50"/>
      <c r="C1923" s="258" t="s">
        <v>4867</v>
      </c>
    </row>
    <row r="1924" spans="1:3">
      <c r="A1924" s="50" t="s">
        <v>4853</v>
      </c>
      <c r="B1924" s="50"/>
      <c r="C1924" s="258" t="s">
        <v>4868</v>
      </c>
    </row>
    <row r="1925" spans="1:3">
      <c r="A1925" s="50" t="s">
        <v>4853</v>
      </c>
      <c r="B1925" s="50"/>
      <c r="C1925" s="258" t="s">
        <v>4869</v>
      </c>
    </row>
    <row r="1926" spans="1:3">
      <c r="A1926" s="50" t="s">
        <v>4853</v>
      </c>
      <c r="B1926" s="50"/>
      <c r="C1926" s="258" t="s">
        <v>4870</v>
      </c>
    </row>
    <row r="1927" spans="1:3">
      <c r="A1927" t="s">
        <v>4871</v>
      </c>
      <c r="C1927" s="257" t="s">
        <v>4872</v>
      </c>
    </row>
    <row r="1928" spans="1:3">
      <c r="A1928" t="s">
        <v>4873</v>
      </c>
      <c r="C1928" s="257" t="s">
        <v>4874</v>
      </c>
    </row>
    <row r="1929" spans="1:3">
      <c r="A1929" t="s">
        <v>4875</v>
      </c>
      <c r="C1929" s="257" t="s">
        <v>4876</v>
      </c>
    </row>
    <row r="1930" spans="1:3">
      <c r="A1930" t="s">
        <v>4877</v>
      </c>
      <c r="C1930" s="257" t="s">
        <v>4878</v>
      </c>
    </row>
    <row r="1931" spans="1:3">
      <c r="A1931" t="s">
        <v>4879</v>
      </c>
      <c r="C1931" s="257" t="s">
        <v>4880</v>
      </c>
    </row>
    <row r="1932" spans="1:3">
      <c r="A1932" t="s">
        <v>4881</v>
      </c>
      <c r="B1932" t="s">
        <v>4882</v>
      </c>
      <c r="C1932" t="s">
        <v>4883</v>
      </c>
    </row>
    <row r="1933" spans="1:3">
      <c r="A1933" t="s">
        <v>4884</v>
      </c>
      <c r="B1933" t="s">
        <v>4885</v>
      </c>
      <c r="C1933" t="s">
        <v>4886</v>
      </c>
    </row>
    <row r="1934" spans="1:3">
      <c r="A1934" t="s">
        <v>4887</v>
      </c>
      <c r="B1934" t="s">
        <v>4888</v>
      </c>
      <c r="C1934" t="s">
        <v>4889</v>
      </c>
    </row>
    <row r="1935" spans="1:3">
      <c r="A1935" t="s">
        <v>4890</v>
      </c>
      <c r="B1935" t="s">
        <v>4891</v>
      </c>
      <c r="C1935" t="s">
        <v>4892</v>
      </c>
    </row>
    <row r="1936" spans="1:3">
      <c r="A1936" t="s">
        <v>4893</v>
      </c>
      <c r="C1936" s="257" t="s">
        <v>4894</v>
      </c>
    </row>
    <row r="1937" spans="1:3">
      <c r="A1937" t="s">
        <v>4895</v>
      </c>
      <c r="C1937" s="257" t="s">
        <v>4896</v>
      </c>
    </row>
    <row r="1938" spans="1:3">
      <c r="A1938" t="s">
        <v>4897</v>
      </c>
      <c r="C1938" s="257" t="s">
        <v>4898</v>
      </c>
    </row>
    <row r="1939" spans="1:3">
      <c r="A1939" t="s">
        <v>4899</v>
      </c>
      <c r="C1939" s="257" t="s">
        <v>4900</v>
      </c>
    </row>
    <row r="1940" spans="1:3">
      <c r="A1940" t="s">
        <v>4901</v>
      </c>
      <c r="B1940" t="s">
        <v>4902</v>
      </c>
      <c r="C1940" t="s">
        <v>4903</v>
      </c>
    </row>
    <row r="1941" spans="1:3">
      <c r="A1941" t="s">
        <v>4904</v>
      </c>
      <c r="B1941" t="s">
        <v>4905</v>
      </c>
      <c r="C1941" t="s">
        <v>4906</v>
      </c>
    </row>
    <row r="1942" spans="1:3">
      <c r="A1942" s="50" t="s">
        <v>4907</v>
      </c>
      <c r="B1942" s="50"/>
      <c r="C1942" s="258" t="s">
        <v>4908</v>
      </c>
    </row>
    <row r="1943" spans="1:3">
      <c r="A1943" s="50" t="s">
        <v>4907</v>
      </c>
      <c r="B1943" s="50"/>
      <c r="C1943" s="258" t="s">
        <v>4909</v>
      </c>
    </row>
    <row r="1944" spans="1:3">
      <c r="A1944" s="50" t="s">
        <v>4907</v>
      </c>
      <c r="B1944" s="50"/>
      <c r="C1944" s="258" t="s">
        <v>4910</v>
      </c>
    </row>
    <row r="1945" spans="1:3">
      <c r="A1945" s="50" t="s">
        <v>4907</v>
      </c>
      <c r="B1945" s="50"/>
      <c r="C1945" s="258" t="s">
        <v>4911</v>
      </c>
    </row>
    <row r="1946" spans="1:3">
      <c r="A1946" s="50" t="s">
        <v>4907</v>
      </c>
      <c r="B1946" s="50"/>
      <c r="C1946" s="258" t="s">
        <v>4912</v>
      </c>
    </row>
    <row r="1947" spans="1:3">
      <c r="A1947" s="50" t="s">
        <v>4907</v>
      </c>
      <c r="B1947" s="50"/>
      <c r="C1947" s="258" t="s">
        <v>4913</v>
      </c>
    </row>
    <row r="1948" spans="1:3">
      <c r="A1948" s="50" t="s">
        <v>4907</v>
      </c>
      <c r="B1948" s="50"/>
      <c r="C1948" s="258" t="s">
        <v>4914</v>
      </c>
    </row>
    <row r="1949" spans="1:3">
      <c r="A1949" s="50" t="s">
        <v>4907</v>
      </c>
      <c r="B1949" s="50"/>
      <c r="C1949" s="258" t="s">
        <v>4915</v>
      </c>
    </row>
    <row r="1950" spans="1:3">
      <c r="A1950" s="50" t="s">
        <v>4907</v>
      </c>
      <c r="B1950" s="50"/>
      <c r="C1950" s="258" t="s">
        <v>4916</v>
      </c>
    </row>
    <row r="1951" spans="1:3">
      <c r="A1951" s="50" t="s">
        <v>4907</v>
      </c>
      <c r="B1951" s="50"/>
      <c r="C1951" s="258" t="s">
        <v>4917</v>
      </c>
    </row>
    <row r="1952" spans="1:3">
      <c r="A1952" s="50" t="s">
        <v>4907</v>
      </c>
      <c r="B1952" s="50"/>
      <c r="C1952" s="258" t="s">
        <v>4918</v>
      </c>
    </row>
    <row r="1953" spans="1:3">
      <c r="A1953" s="50" t="s">
        <v>4907</v>
      </c>
      <c r="B1953" s="50"/>
      <c r="C1953" s="258" t="s">
        <v>4919</v>
      </c>
    </row>
    <row r="1954" spans="1:3">
      <c r="A1954" s="50" t="s">
        <v>4907</v>
      </c>
      <c r="B1954" s="50"/>
      <c r="C1954" s="258" t="s">
        <v>4920</v>
      </c>
    </row>
    <row r="1955" spans="1:3">
      <c r="A1955" s="50" t="s">
        <v>4907</v>
      </c>
      <c r="B1955" s="50"/>
      <c r="C1955" s="258" t="s">
        <v>4921</v>
      </c>
    </row>
    <row r="1956" spans="1:3">
      <c r="A1956" s="50" t="s">
        <v>4907</v>
      </c>
      <c r="B1956" s="50"/>
      <c r="C1956" s="258" t="s">
        <v>4922</v>
      </c>
    </row>
    <row r="1957" spans="1:3">
      <c r="A1957" s="50" t="s">
        <v>4907</v>
      </c>
      <c r="B1957" s="50"/>
      <c r="C1957" s="258" t="s">
        <v>4923</v>
      </c>
    </row>
    <row r="1958" spans="1:3">
      <c r="A1958" t="s">
        <v>4924</v>
      </c>
      <c r="C1958" s="257" t="s">
        <v>4925</v>
      </c>
    </row>
    <row r="1959" spans="1:3">
      <c r="A1959" t="s">
        <v>4926</v>
      </c>
      <c r="B1959" t="s">
        <v>4927</v>
      </c>
      <c r="C1959" t="s">
        <v>4928</v>
      </c>
    </row>
    <row r="1960" spans="1:3">
      <c r="A1960" t="s">
        <v>4929</v>
      </c>
      <c r="B1960" t="s">
        <v>4930</v>
      </c>
      <c r="C1960" t="s">
        <v>4931</v>
      </c>
    </row>
    <row r="1961" spans="1:3">
      <c r="A1961" t="s">
        <v>4932</v>
      </c>
      <c r="B1961" t="s">
        <v>4933</v>
      </c>
      <c r="C1961" t="s">
        <v>4934</v>
      </c>
    </row>
    <row r="1962" spans="1:3">
      <c r="A1962" t="s">
        <v>4935</v>
      </c>
      <c r="B1962" t="s">
        <v>4936</v>
      </c>
      <c r="C1962" t="s">
        <v>4937</v>
      </c>
    </row>
    <row r="1963" spans="1:3">
      <c r="A1963" t="s">
        <v>4938</v>
      </c>
      <c r="B1963" t="s">
        <v>4939</v>
      </c>
      <c r="C1963" t="s">
        <v>4940</v>
      </c>
    </row>
    <row r="1964" spans="1:3">
      <c r="A1964" t="s">
        <v>4941</v>
      </c>
      <c r="B1964" t="s">
        <v>4942</v>
      </c>
      <c r="C1964" t="s">
        <v>4943</v>
      </c>
    </row>
    <row r="1965" spans="1:3">
      <c r="A1965" t="s">
        <v>4944</v>
      </c>
      <c r="B1965" t="s">
        <v>4945</v>
      </c>
      <c r="C1965" t="s">
        <v>4946</v>
      </c>
    </row>
    <row r="1966" spans="1:3">
      <c r="A1966" t="s">
        <v>4947</v>
      </c>
      <c r="B1966" t="s">
        <v>4948</v>
      </c>
      <c r="C1966" t="s">
        <v>4949</v>
      </c>
    </row>
    <row r="1967" spans="1:3">
      <c r="A1967" t="s">
        <v>4950</v>
      </c>
      <c r="B1967" t="s">
        <v>4951</v>
      </c>
      <c r="C1967" t="s">
        <v>4952</v>
      </c>
    </row>
    <row r="1968" spans="1:3">
      <c r="A1968" t="s">
        <v>4953</v>
      </c>
      <c r="B1968" t="s">
        <v>4954</v>
      </c>
      <c r="C1968" t="s">
        <v>4955</v>
      </c>
    </row>
    <row r="1969" spans="1:3">
      <c r="A1969" t="s">
        <v>4956</v>
      </c>
      <c r="B1969" t="s">
        <v>4957</v>
      </c>
      <c r="C1969" t="s">
        <v>4958</v>
      </c>
    </row>
    <row r="1970" spans="1:3">
      <c r="A1970" t="s">
        <v>4959</v>
      </c>
      <c r="B1970" t="s">
        <v>4960</v>
      </c>
      <c r="C1970" t="s">
        <v>4961</v>
      </c>
    </row>
    <row r="1971" spans="1:3">
      <c r="A1971" t="s">
        <v>4962</v>
      </c>
      <c r="B1971" t="s">
        <v>4963</v>
      </c>
      <c r="C1971" t="s">
        <v>4964</v>
      </c>
    </row>
    <row r="1972" spans="1:3">
      <c r="A1972" t="s">
        <v>4965</v>
      </c>
      <c r="B1972" t="s">
        <v>4966</v>
      </c>
      <c r="C1972" t="s">
        <v>4967</v>
      </c>
    </row>
    <row r="1973" spans="1:3">
      <c r="A1973" t="s">
        <v>4968</v>
      </c>
      <c r="B1973" t="s">
        <v>4969</v>
      </c>
      <c r="C1973" t="s">
        <v>4970</v>
      </c>
    </row>
    <row r="1974" spans="1:3">
      <c r="A1974" t="s">
        <v>4971</v>
      </c>
      <c r="B1974" t="s">
        <v>4972</v>
      </c>
      <c r="C1974" t="s">
        <v>4973</v>
      </c>
    </row>
    <row r="1975" spans="1:3">
      <c r="A1975" t="s">
        <v>4974</v>
      </c>
      <c r="B1975" t="s">
        <v>4975</v>
      </c>
      <c r="C1975" t="s">
        <v>4976</v>
      </c>
    </row>
    <row r="1976" spans="1:3">
      <c r="A1976" t="s">
        <v>4977</v>
      </c>
      <c r="B1976" t="s">
        <v>4978</v>
      </c>
      <c r="C1976" t="s">
        <v>4979</v>
      </c>
    </row>
    <row r="1977" spans="1:3">
      <c r="A1977" t="s">
        <v>4980</v>
      </c>
      <c r="B1977" t="s">
        <v>4981</v>
      </c>
      <c r="C1977" t="s">
        <v>4982</v>
      </c>
    </row>
    <row r="1978" spans="1:3">
      <c r="A1978" t="s">
        <v>4983</v>
      </c>
      <c r="B1978" t="s">
        <v>4984</v>
      </c>
      <c r="C1978" t="s">
        <v>4985</v>
      </c>
    </row>
    <row r="1979" spans="1:3">
      <c r="A1979" t="s">
        <v>4986</v>
      </c>
      <c r="B1979" t="s">
        <v>4987</v>
      </c>
      <c r="C1979" t="s">
        <v>4988</v>
      </c>
    </row>
    <row r="1980" spans="1:3">
      <c r="A1980" t="s">
        <v>4989</v>
      </c>
      <c r="B1980" t="s">
        <v>4990</v>
      </c>
      <c r="C1980" t="s">
        <v>4991</v>
      </c>
    </row>
    <row r="1981" spans="1:3">
      <c r="A1981" t="s">
        <v>4992</v>
      </c>
      <c r="B1981" t="s">
        <v>4993</v>
      </c>
      <c r="C1981" t="s">
        <v>4994</v>
      </c>
    </row>
    <row r="1982" spans="1:3">
      <c r="A1982" t="s">
        <v>4995</v>
      </c>
      <c r="B1982" t="s">
        <v>4996</v>
      </c>
      <c r="C1982" t="s">
        <v>4997</v>
      </c>
    </row>
    <row r="1983" spans="1:3">
      <c r="A1983" t="s">
        <v>4998</v>
      </c>
      <c r="B1983" t="s">
        <v>4999</v>
      </c>
      <c r="C1983" t="s">
        <v>5000</v>
      </c>
    </row>
    <row r="1984" spans="1:3">
      <c r="A1984" t="s">
        <v>5001</v>
      </c>
      <c r="B1984" t="s">
        <v>5002</v>
      </c>
      <c r="C1984" t="s">
        <v>5003</v>
      </c>
    </row>
    <row r="1985" spans="1:3">
      <c r="A1985" t="s">
        <v>5004</v>
      </c>
      <c r="B1985" t="s">
        <v>5005</v>
      </c>
      <c r="C1985" t="s">
        <v>5006</v>
      </c>
    </row>
    <row r="1986" spans="1:3">
      <c r="A1986" t="s">
        <v>5007</v>
      </c>
      <c r="B1986" t="s">
        <v>5008</v>
      </c>
      <c r="C1986" t="s">
        <v>5009</v>
      </c>
    </row>
    <row r="1987" spans="1:3">
      <c r="A1987" t="s">
        <v>5010</v>
      </c>
      <c r="B1987" t="s">
        <v>5011</v>
      </c>
      <c r="C1987" t="s">
        <v>5012</v>
      </c>
    </row>
    <row r="1988" spans="1:3">
      <c r="A1988" t="s">
        <v>5013</v>
      </c>
      <c r="B1988" t="s">
        <v>5014</v>
      </c>
      <c r="C1988" t="s">
        <v>5015</v>
      </c>
    </row>
    <row r="1989" spans="1:3">
      <c r="A1989" t="s">
        <v>5016</v>
      </c>
      <c r="B1989" t="s">
        <v>5017</v>
      </c>
      <c r="C1989" t="s">
        <v>5018</v>
      </c>
    </row>
    <row r="1990" spans="1:3">
      <c r="A1990" t="s">
        <v>5019</v>
      </c>
      <c r="B1990" t="s">
        <v>5020</v>
      </c>
      <c r="C1990" t="s">
        <v>5021</v>
      </c>
    </row>
    <row r="1991" spans="1:3">
      <c r="A1991" t="s">
        <v>5022</v>
      </c>
      <c r="B1991" t="s">
        <v>5023</v>
      </c>
      <c r="C1991" t="s">
        <v>5024</v>
      </c>
    </row>
    <row r="1992" spans="1:3">
      <c r="A1992" t="s">
        <v>5025</v>
      </c>
      <c r="B1992" t="s">
        <v>5026</v>
      </c>
      <c r="C1992" t="s">
        <v>5027</v>
      </c>
    </row>
    <row r="1993" spans="1:3">
      <c r="A1993" t="s">
        <v>5028</v>
      </c>
      <c r="B1993" t="s">
        <v>5029</v>
      </c>
      <c r="C1993" t="s">
        <v>5030</v>
      </c>
    </row>
    <row r="1994" spans="1:3">
      <c r="A1994" t="s">
        <v>5031</v>
      </c>
      <c r="B1994" t="s">
        <v>5032</v>
      </c>
      <c r="C1994" t="s">
        <v>5033</v>
      </c>
    </row>
    <row r="1995" spans="1:3">
      <c r="A1995" t="s">
        <v>5034</v>
      </c>
      <c r="B1995" t="s">
        <v>5035</v>
      </c>
      <c r="C1995" t="s">
        <v>5036</v>
      </c>
    </row>
    <row r="1996" spans="1:3">
      <c r="A1996" t="s">
        <v>5037</v>
      </c>
      <c r="B1996" t="s">
        <v>5038</v>
      </c>
      <c r="C1996" t="s">
        <v>5039</v>
      </c>
    </row>
    <row r="1997" spans="1:3">
      <c r="A1997" t="s">
        <v>5040</v>
      </c>
      <c r="C1997" s="257" t="s">
        <v>5041</v>
      </c>
    </row>
    <row r="1998" spans="1:3">
      <c r="A1998" t="s">
        <v>5042</v>
      </c>
      <c r="B1998" t="s">
        <v>5043</v>
      </c>
      <c r="C1998" t="s">
        <v>5044</v>
      </c>
    </row>
    <row r="1999" spans="1:3">
      <c r="A1999" t="s">
        <v>5045</v>
      </c>
      <c r="B1999" t="s">
        <v>5046</v>
      </c>
      <c r="C1999" t="s">
        <v>5047</v>
      </c>
    </row>
    <row r="2000" spans="1:3">
      <c r="A2000" t="s">
        <v>5048</v>
      </c>
      <c r="B2000" t="s">
        <v>5049</v>
      </c>
      <c r="C2000" t="s">
        <v>5050</v>
      </c>
    </row>
    <row r="2001" spans="1:3">
      <c r="A2001" t="s">
        <v>5051</v>
      </c>
      <c r="B2001" t="s">
        <v>5052</v>
      </c>
      <c r="C2001" t="s">
        <v>5053</v>
      </c>
    </row>
    <row r="2002" spans="1:3">
      <c r="A2002" t="s">
        <v>5054</v>
      </c>
      <c r="C2002" s="257" t="s">
        <v>5055</v>
      </c>
    </row>
    <row r="2003" spans="1:3">
      <c r="A2003" t="s">
        <v>5056</v>
      </c>
      <c r="C2003" s="257" t="s">
        <v>5057</v>
      </c>
    </row>
    <row r="2004" spans="1:3">
      <c r="A2004" t="s">
        <v>5058</v>
      </c>
      <c r="C2004" s="257" t="s">
        <v>5059</v>
      </c>
    </row>
    <row r="2005" spans="1:3">
      <c r="A2005" t="s">
        <v>5060</v>
      </c>
      <c r="C2005" s="257" t="s">
        <v>5061</v>
      </c>
    </row>
    <row r="2006" spans="1:3">
      <c r="A2006" t="s">
        <v>5062</v>
      </c>
      <c r="C2006" s="257" t="s">
        <v>5063</v>
      </c>
    </row>
    <row r="2007" spans="1:3">
      <c r="A2007" t="s">
        <v>5064</v>
      </c>
      <c r="C2007" s="257" t="s">
        <v>5065</v>
      </c>
    </row>
    <row r="2008" spans="1:3">
      <c r="A2008" t="s">
        <v>5066</v>
      </c>
      <c r="C2008" s="257" t="s">
        <v>5067</v>
      </c>
    </row>
    <row r="2009" spans="1:3">
      <c r="A2009" t="s">
        <v>5068</v>
      </c>
      <c r="C2009" s="257" t="s">
        <v>5069</v>
      </c>
    </row>
    <row r="2010" spans="1:3">
      <c r="A2010" t="s">
        <v>5070</v>
      </c>
      <c r="C2010" s="257" t="s">
        <v>5071</v>
      </c>
    </row>
    <row r="2011" spans="1:3">
      <c r="A2011" t="s">
        <v>5072</v>
      </c>
      <c r="C2011" s="257" t="s">
        <v>5073</v>
      </c>
    </row>
    <row r="2012" spans="1:3">
      <c r="A2012" t="s">
        <v>5074</v>
      </c>
      <c r="C2012" s="257" t="s">
        <v>5075</v>
      </c>
    </row>
    <row r="2013" spans="1:3">
      <c r="A2013" t="s">
        <v>5076</v>
      </c>
      <c r="C2013" s="257" t="s">
        <v>5077</v>
      </c>
    </row>
    <row r="2014" spans="1:3">
      <c r="A2014" t="s">
        <v>5078</v>
      </c>
      <c r="C2014" s="257" t="s">
        <v>5079</v>
      </c>
    </row>
    <row r="2015" spans="1:3">
      <c r="A2015" t="s">
        <v>5080</v>
      </c>
      <c r="C2015" s="257" t="s">
        <v>5081</v>
      </c>
    </row>
    <row r="2016" spans="1:3">
      <c r="A2016" t="s">
        <v>5082</v>
      </c>
      <c r="C2016" s="257" t="s">
        <v>5083</v>
      </c>
    </row>
    <row r="2017" spans="1:3">
      <c r="A2017" t="s">
        <v>5084</v>
      </c>
      <c r="C2017" s="257" t="s">
        <v>5085</v>
      </c>
    </row>
    <row r="2018" spans="1:3">
      <c r="A2018" t="s">
        <v>5086</v>
      </c>
      <c r="C2018" s="257" t="s">
        <v>5087</v>
      </c>
    </row>
    <row r="2019" spans="1:3">
      <c r="A2019" t="s">
        <v>5088</v>
      </c>
      <c r="C2019" s="257" t="s">
        <v>5089</v>
      </c>
    </row>
    <row r="2020" spans="1:3">
      <c r="A2020" t="s">
        <v>5090</v>
      </c>
      <c r="C2020" s="257" t="s">
        <v>5091</v>
      </c>
    </row>
    <row r="2021" spans="1:3">
      <c r="A2021" t="s">
        <v>5092</v>
      </c>
      <c r="C2021" s="257" t="s">
        <v>5093</v>
      </c>
    </row>
    <row r="2022" spans="1:3">
      <c r="A2022" t="s">
        <v>5094</v>
      </c>
      <c r="C2022" s="257" t="s">
        <v>5095</v>
      </c>
    </row>
    <row r="2023" spans="1:3">
      <c r="A2023" t="s">
        <v>5096</v>
      </c>
      <c r="C2023" s="257" t="s">
        <v>5097</v>
      </c>
    </row>
    <row r="2024" spans="1:3">
      <c r="A2024" t="s">
        <v>5098</v>
      </c>
      <c r="C2024" s="257" t="s">
        <v>5099</v>
      </c>
    </row>
    <row r="2025" spans="1:3">
      <c r="A2025" t="s">
        <v>5100</v>
      </c>
      <c r="C2025" s="257" t="s">
        <v>5101</v>
      </c>
    </row>
    <row r="2026" spans="1:3">
      <c r="A2026" t="s">
        <v>5102</v>
      </c>
      <c r="C2026" s="257" t="s">
        <v>5103</v>
      </c>
    </row>
    <row r="2027" spans="1:3">
      <c r="A2027" t="s">
        <v>5104</v>
      </c>
      <c r="C2027" s="257" t="s">
        <v>5105</v>
      </c>
    </row>
    <row r="2028" spans="1:3">
      <c r="A2028" t="s">
        <v>5106</v>
      </c>
      <c r="C2028" s="257" t="s">
        <v>5107</v>
      </c>
    </row>
    <row r="2029" spans="1:3">
      <c r="A2029" t="s">
        <v>5108</v>
      </c>
      <c r="C2029" s="257" t="s">
        <v>5109</v>
      </c>
    </row>
    <row r="2030" spans="1:3">
      <c r="A2030" t="s">
        <v>5110</v>
      </c>
      <c r="C2030" s="257" t="s">
        <v>5111</v>
      </c>
    </row>
    <row r="2031" spans="1:3">
      <c r="A2031" s="50" t="s">
        <v>5112</v>
      </c>
      <c r="B2031" s="50"/>
      <c r="C2031" s="258" t="s">
        <v>5113</v>
      </c>
    </row>
    <row r="2032" spans="1:3">
      <c r="A2032" s="50" t="s">
        <v>5112</v>
      </c>
      <c r="B2032" s="50"/>
      <c r="C2032" s="258" t="s">
        <v>5114</v>
      </c>
    </row>
    <row r="2033" spans="1:3">
      <c r="A2033" s="50" t="s">
        <v>5112</v>
      </c>
      <c r="B2033" s="50"/>
      <c r="C2033" s="258" t="s">
        <v>5115</v>
      </c>
    </row>
    <row r="2034" spans="1:3">
      <c r="A2034" s="50" t="s">
        <v>5112</v>
      </c>
      <c r="B2034" s="50"/>
      <c r="C2034" s="258" t="s">
        <v>5116</v>
      </c>
    </row>
    <row r="2035" spans="1:3">
      <c r="A2035" s="50" t="s">
        <v>5112</v>
      </c>
      <c r="B2035" s="50"/>
      <c r="C2035" s="258" t="s">
        <v>5117</v>
      </c>
    </row>
    <row r="2036" spans="1:3">
      <c r="A2036" s="50" t="s">
        <v>5112</v>
      </c>
      <c r="B2036" s="50"/>
      <c r="C2036" s="258" t="s">
        <v>5118</v>
      </c>
    </row>
    <row r="2037" spans="1:3">
      <c r="A2037" s="50" t="s">
        <v>5112</v>
      </c>
      <c r="B2037" s="50"/>
      <c r="C2037" s="258" t="s">
        <v>5119</v>
      </c>
    </row>
    <row r="2038" spans="1:3">
      <c r="A2038" s="50" t="s">
        <v>5112</v>
      </c>
      <c r="B2038" s="50"/>
      <c r="C2038" s="258" t="s">
        <v>5120</v>
      </c>
    </row>
    <row r="2039" spans="1:3">
      <c r="A2039" s="50" t="s">
        <v>5112</v>
      </c>
      <c r="B2039" s="50"/>
      <c r="C2039" s="258" t="s">
        <v>5121</v>
      </c>
    </row>
    <row r="2040" spans="1:3">
      <c r="A2040" s="50" t="s">
        <v>5112</v>
      </c>
      <c r="B2040" s="50"/>
      <c r="C2040" s="258" t="s">
        <v>5122</v>
      </c>
    </row>
    <row r="2041" spans="1:3">
      <c r="A2041" s="50" t="s">
        <v>5112</v>
      </c>
      <c r="B2041" s="50"/>
      <c r="C2041" s="258" t="s">
        <v>5123</v>
      </c>
    </row>
    <row r="2042" spans="1:3">
      <c r="A2042" s="50" t="s">
        <v>5112</v>
      </c>
      <c r="B2042" s="50"/>
      <c r="C2042" s="258" t="s">
        <v>5124</v>
      </c>
    </row>
    <row r="2043" spans="1:3">
      <c r="A2043" s="50" t="s">
        <v>5112</v>
      </c>
      <c r="B2043" s="50"/>
      <c r="C2043" s="258" t="s">
        <v>5125</v>
      </c>
    </row>
    <row r="2044" spans="1:3">
      <c r="A2044" s="50" t="s">
        <v>5112</v>
      </c>
      <c r="B2044" s="50"/>
      <c r="C2044" s="258" t="s">
        <v>5126</v>
      </c>
    </row>
    <row r="2045" spans="1:3">
      <c r="A2045" s="50" t="s">
        <v>5112</v>
      </c>
      <c r="B2045" s="50"/>
      <c r="C2045" s="258" t="s">
        <v>5127</v>
      </c>
    </row>
    <row r="2046" spans="1:3">
      <c r="A2046" s="50" t="s">
        <v>5112</v>
      </c>
      <c r="B2046" s="50"/>
      <c r="C2046" s="258" t="s">
        <v>5128</v>
      </c>
    </row>
    <row r="2047" spans="1:3">
      <c r="A2047" t="s">
        <v>5129</v>
      </c>
      <c r="C2047" s="257" t="s">
        <v>5130</v>
      </c>
    </row>
    <row r="2048" spans="1:3">
      <c r="A2048" t="s">
        <v>5131</v>
      </c>
      <c r="C2048" s="257" t="s">
        <v>5132</v>
      </c>
    </row>
    <row r="2049" spans="1:3">
      <c r="A2049" s="50" t="s">
        <v>5133</v>
      </c>
      <c r="B2049" t="s">
        <v>5038</v>
      </c>
      <c r="C2049" s="74" t="s">
        <v>5134</v>
      </c>
    </row>
    <row r="2050" spans="1:3">
      <c r="A2050" t="s">
        <v>5135</v>
      </c>
      <c r="C2050" s="257" t="s">
        <v>5136</v>
      </c>
    </row>
    <row r="2051" spans="1:3">
      <c r="A2051" t="s">
        <v>5137</v>
      </c>
      <c r="C2051" s="257" t="s">
        <v>5138</v>
      </c>
    </row>
    <row r="2052" spans="1:3">
      <c r="A2052" t="s">
        <v>5139</v>
      </c>
      <c r="C2052" s="257" t="s">
        <v>5140</v>
      </c>
    </row>
    <row r="2053" spans="1:3">
      <c r="A2053" t="s">
        <v>5141</v>
      </c>
      <c r="B2053" t="s">
        <v>5142</v>
      </c>
      <c r="C2053" t="s">
        <v>5143</v>
      </c>
    </row>
    <row r="2054" spans="1:3">
      <c r="A2054" t="s">
        <v>5144</v>
      </c>
      <c r="B2054" t="s">
        <v>5145</v>
      </c>
      <c r="C2054" t="s">
        <v>5146</v>
      </c>
    </row>
    <row r="2055" spans="1:3">
      <c r="A2055" t="s">
        <v>5147</v>
      </c>
      <c r="B2055" t="s">
        <v>5148</v>
      </c>
      <c r="C2055" t="s">
        <v>5149</v>
      </c>
    </row>
    <row r="2056" spans="1:3">
      <c r="A2056" t="s">
        <v>5150</v>
      </c>
      <c r="B2056" t="s">
        <v>5151</v>
      </c>
      <c r="C2056" t="s">
        <v>5152</v>
      </c>
    </row>
    <row r="2057" spans="1:3">
      <c r="A2057" t="s">
        <v>5153</v>
      </c>
      <c r="B2057" t="s">
        <v>5154</v>
      </c>
      <c r="C2057" t="s">
        <v>5155</v>
      </c>
    </row>
    <row r="2058" spans="1:3">
      <c r="A2058" t="s">
        <v>5156</v>
      </c>
      <c r="B2058" t="s">
        <v>5157</v>
      </c>
      <c r="C2058" t="s">
        <v>5158</v>
      </c>
    </row>
    <row r="2059" spans="1:3">
      <c r="A2059" t="s">
        <v>5159</v>
      </c>
      <c r="B2059" t="s">
        <v>5160</v>
      </c>
      <c r="C2059" t="s">
        <v>5161</v>
      </c>
    </row>
    <row r="2060" spans="1:3">
      <c r="A2060" t="s">
        <v>5162</v>
      </c>
      <c r="B2060" t="s">
        <v>5163</v>
      </c>
      <c r="C2060" t="s">
        <v>5164</v>
      </c>
    </row>
    <row r="2061" spans="1:3">
      <c r="A2061" t="s">
        <v>5165</v>
      </c>
      <c r="B2061" t="s">
        <v>5166</v>
      </c>
      <c r="C2061" t="s">
        <v>5167</v>
      </c>
    </row>
    <row r="2062" spans="1:3">
      <c r="A2062" t="s">
        <v>5168</v>
      </c>
      <c r="B2062" t="s">
        <v>5169</v>
      </c>
      <c r="C2062" t="s">
        <v>5170</v>
      </c>
    </row>
    <row r="2063" spans="1:3">
      <c r="A2063" t="s">
        <v>5171</v>
      </c>
      <c r="B2063" t="s">
        <v>5172</v>
      </c>
      <c r="C2063" t="s">
        <v>5173</v>
      </c>
    </row>
    <row r="2064" spans="1:3">
      <c r="A2064" t="s">
        <v>5174</v>
      </c>
      <c r="B2064" t="s">
        <v>5175</v>
      </c>
      <c r="C2064" t="s">
        <v>5176</v>
      </c>
    </row>
    <row r="2065" spans="1:3">
      <c r="A2065" t="s">
        <v>5177</v>
      </c>
      <c r="C2065" s="257" t="s">
        <v>5178</v>
      </c>
    </row>
    <row r="2066" spans="1:3">
      <c r="A2066" t="s">
        <v>5179</v>
      </c>
      <c r="C2066" s="257" t="s">
        <v>5180</v>
      </c>
    </row>
    <row r="2067" spans="1:3">
      <c r="A2067" t="s">
        <v>5181</v>
      </c>
      <c r="C2067" s="257" t="s">
        <v>5182</v>
      </c>
    </row>
    <row r="2068" spans="1:3">
      <c r="A2068" t="s">
        <v>5183</v>
      </c>
      <c r="B2068" t="s">
        <v>5184</v>
      </c>
      <c r="C2068" t="s">
        <v>5185</v>
      </c>
    </row>
    <row r="2069" spans="1:3">
      <c r="A2069" t="s">
        <v>5186</v>
      </c>
      <c r="B2069" t="s">
        <v>5187</v>
      </c>
      <c r="C2069" t="s">
        <v>5188</v>
      </c>
    </row>
    <row r="2070" spans="1:3">
      <c r="A2070" t="s">
        <v>5189</v>
      </c>
      <c r="B2070" t="s">
        <v>5190</v>
      </c>
      <c r="C2070" t="s">
        <v>5191</v>
      </c>
    </row>
    <row r="2071" spans="1:3">
      <c r="A2071" t="s">
        <v>5192</v>
      </c>
      <c r="B2071" t="s">
        <v>5193</v>
      </c>
      <c r="C2071" t="s">
        <v>5194</v>
      </c>
    </row>
    <row r="2072" spans="1:3">
      <c r="A2072" t="s">
        <v>5195</v>
      </c>
      <c r="B2072" t="s">
        <v>5196</v>
      </c>
      <c r="C2072" t="s">
        <v>5197</v>
      </c>
    </row>
    <row r="2073" spans="1:3">
      <c r="A2073" t="s">
        <v>5198</v>
      </c>
      <c r="B2073" t="s">
        <v>5199</v>
      </c>
      <c r="C2073" t="s">
        <v>5200</v>
      </c>
    </row>
    <row r="2074" spans="1:3">
      <c r="A2074" t="s">
        <v>5201</v>
      </c>
      <c r="B2074" t="s">
        <v>5202</v>
      </c>
      <c r="C2074" t="s">
        <v>5203</v>
      </c>
    </row>
    <row r="2075" spans="1:3">
      <c r="A2075" t="s">
        <v>5204</v>
      </c>
      <c r="C2075" s="257" t="s">
        <v>5205</v>
      </c>
    </row>
    <row r="2076" spans="1:3">
      <c r="A2076" t="s">
        <v>5206</v>
      </c>
      <c r="C2076" s="257" t="s">
        <v>5207</v>
      </c>
    </row>
    <row r="2077" spans="1:3">
      <c r="A2077" t="s">
        <v>5208</v>
      </c>
      <c r="C2077" s="257" t="s">
        <v>5209</v>
      </c>
    </row>
    <row r="2078" spans="1:3">
      <c r="A2078" t="s">
        <v>5210</v>
      </c>
      <c r="C2078" s="257" t="s">
        <v>5211</v>
      </c>
    </row>
    <row r="2079" spans="1:3">
      <c r="A2079" t="s">
        <v>5212</v>
      </c>
      <c r="C2079" s="257" t="s">
        <v>5213</v>
      </c>
    </row>
    <row r="2080" spans="1:3">
      <c r="A2080" t="s">
        <v>5214</v>
      </c>
      <c r="C2080" s="257" t="s">
        <v>5215</v>
      </c>
    </row>
    <row r="2081" spans="1:3">
      <c r="A2081" t="s">
        <v>5216</v>
      </c>
      <c r="C2081" s="257" t="s">
        <v>5217</v>
      </c>
    </row>
    <row r="2082" spans="1:3">
      <c r="A2082" t="s">
        <v>5218</v>
      </c>
      <c r="C2082" s="257" t="s">
        <v>5219</v>
      </c>
    </row>
    <row r="2083" spans="1:3">
      <c r="A2083" t="s">
        <v>5220</v>
      </c>
      <c r="B2083" t="s">
        <v>5221</v>
      </c>
      <c r="C2083" t="s">
        <v>5222</v>
      </c>
    </row>
    <row r="2084" spans="1:3">
      <c r="A2084" t="s">
        <v>5223</v>
      </c>
      <c r="B2084" t="s">
        <v>5224</v>
      </c>
      <c r="C2084" t="s">
        <v>5225</v>
      </c>
    </row>
    <row r="2085" spans="1:3">
      <c r="A2085" t="s">
        <v>5226</v>
      </c>
      <c r="B2085" t="s">
        <v>5227</v>
      </c>
      <c r="C2085" t="s">
        <v>5228</v>
      </c>
    </row>
    <row r="2086" spans="1:3">
      <c r="A2086" t="s">
        <v>5229</v>
      </c>
      <c r="B2086" t="s">
        <v>5230</v>
      </c>
      <c r="C2086" t="s">
        <v>5231</v>
      </c>
    </row>
    <row r="2087" spans="1:3">
      <c r="A2087" t="s">
        <v>5232</v>
      </c>
      <c r="B2087" t="s">
        <v>5233</v>
      </c>
      <c r="C2087" t="s">
        <v>5234</v>
      </c>
    </row>
    <row r="2088" spans="1:3">
      <c r="A2088" t="s">
        <v>5235</v>
      </c>
      <c r="B2088" t="s">
        <v>5236</v>
      </c>
      <c r="C2088" t="s">
        <v>5237</v>
      </c>
    </row>
    <row r="2089" spans="1:3">
      <c r="A2089" t="s">
        <v>5238</v>
      </c>
      <c r="B2089" t="s">
        <v>5239</v>
      </c>
      <c r="C2089" t="s">
        <v>5240</v>
      </c>
    </row>
    <row r="2090" spans="1:3">
      <c r="A2090" t="s">
        <v>5241</v>
      </c>
      <c r="B2090" t="s">
        <v>5242</v>
      </c>
      <c r="C2090" t="s">
        <v>5243</v>
      </c>
    </row>
    <row r="2091" spans="1:3">
      <c r="A2091" t="s">
        <v>5244</v>
      </c>
      <c r="B2091" t="s">
        <v>5242</v>
      </c>
      <c r="C2091" t="s">
        <v>5245</v>
      </c>
    </row>
    <row r="2092" spans="1:3">
      <c r="A2092" t="s">
        <v>5246</v>
      </c>
      <c r="B2092" t="s">
        <v>5242</v>
      </c>
      <c r="C2092" t="s">
        <v>5247</v>
      </c>
    </row>
    <row r="2093" spans="1:3">
      <c r="A2093" t="s">
        <v>5248</v>
      </c>
      <c r="B2093" t="s">
        <v>5242</v>
      </c>
      <c r="C2093" t="s">
        <v>5249</v>
      </c>
    </row>
    <row r="2094" spans="1:3">
      <c r="A2094" t="s">
        <v>5250</v>
      </c>
      <c r="B2094" t="s">
        <v>5242</v>
      </c>
      <c r="C2094" t="s">
        <v>5251</v>
      </c>
    </row>
    <row r="2095" spans="1:3">
      <c r="A2095" t="s">
        <v>5252</v>
      </c>
      <c r="B2095" t="s">
        <v>5242</v>
      </c>
      <c r="C2095" t="s">
        <v>5253</v>
      </c>
    </row>
    <row r="2096" spans="1:3">
      <c r="A2096" t="s">
        <v>5254</v>
      </c>
      <c r="B2096" t="s">
        <v>5242</v>
      </c>
      <c r="C2096" t="s">
        <v>5255</v>
      </c>
    </row>
    <row r="2097" spans="1:3">
      <c r="A2097" t="s">
        <v>5256</v>
      </c>
      <c r="B2097" t="s">
        <v>5242</v>
      </c>
      <c r="C2097" t="s">
        <v>5257</v>
      </c>
    </row>
    <row r="2098" spans="1:3">
      <c r="A2098" t="s">
        <v>5258</v>
      </c>
      <c r="B2098" t="s">
        <v>5242</v>
      </c>
      <c r="C2098" t="s">
        <v>5259</v>
      </c>
    </row>
    <row r="2099" spans="1:3">
      <c r="A2099" t="s">
        <v>5260</v>
      </c>
      <c r="B2099" t="s">
        <v>5242</v>
      </c>
      <c r="C2099" t="s">
        <v>5261</v>
      </c>
    </row>
    <row r="2100" spans="1:3">
      <c r="A2100" t="s">
        <v>5262</v>
      </c>
      <c r="B2100" t="s">
        <v>5242</v>
      </c>
      <c r="C2100" t="s">
        <v>5263</v>
      </c>
    </row>
    <row r="2101" spans="1:3">
      <c r="A2101" t="s">
        <v>5264</v>
      </c>
      <c r="B2101" t="s">
        <v>5242</v>
      </c>
      <c r="C2101" t="s">
        <v>5265</v>
      </c>
    </row>
    <row r="2102" spans="1:3">
      <c r="A2102" t="s">
        <v>5266</v>
      </c>
      <c r="B2102" t="s">
        <v>5242</v>
      </c>
      <c r="C2102" t="s">
        <v>5267</v>
      </c>
    </row>
    <row r="2103" spans="1:3">
      <c r="A2103" t="s">
        <v>5268</v>
      </c>
      <c r="B2103" t="s">
        <v>5242</v>
      </c>
      <c r="C2103" t="s">
        <v>5269</v>
      </c>
    </row>
    <row r="2104" spans="1:3">
      <c r="A2104" t="s">
        <v>5270</v>
      </c>
      <c r="B2104" t="s">
        <v>5242</v>
      </c>
      <c r="C2104" t="s">
        <v>5271</v>
      </c>
    </row>
    <row r="2105" spans="1:3">
      <c r="A2105" t="s">
        <v>5272</v>
      </c>
      <c r="B2105" t="s">
        <v>5242</v>
      </c>
      <c r="C2105" t="s">
        <v>5273</v>
      </c>
    </row>
    <row r="2106" spans="1:3">
      <c r="A2106" t="s">
        <v>5274</v>
      </c>
      <c r="B2106" t="s">
        <v>5242</v>
      </c>
      <c r="C2106" t="s">
        <v>5275</v>
      </c>
    </row>
    <row r="2107" spans="1:3">
      <c r="A2107" t="s">
        <v>5276</v>
      </c>
      <c r="B2107" t="s">
        <v>5242</v>
      </c>
      <c r="C2107" t="s">
        <v>5277</v>
      </c>
    </row>
    <row r="2108" spans="1:3">
      <c r="A2108" t="s">
        <v>5278</v>
      </c>
      <c r="B2108" t="s">
        <v>5242</v>
      </c>
      <c r="C2108" t="s">
        <v>5279</v>
      </c>
    </row>
    <row r="2109" spans="1:3">
      <c r="A2109" t="s">
        <v>5280</v>
      </c>
      <c r="B2109" t="s">
        <v>5242</v>
      </c>
      <c r="C2109" t="s">
        <v>5281</v>
      </c>
    </row>
    <row r="2110" spans="1:3">
      <c r="A2110" t="s">
        <v>5282</v>
      </c>
      <c r="B2110" t="s">
        <v>5242</v>
      </c>
      <c r="C2110" t="s">
        <v>5283</v>
      </c>
    </row>
    <row r="2111" spans="1:3">
      <c r="A2111" t="s">
        <v>5284</v>
      </c>
      <c r="B2111" t="s">
        <v>5242</v>
      </c>
      <c r="C2111" t="s">
        <v>5285</v>
      </c>
    </row>
    <row r="2112" spans="1:3">
      <c r="A2112" t="s">
        <v>5286</v>
      </c>
      <c r="B2112" t="s">
        <v>5287</v>
      </c>
      <c r="C2112" t="s">
        <v>5288</v>
      </c>
    </row>
    <row r="2113" spans="1:3">
      <c r="A2113" t="s">
        <v>5289</v>
      </c>
      <c r="B2113" t="s">
        <v>5290</v>
      </c>
      <c r="C2113" t="s">
        <v>5291</v>
      </c>
    </row>
    <row r="2114" spans="1:3">
      <c r="A2114" t="s">
        <v>5292</v>
      </c>
      <c r="B2114" t="s">
        <v>5293</v>
      </c>
      <c r="C2114" t="s">
        <v>5294</v>
      </c>
    </row>
    <row r="2115" spans="1:3">
      <c r="A2115" t="s">
        <v>5295</v>
      </c>
      <c r="B2115" t="s">
        <v>5296</v>
      </c>
      <c r="C2115" t="s">
        <v>5297</v>
      </c>
    </row>
    <row r="2116" spans="1:3">
      <c r="A2116" t="s">
        <v>5298</v>
      </c>
      <c r="B2116" t="s">
        <v>5299</v>
      </c>
      <c r="C2116" t="s">
        <v>5300</v>
      </c>
    </row>
    <row r="2117" spans="1:3">
      <c r="A2117" t="s">
        <v>5301</v>
      </c>
      <c r="B2117" t="s">
        <v>5302</v>
      </c>
      <c r="C2117" t="s">
        <v>5303</v>
      </c>
    </row>
    <row r="2118" spans="1:3">
      <c r="A2118" t="s">
        <v>5304</v>
      </c>
      <c r="B2118" t="s">
        <v>5305</v>
      </c>
      <c r="C2118" t="s">
        <v>5306</v>
      </c>
    </row>
    <row r="2119" spans="1:3">
      <c r="A2119" t="s">
        <v>5307</v>
      </c>
      <c r="B2119" t="s">
        <v>5308</v>
      </c>
      <c r="C2119" t="s">
        <v>5309</v>
      </c>
    </row>
    <row r="2120" spans="1:3">
      <c r="A2120" t="s">
        <v>5310</v>
      </c>
      <c r="B2120" t="s">
        <v>5311</v>
      </c>
      <c r="C2120" t="s">
        <v>5312</v>
      </c>
    </row>
    <row r="2121" spans="1:3">
      <c r="A2121" t="s">
        <v>5313</v>
      </c>
      <c r="B2121" t="s">
        <v>5311</v>
      </c>
      <c r="C2121" t="s">
        <v>5314</v>
      </c>
    </row>
    <row r="2122" spans="1:3">
      <c r="A2122" t="s">
        <v>5315</v>
      </c>
      <c r="B2122" t="s">
        <v>5316</v>
      </c>
      <c r="C2122" t="s">
        <v>5317</v>
      </c>
    </row>
    <row r="2123" spans="1:3">
      <c r="A2123" t="s">
        <v>5318</v>
      </c>
      <c r="B2123" t="s">
        <v>5319</v>
      </c>
      <c r="C2123" t="s">
        <v>5320</v>
      </c>
    </row>
    <row r="2124" spans="1:3">
      <c r="A2124" t="s">
        <v>5321</v>
      </c>
      <c r="B2124" t="s">
        <v>5322</v>
      </c>
      <c r="C2124" t="s">
        <v>5323</v>
      </c>
    </row>
    <row r="2125" spans="1:3">
      <c r="A2125" t="s">
        <v>5324</v>
      </c>
      <c r="B2125" t="s">
        <v>5325</v>
      </c>
      <c r="C2125" t="s">
        <v>5326</v>
      </c>
    </row>
    <row r="2126" spans="1:3">
      <c r="A2126" t="s">
        <v>5327</v>
      </c>
      <c r="B2126" t="s">
        <v>5328</v>
      </c>
      <c r="C2126" t="s">
        <v>5329</v>
      </c>
    </row>
    <row r="2127" spans="1:3">
      <c r="A2127" t="s">
        <v>5330</v>
      </c>
      <c r="B2127" t="s">
        <v>5331</v>
      </c>
      <c r="C2127" t="s">
        <v>5332</v>
      </c>
    </row>
    <row r="2128" spans="1:3">
      <c r="A2128" t="s">
        <v>5333</v>
      </c>
      <c r="B2128" t="s">
        <v>5334</v>
      </c>
      <c r="C2128" t="s">
        <v>5335</v>
      </c>
    </row>
    <row r="2129" spans="1:3">
      <c r="A2129" t="s">
        <v>5336</v>
      </c>
      <c r="B2129" t="s">
        <v>5337</v>
      </c>
      <c r="C2129" t="s">
        <v>5338</v>
      </c>
    </row>
    <row r="2130" spans="1:3">
      <c r="A2130" t="s">
        <v>5339</v>
      </c>
      <c r="B2130" t="s">
        <v>5340</v>
      </c>
      <c r="C2130" t="s">
        <v>5341</v>
      </c>
    </row>
    <row r="2131" spans="1:3">
      <c r="A2131" t="s">
        <v>5342</v>
      </c>
      <c r="B2131" t="s">
        <v>5343</v>
      </c>
      <c r="C2131" t="s">
        <v>5344</v>
      </c>
    </row>
    <row r="2132" spans="1:3">
      <c r="A2132" t="s">
        <v>5345</v>
      </c>
      <c r="B2132" t="s">
        <v>5346</v>
      </c>
      <c r="C2132" t="s">
        <v>5347</v>
      </c>
    </row>
    <row r="2133" spans="1:3">
      <c r="A2133" t="s">
        <v>5348</v>
      </c>
      <c r="B2133" t="s">
        <v>5349</v>
      </c>
      <c r="C2133" t="s">
        <v>5350</v>
      </c>
    </row>
    <row r="2134" spans="1:3">
      <c r="A2134" t="s">
        <v>5351</v>
      </c>
      <c r="B2134" t="s">
        <v>5352</v>
      </c>
      <c r="C2134" t="s">
        <v>5353</v>
      </c>
    </row>
    <row r="2135" spans="1:3">
      <c r="A2135" t="s">
        <v>5354</v>
      </c>
      <c r="B2135" t="s">
        <v>5355</v>
      </c>
      <c r="C2135" t="s">
        <v>5356</v>
      </c>
    </row>
    <row r="2136" spans="1:3">
      <c r="A2136" t="s">
        <v>5357</v>
      </c>
      <c r="B2136" t="s">
        <v>5358</v>
      </c>
      <c r="C2136" t="s">
        <v>5359</v>
      </c>
    </row>
    <row r="2137" spans="1:3">
      <c r="A2137" t="s">
        <v>5360</v>
      </c>
      <c r="B2137" t="s">
        <v>5361</v>
      </c>
      <c r="C2137" t="s">
        <v>5362</v>
      </c>
    </row>
    <row r="2138" spans="1:3">
      <c r="A2138" t="s">
        <v>5363</v>
      </c>
      <c r="B2138" t="s">
        <v>5364</v>
      </c>
      <c r="C2138" t="s">
        <v>5365</v>
      </c>
    </row>
    <row r="2139" spans="1:3">
      <c r="A2139" t="s">
        <v>5366</v>
      </c>
      <c r="B2139" t="s">
        <v>5367</v>
      </c>
      <c r="C2139" t="s">
        <v>5368</v>
      </c>
    </row>
    <row r="2140" spans="1:3">
      <c r="A2140" t="s">
        <v>5369</v>
      </c>
      <c r="B2140" t="s">
        <v>5370</v>
      </c>
      <c r="C2140" t="s">
        <v>5371</v>
      </c>
    </row>
    <row r="2141" spans="1:3">
      <c r="A2141" t="s">
        <v>5372</v>
      </c>
      <c r="B2141" t="s">
        <v>5373</v>
      </c>
      <c r="C2141" t="s">
        <v>5374</v>
      </c>
    </row>
    <row r="2142" spans="1:3">
      <c r="A2142" t="s">
        <v>5375</v>
      </c>
      <c r="B2142" t="s">
        <v>5376</v>
      </c>
      <c r="C2142" t="s">
        <v>5377</v>
      </c>
    </row>
    <row r="2143" spans="1:3">
      <c r="A2143" t="s">
        <v>5378</v>
      </c>
      <c r="B2143" t="s">
        <v>5379</v>
      </c>
      <c r="C2143" t="s">
        <v>5380</v>
      </c>
    </row>
    <row r="2144" spans="1:3">
      <c r="A2144" t="s">
        <v>5381</v>
      </c>
      <c r="B2144" t="s">
        <v>5382</v>
      </c>
      <c r="C2144" t="s">
        <v>5383</v>
      </c>
    </row>
    <row r="2145" spans="1:3">
      <c r="A2145" t="s">
        <v>5384</v>
      </c>
      <c r="B2145" t="s">
        <v>5385</v>
      </c>
      <c r="C2145" t="s">
        <v>5386</v>
      </c>
    </row>
    <row r="2146" spans="1:3">
      <c r="A2146" t="s">
        <v>5387</v>
      </c>
      <c r="B2146" t="s">
        <v>5388</v>
      </c>
      <c r="C2146" t="s">
        <v>5389</v>
      </c>
    </row>
    <row r="2147" spans="1:3">
      <c r="A2147" t="s">
        <v>5390</v>
      </c>
      <c r="B2147" t="s">
        <v>5391</v>
      </c>
      <c r="C2147" t="s">
        <v>5392</v>
      </c>
    </row>
    <row r="2148" spans="1:3">
      <c r="A2148" t="s">
        <v>5393</v>
      </c>
      <c r="B2148" t="s">
        <v>5394</v>
      </c>
      <c r="C2148" t="s">
        <v>5395</v>
      </c>
    </row>
    <row r="2149" spans="1:3">
      <c r="A2149" t="s">
        <v>5396</v>
      </c>
      <c r="B2149" t="s">
        <v>5397</v>
      </c>
      <c r="C2149" t="s">
        <v>5398</v>
      </c>
    </row>
    <row r="2150" spans="1:3">
      <c r="A2150" t="s">
        <v>5399</v>
      </c>
      <c r="B2150" t="s">
        <v>5400</v>
      </c>
      <c r="C2150" t="s">
        <v>5401</v>
      </c>
    </row>
    <row r="2151" spans="1:3">
      <c r="A2151" t="s">
        <v>5402</v>
      </c>
      <c r="B2151" t="s">
        <v>5403</v>
      </c>
      <c r="C2151" t="s">
        <v>5404</v>
      </c>
    </row>
    <row r="2152" spans="1:3">
      <c r="A2152" t="s">
        <v>5405</v>
      </c>
      <c r="B2152" t="s">
        <v>5406</v>
      </c>
      <c r="C2152" t="s">
        <v>5407</v>
      </c>
    </row>
    <row r="2153" spans="1:3">
      <c r="A2153" t="s">
        <v>5408</v>
      </c>
      <c r="B2153" t="s">
        <v>5409</v>
      </c>
      <c r="C2153" t="s">
        <v>5410</v>
      </c>
    </row>
    <row r="2154" spans="1:3">
      <c r="A2154" t="s">
        <v>5411</v>
      </c>
      <c r="B2154" t="s">
        <v>5412</v>
      </c>
      <c r="C2154" t="s">
        <v>5413</v>
      </c>
    </row>
    <row r="2155" spans="1:3">
      <c r="A2155" t="s">
        <v>5414</v>
      </c>
      <c r="B2155" t="s">
        <v>5415</v>
      </c>
      <c r="C2155" t="s">
        <v>5416</v>
      </c>
    </row>
    <row r="2156" spans="1:3">
      <c r="A2156" t="s">
        <v>5417</v>
      </c>
      <c r="B2156" t="s">
        <v>5418</v>
      </c>
      <c r="C2156" t="s">
        <v>5419</v>
      </c>
    </row>
    <row r="2157" spans="1:3">
      <c r="A2157" t="s">
        <v>5420</v>
      </c>
      <c r="B2157" t="s">
        <v>5421</v>
      </c>
      <c r="C2157" t="s">
        <v>5422</v>
      </c>
    </row>
    <row r="2158" spans="1:3">
      <c r="A2158" t="s">
        <v>5423</v>
      </c>
      <c r="B2158" t="s">
        <v>5424</v>
      </c>
      <c r="C2158" t="s">
        <v>5425</v>
      </c>
    </row>
    <row r="2159" spans="1:3">
      <c r="A2159" t="s">
        <v>5426</v>
      </c>
      <c r="B2159" t="s">
        <v>5409</v>
      </c>
      <c r="C2159" t="s">
        <v>5427</v>
      </c>
    </row>
    <row r="2160" spans="1:3">
      <c r="A2160" t="s">
        <v>5428</v>
      </c>
      <c r="B2160" t="s">
        <v>5429</v>
      </c>
      <c r="C2160" t="s">
        <v>5430</v>
      </c>
    </row>
    <row r="2161" spans="1:3">
      <c r="A2161" t="s">
        <v>5431</v>
      </c>
      <c r="B2161" t="s">
        <v>5415</v>
      </c>
      <c r="C2161" t="s">
        <v>5432</v>
      </c>
    </row>
    <row r="2162" spans="1:3">
      <c r="A2162" t="s">
        <v>5433</v>
      </c>
      <c r="B2162" t="s">
        <v>5434</v>
      </c>
      <c r="C2162" t="s">
        <v>5435</v>
      </c>
    </row>
    <row r="2163" spans="1:3">
      <c r="A2163" t="s">
        <v>5436</v>
      </c>
      <c r="B2163" t="s">
        <v>5437</v>
      </c>
      <c r="C2163" t="s">
        <v>5438</v>
      </c>
    </row>
    <row r="2164" spans="1:3">
      <c r="A2164" t="s">
        <v>5439</v>
      </c>
      <c r="B2164" t="s">
        <v>5440</v>
      </c>
      <c r="C2164" t="s">
        <v>5441</v>
      </c>
    </row>
    <row r="2165" spans="1:3">
      <c r="A2165" t="s">
        <v>5442</v>
      </c>
      <c r="B2165" t="s">
        <v>5443</v>
      </c>
      <c r="C2165" t="s">
        <v>5444</v>
      </c>
    </row>
    <row r="2166" spans="1:3">
      <c r="A2166" t="s">
        <v>5445</v>
      </c>
      <c r="B2166" t="s">
        <v>5446</v>
      </c>
      <c r="C2166" t="s">
        <v>5447</v>
      </c>
    </row>
    <row r="2167" spans="1:3">
      <c r="A2167" t="s">
        <v>5448</v>
      </c>
      <c r="B2167" t="s">
        <v>5449</v>
      </c>
      <c r="C2167" t="s">
        <v>5450</v>
      </c>
    </row>
    <row r="2168" spans="1:3">
      <c r="A2168" t="s">
        <v>5451</v>
      </c>
      <c r="B2168" t="s">
        <v>4774</v>
      </c>
      <c r="C2168" t="s">
        <v>5452</v>
      </c>
    </row>
    <row r="2169" spans="1:3">
      <c r="A2169" t="s">
        <v>5453</v>
      </c>
      <c r="B2169" t="s">
        <v>4774</v>
      </c>
      <c r="C2169" t="s">
        <v>5454</v>
      </c>
    </row>
    <row r="2170" spans="1:3">
      <c r="A2170" t="s">
        <v>5455</v>
      </c>
      <c r="B2170" t="s">
        <v>5456</v>
      </c>
      <c r="C2170" t="s">
        <v>5457</v>
      </c>
    </row>
    <row r="2171" spans="1:3">
      <c r="A2171" t="s">
        <v>5458</v>
      </c>
      <c r="C2171" s="257" t="s">
        <v>5459</v>
      </c>
    </row>
    <row r="2172" spans="1:3">
      <c r="A2172" t="s">
        <v>5460</v>
      </c>
      <c r="C2172" s="257" t="s">
        <v>5461</v>
      </c>
    </row>
    <row r="2173" spans="1:3">
      <c r="A2173" s="50" t="s">
        <v>5462</v>
      </c>
      <c r="B2173" s="50"/>
      <c r="C2173" s="258" t="s">
        <v>5463</v>
      </c>
    </row>
    <row r="2174" spans="1:3">
      <c r="A2174" s="50" t="s">
        <v>5462</v>
      </c>
      <c r="B2174" s="50"/>
      <c r="C2174" s="258" t="s">
        <v>5464</v>
      </c>
    </row>
    <row r="2175" spans="1:3">
      <c r="A2175" s="50" t="s">
        <v>5462</v>
      </c>
      <c r="B2175" s="50"/>
      <c r="C2175" s="258" t="s">
        <v>5465</v>
      </c>
    </row>
    <row r="2176" spans="1:3">
      <c r="A2176" s="50" t="s">
        <v>5462</v>
      </c>
      <c r="B2176" s="50"/>
      <c r="C2176" s="258" t="s">
        <v>5466</v>
      </c>
    </row>
    <row r="2177" spans="1:3">
      <c r="A2177" s="50" t="s">
        <v>5462</v>
      </c>
      <c r="B2177" s="50"/>
      <c r="C2177" s="258" t="s">
        <v>5467</v>
      </c>
    </row>
    <row r="2178" spans="1:3">
      <c r="A2178" s="50" t="s">
        <v>5462</v>
      </c>
      <c r="B2178" s="50"/>
      <c r="C2178" s="258" t="s">
        <v>5468</v>
      </c>
    </row>
    <row r="2179" spans="1:3">
      <c r="A2179" s="50" t="s">
        <v>5462</v>
      </c>
      <c r="B2179" s="50"/>
      <c r="C2179" s="258" t="s">
        <v>5469</v>
      </c>
    </row>
    <row r="2180" spans="1:3">
      <c r="A2180" s="50" t="s">
        <v>5462</v>
      </c>
      <c r="B2180" s="50"/>
      <c r="C2180" s="258" t="s">
        <v>5470</v>
      </c>
    </row>
    <row r="2181" spans="1:3">
      <c r="A2181" s="50" t="s">
        <v>5462</v>
      </c>
      <c r="B2181" s="50"/>
      <c r="C2181" s="258" t="s">
        <v>5471</v>
      </c>
    </row>
    <row r="2182" spans="1:3">
      <c r="A2182" s="50" t="s">
        <v>5462</v>
      </c>
      <c r="B2182" s="50"/>
      <c r="C2182" s="258" t="s">
        <v>5472</v>
      </c>
    </row>
    <row r="2183" spans="1:3">
      <c r="A2183" s="50" t="s">
        <v>5462</v>
      </c>
      <c r="B2183" s="50"/>
      <c r="C2183" s="258" t="s">
        <v>5473</v>
      </c>
    </row>
    <row r="2184" spans="1:3">
      <c r="A2184" s="50" t="s">
        <v>5462</v>
      </c>
      <c r="B2184" s="50"/>
      <c r="C2184" s="258" t="s">
        <v>5474</v>
      </c>
    </row>
    <row r="2185" spans="1:3">
      <c r="A2185" s="50" t="s">
        <v>5462</v>
      </c>
      <c r="B2185" s="50"/>
      <c r="C2185" s="258" t="s">
        <v>5475</v>
      </c>
    </row>
    <row r="2186" spans="1:3">
      <c r="A2186" s="50" t="s">
        <v>5462</v>
      </c>
      <c r="B2186" s="50"/>
      <c r="C2186" s="258" t="s">
        <v>5476</v>
      </c>
    </row>
    <row r="2187" spans="1:3">
      <c r="A2187" s="50" t="s">
        <v>5462</v>
      </c>
      <c r="B2187" s="50"/>
      <c r="C2187" s="258" t="s">
        <v>5477</v>
      </c>
    </row>
    <row r="2188" spans="1:3">
      <c r="A2188" s="50" t="s">
        <v>5462</v>
      </c>
      <c r="B2188" s="50"/>
      <c r="C2188" s="258" t="s">
        <v>5478</v>
      </c>
    </row>
    <row r="2189" spans="1:3">
      <c r="A2189" t="s">
        <v>5479</v>
      </c>
      <c r="C2189" s="257" t="s">
        <v>5480</v>
      </c>
    </row>
    <row r="2190" spans="1:3">
      <c r="A2190" t="s">
        <v>5481</v>
      </c>
      <c r="C2190" s="257" t="s">
        <v>5482</v>
      </c>
    </row>
    <row r="2191" spans="1:3">
      <c r="A2191" t="s">
        <v>5483</v>
      </c>
      <c r="C2191" s="257" t="s">
        <v>5484</v>
      </c>
    </row>
    <row r="2192" spans="1:3">
      <c r="A2192" t="s">
        <v>5485</v>
      </c>
      <c r="B2192" t="s">
        <v>5486</v>
      </c>
      <c r="C2192" t="s">
        <v>5487</v>
      </c>
    </row>
    <row r="2193" spans="1:3">
      <c r="A2193" t="s">
        <v>5488</v>
      </c>
      <c r="B2193" t="s">
        <v>5489</v>
      </c>
      <c r="C2193" t="s">
        <v>5490</v>
      </c>
    </row>
    <row r="2194" spans="1:3">
      <c r="A2194" t="s">
        <v>5491</v>
      </c>
      <c r="B2194" t="s">
        <v>5492</v>
      </c>
      <c r="C2194" t="s">
        <v>5493</v>
      </c>
    </row>
    <row r="2195" spans="1:3">
      <c r="A2195" t="s">
        <v>5494</v>
      </c>
      <c r="B2195" t="s">
        <v>5495</v>
      </c>
      <c r="C2195" t="s">
        <v>5496</v>
      </c>
    </row>
    <row r="2196" spans="1:3">
      <c r="A2196" t="s">
        <v>5497</v>
      </c>
      <c r="B2196" t="s">
        <v>5498</v>
      </c>
      <c r="C2196" t="s">
        <v>5499</v>
      </c>
    </row>
    <row r="2197" spans="1:3">
      <c r="A2197" t="s">
        <v>5500</v>
      </c>
      <c r="B2197" t="s">
        <v>5501</v>
      </c>
      <c r="C2197" t="s">
        <v>5502</v>
      </c>
    </row>
    <row r="2198" spans="1:3">
      <c r="A2198" t="s">
        <v>5503</v>
      </c>
      <c r="B2198" t="s">
        <v>5504</v>
      </c>
      <c r="C2198" t="s">
        <v>5505</v>
      </c>
    </row>
    <row r="2199" spans="1:3">
      <c r="A2199" t="s">
        <v>5506</v>
      </c>
      <c r="B2199" t="s">
        <v>5507</v>
      </c>
      <c r="C2199" t="s">
        <v>5508</v>
      </c>
    </row>
    <row r="2200" spans="1:3">
      <c r="A2200" t="s">
        <v>5509</v>
      </c>
      <c r="B2200" t="s">
        <v>5510</v>
      </c>
      <c r="C2200" t="s">
        <v>5511</v>
      </c>
    </row>
    <row r="2201" spans="1:3">
      <c r="A2201" t="s">
        <v>5512</v>
      </c>
      <c r="B2201" t="s">
        <v>5513</v>
      </c>
      <c r="C2201" t="s">
        <v>5514</v>
      </c>
    </row>
    <row r="2202" spans="1:3">
      <c r="A2202" t="s">
        <v>5515</v>
      </c>
      <c r="B2202" t="s">
        <v>5516</v>
      </c>
      <c r="C2202" t="s">
        <v>5517</v>
      </c>
    </row>
    <row r="2203" spans="1:3">
      <c r="A2203" t="s">
        <v>5518</v>
      </c>
      <c r="C2203" s="257" t="s">
        <v>5519</v>
      </c>
    </row>
    <row r="2204" spans="1:3">
      <c r="A2204" t="s">
        <v>5520</v>
      </c>
      <c r="C2204" s="257" t="s">
        <v>5521</v>
      </c>
    </row>
    <row r="2205" spans="1:3">
      <c r="A2205" t="s">
        <v>5522</v>
      </c>
      <c r="C2205" s="257" t="s">
        <v>5523</v>
      </c>
    </row>
    <row r="2206" spans="1:3">
      <c r="A2206" t="s">
        <v>5524</v>
      </c>
      <c r="C2206" s="257" t="s">
        <v>5525</v>
      </c>
    </row>
    <row r="2207" spans="1:3">
      <c r="A2207" t="s">
        <v>5526</v>
      </c>
      <c r="C2207" s="257" t="s">
        <v>5527</v>
      </c>
    </row>
    <row r="2208" spans="1:3">
      <c r="A2208" s="50" t="s">
        <v>5528</v>
      </c>
      <c r="B2208" s="50"/>
      <c r="C2208" s="258" t="s">
        <v>5529</v>
      </c>
    </row>
    <row r="2209" spans="1:3">
      <c r="A2209" s="50" t="s">
        <v>5528</v>
      </c>
      <c r="B2209" s="50"/>
      <c r="C2209" s="258" t="s">
        <v>5530</v>
      </c>
    </row>
    <row r="2210" spans="1:3">
      <c r="A2210" s="50" t="s">
        <v>5528</v>
      </c>
      <c r="B2210" s="50"/>
      <c r="C2210" s="258" t="s">
        <v>5531</v>
      </c>
    </row>
    <row r="2211" spans="1:3">
      <c r="A2211" s="50" t="s">
        <v>5528</v>
      </c>
      <c r="B2211" s="50"/>
      <c r="C2211" s="258" t="s">
        <v>5532</v>
      </c>
    </row>
    <row r="2212" spans="1:3">
      <c r="A2212" s="50" t="s">
        <v>5528</v>
      </c>
      <c r="B2212" s="50"/>
      <c r="C2212" s="258" t="s">
        <v>5533</v>
      </c>
    </row>
    <row r="2213" spans="1:3">
      <c r="A2213" s="50" t="s">
        <v>5528</v>
      </c>
      <c r="B2213" s="50"/>
      <c r="C2213" s="258" t="s">
        <v>5534</v>
      </c>
    </row>
    <row r="2214" spans="1:3">
      <c r="A2214" s="50" t="s">
        <v>5528</v>
      </c>
      <c r="B2214" s="50"/>
      <c r="C2214" s="258" t="s">
        <v>5535</v>
      </c>
    </row>
    <row r="2215" spans="1:3">
      <c r="A2215" s="50" t="s">
        <v>5528</v>
      </c>
      <c r="B2215" s="50"/>
      <c r="C2215" s="258" t="s">
        <v>5536</v>
      </c>
    </row>
    <row r="2216" spans="1:3">
      <c r="A2216" s="50" t="s">
        <v>5528</v>
      </c>
      <c r="B2216" s="50"/>
      <c r="C2216" s="258" t="s">
        <v>5537</v>
      </c>
    </row>
    <row r="2217" spans="1:3">
      <c r="A2217" s="50" t="s">
        <v>5528</v>
      </c>
      <c r="B2217" s="50"/>
      <c r="C2217" s="258" t="s">
        <v>5538</v>
      </c>
    </row>
    <row r="2218" spans="1:3">
      <c r="A2218" s="50" t="s">
        <v>5528</v>
      </c>
      <c r="B2218" s="50"/>
      <c r="C2218" s="258" t="s">
        <v>5539</v>
      </c>
    </row>
    <row r="2219" spans="1:3">
      <c r="A2219" s="50" t="s">
        <v>5528</v>
      </c>
      <c r="B2219" s="50"/>
      <c r="C2219" s="258" t="s">
        <v>5540</v>
      </c>
    </row>
    <row r="2220" spans="1:3">
      <c r="A2220" s="50" t="s">
        <v>5528</v>
      </c>
      <c r="B2220" s="50"/>
      <c r="C2220" s="258" t="s">
        <v>5541</v>
      </c>
    </row>
    <row r="2221" spans="1:3">
      <c r="A2221" s="50" t="s">
        <v>5528</v>
      </c>
      <c r="B2221" s="50"/>
      <c r="C2221" s="258" t="s">
        <v>5542</v>
      </c>
    </row>
    <row r="2222" spans="1:3">
      <c r="A2222" s="50" t="s">
        <v>5528</v>
      </c>
      <c r="B2222" s="50"/>
      <c r="C2222" s="258" t="s">
        <v>5543</v>
      </c>
    </row>
    <row r="2223" spans="1:3">
      <c r="A2223" s="50" t="s">
        <v>5528</v>
      </c>
      <c r="B2223" s="50"/>
      <c r="C2223" s="258" t="s">
        <v>5544</v>
      </c>
    </row>
    <row r="2224" spans="1:3">
      <c r="A2224" t="s">
        <v>5545</v>
      </c>
      <c r="C2224" s="257" t="s">
        <v>5546</v>
      </c>
    </row>
    <row r="2225" spans="1:3">
      <c r="A2225" s="50" t="s">
        <v>5545</v>
      </c>
      <c r="B2225" s="50"/>
      <c r="C2225" s="258" t="s">
        <v>5547</v>
      </c>
    </row>
    <row r="2226" spans="1:3">
      <c r="A2226" s="50" t="s">
        <v>5545</v>
      </c>
      <c r="B2226" s="50"/>
      <c r="C2226" s="258" t="s">
        <v>5548</v>
      </c>
    </row>
    <row r="2227" spans="1:3">
      <c r="A2227" s="50" t="s">
        <v>5545</v>
      </c>
      <c r="B2227" s="50"/>
      <c r="C2227" s="258" t="s">
        <v>5549</v>
      </c>
    </row>
    <row r="2228" spans="1:3">
      <c r="A2228" s="50" t="s">
        <v>5545</v>
      </c>
      <c r="B2228" s="50"/>
      <c r="C2228" s="258" t="s">
        <v>5550</v>
      </c>
    </row>
    <row r="2229" spans="1:3">
      <c r="A2229" s="50" t="s">
        <v>5545</v>
      </c>
      <c r="B2229" s="50"/>
      <c r="C2229" s="258" t="s">
        <v>5551</v>
      </c>
    </row>
    <row r="2230" spans="1:3">
      <c r="A2230" s="50" t="s">
        <v>5545</v>
      </c>
      <c r="B2230" s="50"/>
      <c r="C2230" s="258" t="s">
        <v>5552</v>
      </c>
    </row>
    <row r="2231" spans="1:3">
      <c r="A2231" s="50" t="s">
        <v>5545</v>
      </c>
      <c r="B2231" s="50"/>
      <c r="C2231" s="258" t="s">
        <v>5553</v>
      </c>
    </row>
    <row r="2232" spans="1:3">
      <c r="A2232" s="50" t="s">
        <v>5545</v>
      </c>
      <c r="B2232" s="50"/>
      <c r="C2232" s="258" t="s">
        <v>5554</v>
      </c>
    </row>
    <row r="2233" spans="1:3">
      <c r="A2233" s="50" t="s">
        <v>5545</v>
      </c>
      <c r="B2233" s="50"/>
      <c r="C2233" s="258" t="s">
        <v>5555</v>
      </c>
    </row>
    <row r="2234" spans="1:3">
      <c r="A2234" s="50" t="s">
        <v>5545</v>
      </c>
      <c r="B2234" s="50"/>
      <c r="C2234" s="258" t="s">
        <v>5556</v>
      </c>
    </row>
    <row r="2235" spans="1:3">
      <c r="A2235" s="50" t="s">
        <v>5545</v>
      </c>
      <c r="B2235" s="50"/>
      <c r="C2235" s="258" t="s">
        <v>5557</v>
      </c>
    </row>
    <row r="2236" spans="1:3">
      <c r="A2236" s="50" t="s">
        <v>5545</v>
      </c>
      <c r="B2236" s="50"/>
      <c r="C2236" s="258" t="s">
        <v>5558</v>
      </c>
    </row>
    <row r="2237" spans="1:3">
      <c r="A2237" s="50" t="s">
        <v>5545</v>
      </c>
      <c r="B2237" s="50"/>
      <c r="C2237" s="258" t="s">
        <v>5559</v>
      </c>
    </row>
    <row r="2238" spans="1:3">
      <c r="A2238" s="50" t="s">
        <v>5545</v>
      </c>
      <c r="B2238" s="50"/>
      <c r="C2238" s="258" t="s">
        <v>5560</v>
      </c>
    </row>
    <row r="2239" spans="1:3">
      <c r="A2239" s="50" t="s">
        <v>5545</v>
      </c>
      <c r="B2239" s="50"/>
      <c r="C2239" s="258" t="s">
        <v>5561</v>
      </c>
    </row>
    <row r="2240" spans="1:3">
      <c r="A2240" s="50" t="s">
        <v>5545</v>
      </c>
      <c r="B2240" s="50"/>
      <c r="C2240" s="258" t="s">
        <v>5562</v>
      </c>
    </row>
    <row r="2241" spans="1:3">
      <c r="A2241" t="s">
        <v>5563</v>
      </c>
      <c r="B2241" t="s">
        <v>5564</v>
      </c>
      <c r="C2241" t="s">
        <v>5565</v>
      </c>
    </row>
    <row r="2242" spans="1:3">
      <c r="A2242" t="s">
        <v>5566</v>
      </c>
      <c r="B2242" t="s">
        <v>5567</v>
      </c>
      <c r="C2242" t="s">
        <v>5568</v>
      </c>
    </row>
    <row r="2243" spans="1:3">
      <c r="A2243" t="s">
        <v>5569</v>
      </c>
      <c r="C2243" s="257" t="s">
        <v>5570</v>
      </c>
    </row>
    <row r="2244" spans="1:3">
      <c r="A2244" t="s">
        <v>5571</v>
      </c>
      <c r="B2244" t="s">
        <v>5572</v>
      </c>
      <c r="C2244" t="s">
        <v>5573</v>
      </c>
    </row>
    <row r="2245" spans="1:3">
      <c r="A2245" t="s">
        <v>5574</v>
      </c>
      <c r="B2245" t="s">
        <v>5575</v>
      </c>
      <c r="C2245" t="s">
        <v>5576</v>
      </c>
    </row>
    <row r="2246" spans="1:3">
      <c r="A2246" t="s">
        <v>5577</v>
      </c>
      <c r="B2246" t="s">
        <v>5578</v>
      </c>
      <c r="C2246" t="s">
        <v>5579</v>
      </c>
    </row>
    <row r="2247" spans="1:3">
      <c r="A2247" t="s">
        <v>5580</v>
      </c>
      <c r="B2247" t="s">
        <v>5581</v>
      </c>
      <c r="C2247" t="s">
        <v>5582</v>
      </c>
    </row>
    <row r="2248" spans="1:3">
      <c r="A2248" t="s">
        <v>5583</v>
      </c>
      <c r="B2248" t="s">
        <v>5584</v>
      </c>
      <c r="C2248" t="s">
        <v>5585</v>
      </c>
    </row>
    <row r="2249" spans="1:3">
      <c r="A2249" t="s">
        <v>5586</v>
      </c>
      <c r="B2249" t="s">
        <v>5587</v>
      </c>
      <c r="C2249" t="s">
        <v>5588</v>
      </c>
    </row>
    <row r="2250" spans="1:3">
      <c r="A2250" t="s">
        <v>5589</v>
      </c>
      <c r="B2250" t="s">
        <v>5590</v>
      </c>
      <c r="C2250" t="s">
        <v>5591</v>
      </c>
    </row>
    <row r="2251" spans="1:3">
      <c r="A2251" t="s">
        <v>5592</v>
      </c>
      <c r="B2251" t="s">
        <v>5593</v>
      </c>
      <c r="C2251" t="s">
        <v>5594</v>
      </c>
    </row>
    <row r="2252" spans="1:3">
      <c r="A2252" t="s">
        <v>5595</v>
      </c>
      <c r="B2252" t="s">
        <v>5596</v>
      </c>
      <c r="C2252" t="s">
        <v>5597</v>
      </c>
    </row>
    <row r="2253" spans="1:3">
      <c r="A2253" t="s">
        <v>5598</v>
      </c>
      <c r="B2253" t="s">
        <v>5599</v>
      </c>
      <c r="C2253" t="s">
        <v>5600</v>
      </c>
    </row>
    <row r="2254" spans="1:3">
      <c r="A2254" t="s">
        <v>5601</v>
      </c>
      <c r="B2254" t="s">
        <v>5602</v>
      </c>
      <c r="C2254" t="s">
        <v>5603</v>
      </c>
    </row>
    <row r="2255" spans="1:3">
      <c r="A2255" t="s">
        <v>5604</v>
      </c>
      <c r="B2255" t="s">
        <v>5605</v>
      </c>
      <c r="C2255" t="s">
        <v>5606</v>
      </c>
    </row>
    <row r="2256" spans="1:3">
      <c r="A2256" t="s">
        <v>5607</v>
      </c>
      <c r="B2256" t="s">
        <v>5608</v>
      </c>
      <c r="C2256" t="s">
        <v>5609</v>
      </c>
    </row>
    <row r="2257" spans="1:3">
      <c r="A2257" t="s">
        <v>5610</v>
      </c>
      <c r="B2257" t="s">
        <v>5611</v>
      </c>
      <c r="C2257" t="s">
        <v>5612</v>
      </c>
    </row>
    <row r="2258" spans="1:3">
      <c r="A2258" t="s">
        <v>5613</v>
      </c>
      <c r="B2258" t="s">
        <v>5614</v>
      </c>
      <c r="C2258" t="s">
        <v>5615</v>
      </c>
    </row>
    <row r="2259" spans="1:3">
      <c r="A2259" t="s">
        <v>5616</v>
      </c>
      <c r="B2259" t="s">
        <v>5617</v>
      </c>
      <c r="C2259" t="s">
        <v>5618</v>
      </c>
    </row>
    <row r="2260" spans="1:3">
      <c r="A2260" t="s">
        <v>5619</v>
      </c>
      <c r="B2260" t="s">
        <v>5620</v>
      </c>
      <c r="C2260" t="s">
        <v>5621</v>
      </c>
    </row>
    <row r="2261" spans="1:3">
      <c r="A2261" t="s">
        <v>5622</v>
      </c>
      <c r="B2261" t="s">
        <v>5623</v>
      </c>
      <c r="C2261" t="s">
        <v>5624</v>
      </c>
    </row>
    <row r="2262" spans="1:3">
      <c r="A2262" t="s">
        <v>5625</v>
      </c>
      <c r="B2262" t="s">
        <v>5626</v>
      </c>
      <c r="C2262" t="s">
        <v>5627</v>
      </c>
    </row>
    <row r="2263" spans="1:3">
      <c r="A2263" t="s">
        <v>5628</v>
      </c>
      <c r="B2263" t="s">
        <v>5629</v>
      </c>
      <c r="C2263" t="s">
        <v>5630</v>
      </c>
    </row>
    <row r="2264" spans="1:3">
      <c r="A2264" t="s">
        <v>5631</v>
      </c>
      <c r="C2264" s="257" t="s">
        <v>5632</v>
      </c>
    </row>
    <row r="2265" spans="1:3">
      <c r="A2265" t="s">
        <v>5633</v>
      </c>
      <c r="C2265" s="257" t="s">
        <v>5634</v>
      </c>
    </row>
    <row r="2266" spans="1:3">
      <c r="A2266" t="s">
        <v>5635</v>
      </c>
      <c r="C2266" s="257" t="s">
        <v>5636</v>
      </c>
    </row>
    <row r="2267" spans="1:3">
      <c r="A2267" t="s">
        <v>5637</v>
      </c>
      <c r="C2267" s="257" t="s">
        <v>5638</v>
      </c>
    </row>
    <row r="2268" spans="1:3">
      <c r="A2268" t="s">
        <v>5639</v>
      </c>
      <c r="C2268" s="257" t="s">
        <v>5640</v>
      </c>
    </row>
    <row r="2269" spans="1:3">
      <c r="A2269" t="s">
        <v>5641</v>
      </c>
      <c r="C2269" s="257" t="s">
        <v>5642</v>
      </c>
    </row>
    <row r="2270" spans="1:3">
      <c r="A2270" t="s">
        <v>5643</v>
      </c>
      <c r="C2270" s="257" t="s">
        <v>5644</v>
      </c>
    </row>
    <row r="2271" spans="1:3">
      <c r="A2271" t="s">
        <v>5645</v>
      </c>
      <c r="C2271" s="257" t="s">
        <v>5646</v>
      </c>
    </row>
    <row r="2272" spans="1:3">
      <c r="A2272" t="s">
        <v>5647</v>
      </c>
      <c r="C2272" s="257" t="s">
        <v>5648</v>
      </c>
    </row>
    <row r="2273" spans="1:3">
      <c r="A2273" t="s">
        <v>5649</v>
      </c>
      <c r="C2273" s="257" t="s">
        <v>5650</v>
      </c>
    </row>
    <row r="2274" spans="1:3">
      <c r="A2274" t="s">
        <v>5651</v>
      </c>
      <c r="C2274" s="257" t="s">
        <v>5652</v>
      </c>
    </row>
    <row r="2275" spans="1:3">
      <c r="A2275" t="s">
        <v>5653</v>
      </c>
      <c r="C2275" s="257" t="s">
        <v>5654</v>
      </c>
    </row>
    <row r="2276" spans="1:3">
      <c r="A2276" t="s">
        <v>5655</v>
      </c>
      <c r="C2276" s="257" t="s">
        <v>5656</v>
      </c>
    </row>
    <row r="2277" spans="1:3">
      <c r="A2277" t="s">
        <v>5657</v>
      </c>
      <c r="C2277" s="257" t="s">
        <v>5658</v>
      </c>
    </row>
    <row r="2278" spans="1:3">
      <c r="A2278" t="s">
        <v>5659</v>
      </c>
      <c r="C2278" s="257" t="s">
        <v>5660</v>
      </c>
    </row>
    <row r="2279" spans="1:3">
      <c r="A2279" t="s">
        <v>5661</v>
      </c>
      <c r="C2279" s="257" t="s">
        <v>5662</v>
      </c>
    </row>
    <row r="2280" spans="1:3">
      <c r="A2280" t="s">
        <v>5663</v>
      </c>
      <c r="C2280" s="257" t="s">
        <v>5664</v>
      </c>
    </row>
    <row r="2281" spans="1:3">
      <c r="A2281" t="s">
        <v>5665</v>
      </c>
      <c r="C2281" s="257" t="s">
        <v>5666</v>
      </c>
    </row>
    <row r="2282" spans="1:3">
      <c r="A2282" s="50" t="s">
        <v>5667</v>
      </c>
      <c r="B2282" s="50"/>
      <c r="C2282" s="258" t="s">
        <v>5668</v>
      </c>
    </row>
    <row r="2283" spans="1:3">
      <c r="A2283" s="50" t="s">
        <v>5667</v>
      </c>
      <c r="B2283" s="50"/>
      <c r="C2283" s="258" t="s">
        <v>5669</v>
      </c>
    </row>
    <row r="2284" spans="1:3">
      <c r="A2284" s="50" t="s">
        <v>5667</v>
      </c>
      <c r="B2284" s="50"/>
      <c r="C2284" s="258" t="s">
        <v>5670</v>
      </c>
    </row>
    <row r="2285" spans="1:3">
      <c r="A2285" s="50" t="s">
        <v>5667</v>
      </c>
      <c r="B2285" s="50"/>
      <c r="C2285" s="258" t="s">
        <v>5671</v>
      </c>
    </row>
    <row r="2286" spans="1:3">
      <c r="A2286" s="50" t="s">
        <v>5667</v>
      </c>
      <c r="B2286" s="50"/>
      <c r="C2286" s="258" t="s">
        <v>5672</v>
      </c>
    </row>
    <row r="2287" spans="1:3">
      <c r="A2287" s="50" t="s">
        <v>5667</v>
      </c>
      <c r="B2287" s="50"/>
      <c r="C2287" s="258" t="s">
        <v>5673</v>
      </c>
    </row>
    <row r="2288" spans="1:3">
      <c r="A2288" s="50" t="s">
        <v>5667</v>
      </c>
      <c r="B2288" s="50"/>
      <c r="C2288" s="258" t="s">
        <v>5674</v>
      </c>
    </row>
    <row r="2289" spans="1:3">
      <c r="A2289" s="50" t="s">
        <v>5667</v>
      </c>
      <c r="B2289" s="50"/>
      <c r="C2289" s="258" t="s">
        <v>5675</v>
      </c>
    </row>
    <row r="2290" spans="1:3">
      <c r="A2290" s="50" t="s">
        <v>5667</v>
      </c>
      <c r="B2290" s="50"/>
      <c r="C2290" s="258" t="s">
        <v>5676</v>
      </c>
    </row>
    <row r="2291" spans="1:3">
      <c r="A2291" s="50" t="s">
        <v>5667</v>
      </c>
      <c r="B2291" s="50"/>
      <c r="C2291" s="258" t="s">
        <v>5677</v>
      </c>
    </row>
    <row r="2292" spans="1:3">
      <c r="A2292" s="50" t="s">
        <v>5667</v>
      </c>
      <c r="B2292" s="50"/>
      <c r="C2292" s="258" t="s">
        <v>5678</v>
      </c>
    </row>
    <row r="2293" spans="1:3">
      <c r="A2293" s="50" t="s">
        <v>5667</v>
      </c>
      <c r="B2293" s="50"/>
      <c r="C2293" s="258" t="s">
        <v>5679</v>
      </c>
    </row>
    <row r="2294" spans="1:3">
      <c r="A2294" s="50" t="s">
        <v>5667</v>
      </c>
      <c r="B2294" s="50"/>
      <c r="C2294" s="258" t="s">
        <v>5680</v>
      </c>
    </row>
    <row r="2295" spans="1:3">
      <c r="A2295" s="50" t="s">
        <v>5667</v>
      </c>
      <c r="B2295" s="50"/>
      <c r="C2295" s="258" t="s">
        <v>5681</v>
      </c>
    </row>
    <row r="2296" spans="1:3">
      <c r="A2296" s="50" t="s">
        <v>5667</v>
      </c>
      <c r="B2296" s="50"/>
      <c r="C2296" s="258" t="s">
        <v>5682</v>
      </c>
    </row>
    <row r="2297" spans="1:3">
      <c r="A2297" s="50" t="s">
        <v>5667</v>
      </c>
      <c r="B2297" s="50"/>
      <c r="C2297" s="258" t="s">
        <v>5683</v>
      </c>
    </row>
    <row r="2298" spans="1:3">
      <c r="A2298" t="s">
        <v>5684</v>
      </c>
      <c r="C2298" s="257" t="s">
        <v>5685</v>
      </c>
    </row>
    <row r="2299" spans="1:3">
      <c r="A2299" t="s">
        <v>5686</v>
      </c>
      <c r="C2299" s="257" t="s">
        <v>5687</v>
      </c>
    </row>
    <row r="2300" spans="1:3">
      <c r="A2300" t="s">
        <v>5688</v>
      </c>
      <c r="C2300" s="257" t="s">
        <v>5689</v>
      </c>
    </row>
    <row r="2301" spans="1:3">
      <c r="A2301" t="s">
        <v>5690</v>
      </c>
      <c r="B2301" t="s">
        <v>5691</v>
      </c>
      <c r="C2301" t="s">
        <v>5692</v>
      </c>
    </row>
    <row r="2302" spans="1:3">
      <c r="A2302" t="s">
        <v>5693</v>
      </c>
      <c r="B2302" t="s">
        <v>5694</v>
      </c>
      <c r="C2302" t="s">
        <v>5695</v>
      </c>
    </row>
    <row r="2303" spans="1:3">
      <c r="A2303" t="s">
        <v>5696</v>
      </c>
      <c r="B2303" t="s">
        <v>5697</v>
      </c>
      <c r="C2303" t="s">
        <v>5698</v>
      </c>
    </row>
    <row r="2304" spans="1:3">
      <c r="A2304" t="s">
        <v>5699</v>
      </c>
      <c r="B2304" t="s">
        <v>5700</v>
      </c>
      <c r="C2304" t="s">
        <v>5701</v>
      </c>
    </row>
    <row r="2305" spans="1:3">
      <c r="A2305" t="s">
        <v>5702</v>
      </c>
      <c r="B2305" t="s">
        <v>5703</v>
      </c>
      <c r="C2305" t="s">
        <v>5704</v>
      </c>
    </row>
    <row r="2306" spans="1:3">
      <c r="A2306" t="s">
        <v>5705</v>
      </c>
      <c r="B2306" t="s">
        <v>5706</v>
      </c>
      <c r="C2306" t="s">
        <v>5707</v>
      </c>
    </row>
    <row r="2307" spans="1:3">
      <c r="A2307" t="s">
        <v>5708</v>
      </c>
      <c r="B2307" t="s">
        <v>5709</v>
      </c>
      <c r="C2307" t="s">
        <v>5710</v>
      </c>
    </row>
    <row r="2308" spans="1:3">
      <c r="A2308" t="s">
        <v>5711</v>
      </c>
      <c r="B2308" t="s">
        <v>5712</v>
      </c>
      <c r="C2308" t="s">
        <v>5713</v>
      </c>
    </row>
    <row r="2309" spans="1:3">
      <c r="A2309" t="s">
        <v>5714</v>
      </c>
      <c r="B2309" t="s">
        <v>5715</v>
      </c>
      <c r="C2309" t="s">
        <v>5716</v>
      </c>
    </row>
    <row r="2310" spans="1:3">
      <c r="A2310" t="s">
        <v>5717</v>
      </c>
      <c r="B2310" t="s">
        <v>5718</v>
      </c>
      <c r="C2310" t="s">
        <v>5719</v>
      </c>
    </row>
    <row r="2311" spans="1:3">
      <c r="A2311" t="s">
        <v>5720</v>
      </c>
      <c r="B2311" t="s">
        <v>5721</v>
      </c>
      <c r="C2311" t="s">
        <v>5722</v>
      </c>
    </row>
    <row r="2312" spans="1:3">
      <c r="A2312" t="s">
        <v>5723</v>
      </c>
      <c r="B2312" t="s">
        <v>5724</v>
      </c>
      <c r="C2312" t="s">
        <v>5725</v>
      </c>
    </row>
    <row r="2313" spans="1:3">
      <c r="A2313" t="s">
        <v>5726</v>
      </c>
      <c r="B2313" t="s">
        <v>5727</v>
      </c>
      <c r="C2313" t="s">
        <v>5728</v>
      </c>
    </row>
    <row r="2314" spans="1:3">
      <c r="A2314" t="s">
        <v>5729</v>
      </c>
      <c r="B2314" t="s">
        <v>5730</v>
      </c>
      <c r="C2314" t="s">
        <v>5731</v>
      </c>
    </row>
    <row r="2315" spans="1:3">
      <c r="A2315" t="s">
        <v>5732</v>
      </c>
      <c r="B2315" t="s">
        <v>5733</v>
      </c>
      <c r="C2315" t="s">
        <v>5734</v>
      </c>
    </row>
    <row r="2316" spans="1:3">
      <c r="A2316" t="s">
        <v>5735</v>
      </c>
      <c r="B2316" t="s">
        <v>5736</v>
      </c>
      <c r="C2316" t="s">
        <v>5737</v>
      </c>
    </row>
    <row r="2317" spans="1:3">
      <c r="A2317" t="s">
        <v>5738</v>
      </c>
      <c r="B2317" t="s">
        <v>5739</v>
      </c>
      <c r="C2317" t="s">
        <v>5740</v>
      </c>
    </row>
    <row r="2318" spans="1:3">
      <c r="A2318" t="s">
        <v>5741</v>
      </c>
      <c r="C2318" s="257" t="s">
        <v>5742</v>
      </c>
    </row>
    <row r="2319" spans="1:3">
      <c r="A2319" t="s">
        <v>5743</v>
      </c>
      <c r="C2319" s="257" t="s">
        <v>5744</v>
      </c>
    </row>
    <row r="2320" spans="1:3">
      <c r="A2320" t="s">
        <v>5745</v>
      </c>
      <c r="C2320" s="257" t="s">
        <v>5746</v>
      </c>
    </row>
    <row r="2321" spans="1:3">
      <c r="A2321" t="s">
        <v>5747</v>
      </c>
      <c r="C2321" s="257" t="s">
        <v>5748</v>
      </c>
    </row>
    <row r="2322" spans="1:3">
      <c r="A2322" t="s">
        <v>5749</v>
      </c>
      <c r="C2322" s="257" t="s">
        <v>5750</v>
      </c>
    </row>
    <row r="2323" spans="1:3">
      <c r="A2323" t="s">
        <v>5751</v>
      </c>
      <c r="C2323" s="257" t="s">
        <v>5752</v>
      </c>
    </row>
    <row r="2324" spans="1:3">
      <c r="A2324" t="s">
        <v>5753</v>
      </c>
      <c r="C2324" s="257" t="s">
        <v>5754</v>
      </c>
    </row>
    <row r="2325" spans="1:3">
      <c r="A2325" t="s">
        <v>5755</v>
      </c>
      <c r="B2325" t="s">
        <v>5756</v>
      </c>
      <c r="C2325" t="s">
        <v>5757</v>
      </c>
    </row>
    <row r="2326" spans="1:3">
      <c r="A2326" t="s">
        <v>5758</v>
      </c>
      <c r="B2326" t="s">
        <v>5759</v>
      </c>
      <c r="C2326" t="s">
        <v>5760</v>
      </c>
    </row>
    <row r="2327" spans="1:3">
      <c r="A2327" t="s">
        <v>5761</v>
      </c>
      <c r="B2327" t="s">
        <v>5762</v>
      </c>
      <c r="C2327" t="s">
        <v>5763</v>
      </c>
    </row>
    <row r="2328" spans="1:3">
      <c r="A2328" t="s">
        <v>5764</v>
      </c>
      <c r="B2328" t="s">
        <v>5765</v>
      </c>
      <c r="C2328" t="s">
        <v>5766</v>
      </c>
    </row>
    <row r="2329" spans="1:3">
      <c r="A2329" t="s">
        <v>5767</v>
      </c>
      <c r="C2329" s="257" t="s">
        <v>5768</v>
      </c>
    </row>
    <row r="2330" spans="1:3">
      <c r="A2330" t="s">
        <v>5769</v>
      </c>
      <c r="C2330" s="257" t="s">
        <v>5770</v>
      </c>
    </row>
    <row r="2331" spans="1:3">
      <c r="A2331" t="s">
        <v>5771</v>
      </c>
      <c r="C2331" s="257" t="s">
        <v>5772</v>
      </c>
    </row>
    <row r="2332" spans="1:3">
      <c r="A2332" t="s">
        <v>5773</v>
      </c>
      <c r="C2332" s="257" t="s">
        <v>5774</v>
      </c>
    </row>
    <row r="2333" spans="1:3">
      <c r="A2333" t="s">
        <v>5775</v>
      </c>
      <c r="C2333" s="257" t="s">
        <v>5776</v>
      </c>
    </row>
    <row r="2334" spans="1:3">
      <c r="A2334" t="s">
        <v>5777</v>
      </c>
      <c r="C2334" s="257" t="s">
        <v>5778</v>
      </c>
    </row>
    <row r="2335" spans="1:3">
      <c r="A2335" t="s">
        <v>5779</v>
      </c>
      <c r="C2335" s="257" t="s">
        <v>5780</v>
      </c>
    </row>
    <row r="2336" spans="1:3">
      <c r="A2336" t="s">
        <v>5781</v>
      </c>
      <c r="C2336" s="257" t="s">
        <v>5782</v>
      </c>
    </row>
    <row r="2337" spans="1:3">
      <c r="A2337" t="s">
        <v>5783</v>
      </c>
      <c r="C2337" s="257" t="s">
        <v>5784</v>
      </c>
    </row>
    <row r="2338" spans="1:3">
      <c r="A2338" t="s">
        <v>5785</v>
      </c>
      <c r="C2338" s="257" t="s">
        <v>5786</v>
      </c>
    </row>
    <row r="2339" spans="1:3">
      <c r="A2339" t="s">
        <v>5787</v>
      </c>
      <c r="C2339" s="257" t="s">
        <v>5788</v>
      </c>
    </row>
    <row r="2340" spans="1:3">
      <c r="A2340" t="s">
        <v>5789</v>
      </c>
      <c r="C2340" s="257" t="s">
        <v>5790</v>
      </c>
    </row>
    <row r="2341" spans="1:3">
      <c r="A2341" s="50" t="s">
        <v>5791</v>
      </c>
      <c r="B2341" s="50"/>
      <c r="C2341" s="258" t="s">
        <v>5792</v>
      </c>
    </row>
    <row r="2342" spans="1:3">
      <c r="A2342" s="50" t="s">
        <v>5791</v>
      </c>
      <c r="B2342" s="50"/>
      <c r="C2342" s="258" t="s">
        <v>5793</v>
      </c>
    </row>
    <row r="2343" spans="1:3">
      <c r="A2343" s="50" t="s">
        <v>5791</v>
      </c>
      <c r="B2343" s="50"/>
      <c r="C2343" s="258" t="s">
        <v>5794</v>
      </c>
    </row>
    <row r="2344" spans="1:3">
      <c r="A2344" s="50" t="s">
        <v>5791</v>
      </c>
      <c r="B2344" s="50"/>
      <c r="C2344" s="258" t="s">
        <v>5795</v>
      </c>
    </row>
    <row r="2345" spans="1:3">
      <c r="A2345" s="50" t="s">
        <v>5791</v>
      </c>
      <c r="B2345" s="50"/>
      <c r="C2345" s="258" t="s">
        <v>5796</v>
      </c>
    </row>
    <row r="2346" spans="1:3">
      <c r="A2346" s="50" t="s">
        <v>5791</v>
      </c>
      <c r="B2346" s="50"/>
      <c r="C2346" s="258" t="s">
        <v>5797</v>
      </c>
    </row>
    <row r="2347" spans="1:3">
      <c r="A2347" s="50" t="s">
        <v>5791</v>
      </c>
      <c r="B2347" s="50"/>
      <c r="C2347" s="258" t="s">
        <v>5798</v>
      </c>
    </row>
    <row r="2348" spans="1:3">
      <c r="A2348" s="50" t="s">
        <v>5791</v>
      </c>
      <c r="B2348" s="50"/>
      <c r="C2348" s="258" t="s">
        <v>5799</v>
      </c>
    </row>
    <row r="2349" spans="1:3">
      <c r="A2349" s="50" t="s">
        <v>5791</v>
      </c>
      <c r="B2349" s="50"/>
      <c r="C2349" s="258" t="s">
        <v>5800</v>
      </c>
    </row>
    <row r="2350" spans="1:3">
      <c r="A2350" s="50" t="s">
        <v>5791</v>
      </c>
      <c r="B2350" s="50"/>
      <c r="C2350" s="258" t="s">
        <v>5801</v>
      </c>
    </row>
    <row r="2351" spans="1:3">
      <c r="A2351" s="50" t="s">
        <v>5791</v>
      </c>
      <c r="B2351" s="50"/>
      <c r="C2351" s="258" t="s">
        <v>5802</v>
      </c>
    </row>
    <row r="2352" spans="1:3">
      <c r="A2352" s="50" t="s">
        <v>5791</v>
      </c>
      <c r="B2352" s="50"/>
      <c r="C2352" s="258" t="s">
        <v>5803</v>
      </c>
    </row>
    <row r="2353" spans="1:3">
      <c r="A2353" s="50" t="s">
        <v>5791</v>
      </c>
      <c r="B2353" s="50"/>
      <c r="C2353" s="258" t="s">
        <v>5804</v>
      </c>
    </row>
    <row r="2354" spans="1:3">
      <c r="A2354" s="50" t="s">
        <v>5791</v>
      </c>
      <c r="B2354" s="50"/>
      <c r="C2354" s="258" t="s">
        <v>5805</v>
      </c>
    </row>
    <row r="2355" spans="1:3">
      <c r="A2355" s="50" t="s">
        <v>5791</v>
      </c>
      <c r="B2355" s="50"/>
      <c r="C2355" s="258" t="s">
        <v>5806</v>
      </c>
    </row>
    <row r="2356" spans="1:3">
      <c r="A2356" s="50" t="s">
        <v>5791</v>
      </c>
      <c r="B2356" s="50"/>
      <c r="C2356" s="258" t="s">
        <v>5807</v>
      </c>
    </row>
    <row r="2357" spans="1:3">
      <c r="A2357" t="s">
        <v>5808</v>
      </c>
      <c r="C2357" s="257" t="s">
        <v>5809</v>
      </c>
    </row>
    <row r="2358" spans="1:3">
      <c r="A2358" t="s">
        <v>5810</v>
      </c>
      <c r="C2358" s="257" t="s">
        <v>5811</v>
      </c>
    </row>
    <row r="2359" spans="1:3">
      <c r="A2359" t="s">
        <v>5812</v>
      </c>
      <c r="C2359" s="257" t="s">
        <v>5813</v>
      </c>
    </row>
    <row r="2360" spans="1:3">
      <c r="A2360" t="s">
        <v>5814</v>
      </c>
      <c r="B2360" t="s">
        <v>5815</v>
      </c>
      <c r="C2360" t="s">
        <v>5816</v>
      </c>
    </row>
    <row r="2361" spans="1:3">
      <c r="A2361" t="s">
        <v>5817</v>
      </c>
      <c r="B2361" t="s">
        <v>5818</v>
      </c>
      <c r="C2361" t="s">
        <v>5819</v>
      </c>
    </row>
    <row r="2362" spans="1:3">
      <c r="A2362" t="s">
        <v>5820</v>
      </c>
      <c r="B2362" t="s">
        <v>5821</v>
      </c>
      <c r="C2362" t="s">
        <v>5822</v>
      </c>
    </row>
    <row r="2363" spans="1:3">
      <c r="A2363" t="s">
        <v>5823</v>
      </c>
      <c r="B2363" t="s">
        <v>5824</v>
      </c>
      <c r="C2363" t="s">
        <v>5825</v>
      </c>
    </row>
    <row r="2364" spans="1:3">
      <c r="A2364" t="s">
        <v>5826</v>
      </c>
      <c r="B2364" t="s">
        <v>5827</v>
      </c>
      <c r="C2364" t="s">
        <v>5828</v>
      </c>
    </row>
    <row r="2365" spans="1:3">
      <c r="A2365" t="s">
        <v>5829</v>
      </c>
      <c r="B2365" t="s">
        <v>5830</v>
      </c>
      <c r="C2365" t="s">
        <v>5831</v>
      </c>
    </row>
    <row r="2366" spans="1:3">
      <c r="A2366" t="s">
        <v>5832</v>
      </c>
      <c r="B2366" t="s">
        <v>5833</v>
      </c>
      <c r="C2366" t="s">
        <v>5834</v>
      </c>
    </row>
    <row r="2367" spans="1:3">
      <c r="A2367" t="s">
        <v>5835</v>
      </c>
      <c r="B2367" t="s">
        <v>5836</v>
      </c>
      <c r="C2367" t="s">
        <v>5837</v>
      </c>
    </row>
    <row r="2368" spans="1:3">
      <c r="A2368" t="s">
        <v>5838</v>
      </c>
      <c r="B2368" t="s">
        <v>5839</v>
      </c>
      <c r="C2368" t="s">
        <v>5840</v>
      </c>
    </row>
    <row r="2369" spans="1:3">
      <c r="A2369" t="s">
        <v>5841</v>
      </c>
      <c r="B2369" t="s">
        <v>5842</v>
      </c>
      <c r="C2369" t="s">
        <v>5843</v>
      </c>
    </row>
    <row r="2370" spans="1:3">
      <c r="A2370" t="s">
        <v>5844</v>
      </c>
      <c r="B2370" t="s">
        <v>5845</v>
      </c>
      <c r="C2370" t="s">
        <v>5846</v>
      </c>
    </row>
    <row r="2371" spans="1:3">
      <c r="A2371" t="s">
        <v>5847</v>
      </c>
      <c r="B2371" t="s">
        <v>5848</v>
      </c>
      <c r="C2371" t="s">
        <v>5849</v>
      </c>
    </row>
    <row r="2372" spans="1:3">
      <c r="A2372" t="s">
        <v>5850</v>
      </c>
      <c r="B2372" t="s">
        <v>5851</v>
      </c>
      <c r="C2372" t="s">
        <v>5852</v>
      </c>
    </row>
    <row r="2373" spans="1:3">
      <c r="A2373" t="s">
        <v>5853</v>
      </c>
      <c r="B2373" t="s">
        <v>5854</v>
      </c>
      <c r="C2373" t="s">
        <v>5855</v>
      </c>
    </row>
    <row r="2374" spans="1:3">
      <c r="A2374" t="s">
        <v>5856</v>
      </c>
      <c r="B2374" t="s">
        <v>5857</v>
      </c>
      <c r="C2374" t="s">
        <v>5858</v>
      </c>
    </row>
    <row r="2375" spans="1:3">
      <c r="A2375" t="s">
        <v>5859</v>
      </c>
      <c r="B2375" t="s">
        <v>5860</v>
      </c>
      <c r="C2375" t="s">
        <v>5861</v>
      </c>
    </row>
    <row r="2376" spans="1:3">
      <c r="A2376" t="s">
        <v>5862</v>
      </c>
      <c r="B2376" t="s">
        <v>5863</v>
      </c>
      <c r="C2376" t="s">
        <v>5864</v>
      </c>
    </row>
    <row r="2377" spans="1:3">
      <c r="A2377" t="s">
        <v>5865</v>
      </c>
      <c r="B2377" t="s">
        <v>5866</v>
      </c>
      <c r="C2377" t="s">
        <v>5867</v>
      </c>
    </row>
    <row r="2378" spans="1:3">
      <c r="A2378" t="s">
        <v>5868</v>
      </c>
      <c r="B2378" t="s">
        <v>5869</v>
      </c>
      <c r="C2378" t="s">
        <v>5870</v>
      </c>
    </row>
    <row r="2379" spans="1:3">
      <c r="A2379" t="s">
        <v>5871</v>
      </c>
      <c r="B2379" t="s">
        <v>5872</v>
      </c>
      <c r="C2379" t="s">
        <v>5873</v>
      </c>
    </row>
    <row r="2380" spans="1:3">
      <c r="A2380" t="s">
        <v>5874</v>
      </c>
      <c r="B2380" t="s">
        <v>5875</v>
      </c>
      <c r="C2380" t="s">
        <v>5876</v>
      </c>
    </row>
    <row r="2381" spans="1:3">
      <c r="A2381" t="s">
        <v>5877</v>
      </c>
      <c r="B2381" t="s">
        <v>5878</v>
      </c>
      <c r="C2381" t="s">
        <v>5879</v>
      </c>
    </row>
    <row r="2382" spans="1:3">
      <c r="A2382" t="s">
        <v>5880</v>
      </c>
      <c r="B2382" t="s">
        <v>5881</v>
      </c>
      <c r="C2382" t="s">
        <v>5882</v>
      </c>
    </row>
    <row r="2383" spans="1:3">
      <c r="A2383" t="s">
        <v>5883</v>
      </c>
      <c r="B2383" t="s">
        <v>5884</v>
      </c>
      <c r="C2383" t="s">
        <v>5885</v>
      </c>
    </row>
    <row r="2384" spans="1:3">
      <c r="A2384" t="s">
        <v>5886</v>
      </c>
      <c r="B2384" t="s">
        <v>5887</v>
      </c>
      <c r="C2384" t="s">
        <v>5888</v>
      </c>
    </row>
    <row r="2385" spans="1:3">
      <c r="A2385" t="s">
        <v>5889</v>
      </c>
      <c r="B2385" t="s">
        <v>5890</v>
      </c>
      <c r="C2385" t="s">
        <v>5891</v>
      </c>
    </row>
    <row r="2386" spans="1:3">
      <c r="A2386" t="s">
        <v>5892</v>
      </c>
      <c r="B2386" t="s">
        <v>5893</v>
      </c>
      <c r="C2386" t="s">
        <v>5894</v>
      </c>
    </row>
    <row r="2387" spans="1:3">
      <c r="A2387" t="s">
        <v>5895</v>
      </c>
      <c r="B2387" t="s">
        <v>5896</v>
      </c>
      <c r="C2387" t="s">
        <v>5897</v>
      </c>
    </row>
    <row r="2388" spans="1:3">
      <c r="A2388" t="s">
        <v>5898</v>
      </c>
      <c r="B2388" t="s">
        <v>5899</v>
      </c>
      <c r="C2388" t="s">
        <v>5900</v>
      </c>
    </row>
    <row r="2389" spans="1:3">
      <c r="A2389" t="s">
        <v>5901</v>
      </c>
      <c r="B2389" t="s">
        <v>5902</v>
      </c>
      <c r="C2389" t="s">
        <v>5903</v>
      </c>
    </row>
    <row r="2390" spans="1:3">
      <c r="A2390" t="s">
        <v>5904</v>
      </c>
      <c r="B2390" t="s">
        <v>5905</v>
      </c>
      <c r="C2390" t="s">
        <v>5906</v>
      </c>
    </row>
    <row r="2391" spans="1:3">
      <c r="A2391" t="s">
        <v>5907</v>
      </c>
      <c r="B2391" t="s">
        <v>5863</v>
      </c>
      <c r="C2391" t="s">
        <v>5908</v>
      </c>
    </row>
    <row r="2392" spans="1:3">
      <c r="A2392" t="s">
        <v>5909</v>
      </c>
      <c r="B2392" t="s">
        <v>5910</v>
      </c>
      <c r="C2392" t="s">
        <v>5911</v>
      </c>
    </row>
    <row r="2393" spans="1:3">
      <c r="A2393" t="s">
        <v>5912</v>
      </c>
      <c r="B2393" t="s">
        <v>5872</v>
      </c>
      <c r="C2393" t="s">
        <v>5913</v>
      </c>
    </row>
    <row r="2394" spans="1:3">
      <c r="A2394" t="s">
        <v>5914</v>
      </c>
      <c r="B2394" t="s">
        <v>5915</v>
      </c>
      <c r="C2394" t="s">
        <v>5916</v>
      </c>
    </row>
    <row r="2395" spans="1:3">
      <c r="A2395" t="s">
        <v>5917</v>
      </c>
      <c r="B2395" t="s">
        <v>5918</v>
      </c>
      <c r="C2395" t="s">
        <v>5919</v>
      </c>
    </row>
    <row r="2396" spans="1:3">
      <c r="A2396" t="s">
        <v>5920</v>
      </c>
      <c r="B2396" t="s">
        <v>5921</v>
      </c>
      <c r="C2396" t="s">
        <v>5922</v>
      </c>
    </row>
    <row r="2397" spans="1:3">
      <c r="A2397" t="s">
        <v>5923</v>
      </c>
      <c r="B2397" t="s">
        <v>5924</v>
      </c>
      <c r="C2397" t="s">
        <v>5925</v>
      </c>
    </row>
    <row r="2398" spans="1:3">
      <c r="A2398" t="s">
        <v>5926</v>
      </c>
      <c r="B2398" t="s">
        <v>5927</v>
      </c>
      <c r="C2398" t="s">
        <v>5928</v>
      </c>
    </row>
    <row r="2399" spans="1:3">
      <c r="A2399" t="s">
        <v>5929</v>
      </c>
      <c r="B2399" t="s">
        <v>5930</v>
      </c>
      <c r="C2399" t="s">
        <v>5931</v>
      </c>
    </row>
    <row r="2400" spans="1:3">
      <c r="A2400" t="s">
        <v>5932</v>
      </c>
      <c r="B2400" t="s">
        <v>5915</v>
      </c>
      <c r="C2400" t="s">
        <v>5933</v>
      </c>
    </row>
    <row r="2401" spans="1:3">
      <c r="A2401" t="s">
        <v>5934</v>
      </c>
      <c r="B2401" t="s">
        <v>5935</v>
      </c>
      <c r="C2401" t="s">
        <v>5936</v>
      </c>
    </row>
    <row r="2402" spans="1:3">
      <c r="A2402" t="s">
        <v>5937</v>
      </c>
      <c r="B2402" t="s">
        <v>5938</v>
      </c>
      <c r="C2402" t="s">
        <v>5939</v>
      </c>
    </row>
    <row r="2403" spans="1:3">
      <c r="A2403" t="s">
        <v>5940</v>
      </c>
      <c r="B2403" t="s">
        <v>5941</v>
      </c>
      <c r="C2403" t="s">
        <v>5942</v>
      </c>
    </row>
    <row r="2404" spans="1:3">
      <c r="A2404" t="s">
        <v>5943</v>
      </c>
      <c r="B2404" t="s">
        <v>5944</v>
      </c>
      <c r="C2404" t="s">
        <v>5945</v>
      </c>
    </row>
    <row r="2405" spans="1:3">
      <c r="A2405" t="s">
        <v>5946</v>
      </c>
      <c r="B2405" t="s">
        <v>5947</v>
      </c>
      <c r="C2405" t="s">
        <v>5948</v>
      </c>
    </row>
    <row r="2406" spans="1:3">
      <c r="A2406" t="s">
        <v>5949</v>
      </c>
      <c r="B2406" t="s">
        <v>5950</v>
      </c>
      <c r="C2406" t="s">
        <v>5951</v>
      </c>
    </row>
    <row r="2407" spans="1:3">
      <c r="A2407" t="s">
        <v>5952</v>
      </c>
      <c r="B2407" t="s">
        <v>5953</v>
      </c>
      <c r="C2407" t="s">
        <v>5954</v>
      </c>
    </row>
    <row r="2408" spans="1:3">
      <c r="A2408" t="s">
        <v>5955</v>
      </c>
      <c r="B2408" t="s">
        <v>5921</v>
      </c>
      <c r="C2408" t="s">
        <v>5956</v>
      </c>
    </row>
    <row r="2409" spans="1:3">
      <c r="A2409" t="s">
        <v>5957</v>
      </c>
      <c r="B2409" t="s">
        <v>5958</v>
      </c>
      <c r="C2409" t="s">
        <v>5959</v>
      </c>
    </row>
    <row r="2410" spans="1:3">
      <c r="A2410" t="s">
        <v>5960</v>
      </c>
      <c r="B2410" t="s">
        <v>5961</v>
      </c>
      <c r="C2410" t="s">
        <v>5962</v>
      </c>
    </row>
    <row r="2411" spans="1:3">
      <c r="A2411" t="s">
        <v>5963</v>
      </c>
      <c r="B2411" t="s">
        <v>5964</v>
      </c>
      <c r="C2411" t="s">
        <v>5965</v>
      </c>
    </row>
    <row r="2412" spans="1:3">
      <c r="A2412" t="s">
        <v>5966</v>
      </c>
      <c r="B2412" t="s">
        <v>5967</v>
      </c>
      <c r="C2412" t="s">
        <v>5968</v>
      </c>
    </row>
    <row r="2413" spans="1:3">
      <c r="A2413" t="s">
        <v>5969</v>
      </c>
      <c r="B2413" t="s">
        <v>5970</v>
      </c>
      <c r="C2413" t="s">
        <v>5971</v>
      </c>
    </row>
    <row r="2414" spans="1:3">
      <c r="A2414" t="s">
        <v>5972</v>
      </c>
      <c r="B2414" t="s">
        <v>5973</v>
      </c>
      <c r="C2414" t="s">
        <v>5974</v>
      </c>
    </row>
    <row r="2415" spans="1:3">
      <c r="A2415" t="s">
        <v>5975</v>
      </c>
      <c r="B2415" t="s">
        <v>5976</v>
      </c>
      <c r="C2415" t="s">
        <v>5977</v>
      </c>
    </row>
    <row r="2416" spans="1:3">
      <c r="A2416" t="s">
        <v>5978</v>
      </c>
      <c r="B2416" t="s">
        <v>5979</v>
      </c>
      <c r="C2416" t="s">
        <v>5980</v>
      </c>
    </row>
    <row r="2417" spans="1:3">
      <c r="A2417" t="s">
        <v>5981</v>
      </c>
      <c r="B2417" t="s">
        <v>5982</v>
      </c>
      <c r="C2417" t="s">
        <v>5983</v>
      </c>
    </row>
    <row r="2418" spans="1:3">
      <c r="A2418" t="s">
        <v>5984</v>
      </c>
      <c r="B2418" t="s">
        <v>5985</v>
      </c>
      <c r="C2418" t="s">
        <v>5986</v>
      </c>
    </row>
    <row r="2419" spans="1:3">
      <c r="A2419" t="s">
        <v>5987</v>
      </c>
      <c r="B2419" t="s">
        <v>5988</v>
      </c>
      <c r="C2419" t="s">
        <v>5989</v>
      </c>
    </row>
    <row r="2420" spans="1:3">
      <c r="A2420" t="s">
        <v>5990</v>
      </c>
      <c r="B2420" t="s">
        <v>5991</v>
      </c>
      <c r="C2420" t="s">
        <v>5992</v>
      </c>
    </row>
    <row r="2421" spans="1:3">
      <c r="A2421" t="s">
        <v>5993</v>
      </c>
      <c r="B2421" t="s">
        <v>5994</v>
      </c>
      <c r="C2421" t="s">
        <v>5995</v>
      </c>
    </row>
    <row r="2422" spans="1:3">
      <c r="A2422" t="s">
        <v>5996</v>
      </c>
      <c r="B2422" t="s">
        <v>5997</v>
      </c>
      <c r="C2422" t="s">
        <v>5998</v>
      </c>
    </row>
    <row r="2423" spans="1:3">
      <c r="A2423" t="s">
        <v>5999</v>
      </c>
      <c r="B2423" t="s">
        <v>6000</v>
      </c>
      <c r="C2423" t="s">
        <v>6001</v>
      </c>
    </row>
    <row r="2424" spans="1:3">
      <c r="A2424" t="s">
        <v>6002</v>
      </c>
      <c r="B2424" t="s">
        <v>6003</v>
      </c>
      <c r="C2424" t="s">
        <v>6004</v>
      </c>
    </row>
    <row r="2425" spans="1:3">
      <c r="A2425" t="s">
        <v>6005</v>
      </c>
      <c r="B2425" t="s">
        <v>6006</v>
      </c>
      <c r="C2425" t="s">
        <v>6007</v>
      </c>
    </row>
    <row r="2426" spans="1:3">
      <c r="A2426" t="s">
        <v>6008</v>
      </c>
      <c r="B2426" t="s">
        <v>6009</v>
      </c>
      <c r="C2426" t="s">
        <v>6010</v>
      </c>
    </row>
    <row r="2427" spans="1:3">
      <c r="A2427" t="s">
        <v>6011</v>
      </c>
      <c r="B2427" t="s">
        <v>6012</v>
      </c>
      <c r="C2427" t="s">
        <v>6013</v>
      </c>
    </row>
    <row r="2428" spans="1:3">
      <c r="A2428" t="s">
        <v>6014</v>
      </c>
      <c r="B2428" t="s">
        <v>6015</v>
      </c>
      <c r="C2428" t="s">
        <v>6016</v>
      </c>
    </row>
    <row r="2429" spans="1:3">
      <c r="A2429" t="s">
        <v>6017</v>
      </c>
      <c r="B2429" t="s">
        <v>5967</v>
      </c>
      <c r="C2429" t="s">
        <v>6018</v>
      </c>
    </row>
    <row r="2430" spans="1:3">
      <c r="A2430" t="s">
        <v>6019</v>
      </c>
      <c r="B2430" t="s">
        <v>5970</v>
      </c>
      <c r="C2430" t="s">
        <v>6020</v>
      </c>
    </row>
    <row r="2431" spans="1:3">
      <c r="A2431" t="s">
        <v>6021</v>
      </c>
      <c r="B2431" t="s">
        <v>5973</v>
      </c>
      <c r="C2431" t="s">
        <v>6022</v>
      </c>
    </row>
    <row r="2432" spans="1:3">
      <c r="A2432" t="s">
        <v>6023</v>
      </c>
      <c r="B2432" t="s">
        <v>5976</v>
      </c>
      <c r="C2432" t="s">
        <v>6024</v>
      </c>
    </row>
    <row r="2433" spans="1:3">
      <c r="A2433" t="s">
        <v>6025</v>
      </c>
      <c r="B2433" t="s">
        <v>6026</v>
      </c>
      <c r="C2433" t="s">
        <v>6027</v>
      </c>
    </row>
    <row r="2434" spans="1:3">
      <c r="A2434" t="s">
        <v>6028</v>
      </c>
      <c r="B2434" t="s">
        <v>6029</v>
      </c>
      <c r="C2434" t="s">
        <v>6030</v>
      </c>
    </row>
    <row r="2435" spans="1:3">
      <c r="A2435" t="s">
        <v>6031</v>
      </c>
      <c r="B2435" t="s">
        <v>6032</v>
      </c>
      <c r="C2435" t="s">
        <v>6033</v>
      </c>
    </row>
    <row r="2436" spans="1:3">
      <c r="A2436" t="s">
        <v>6034</v>
      </c>
      <c r="B2436" t="s">
        <v>6035</v>
      </c>
      <c r="C2436" t="s">
        <v>6036</v>
      </c>
    </row>
    <row r="2437" spans="1:3">
      <c r="A2437" t="s">
        <v>6037</v>
      </c>
      <c r="B2437" t="s">
        <v>6035</v>
      </c>
      <c r="C2437" t="s">
        <v>6038</v>
      </c>
    </row>
    <row r="2438" spans="1:3">
      <c r="A2438" t="s">
        <v>6039</v>
      </c>
      <c r="B2438" t="s">
        <v>6035</v>
      </c>
      <c r="C2438" t="s">
        <v>6040</v>
      </c>
    </row>
    <row r="2439" spans="1:3">
      <c r="A2439" t="s">
        <v>6041</v>
      </c>
      <c r="B2439" t="s">
        <v>6042</v>
      </c>
      <c r="C2439" t="s">
        <v>6043</v>
      </c>
    </row>
    <row r="2440" spans="1:3">
      <c r="A2440" t="s">
        <v>6044</v>
      </c>
      <c r="B2440" t="s">
        <v>6045</v>
      </c>
      <c r="C2440" t="s">
        <v>6046</v>
      </c>
    </row>
    <row r="2441" spans="1:3">
      <c r="A2441" t="s">
        <v>6047</v>
      </c>
      <c r="B2441" t="s">
        <v>6048</v>
      </c>
      <c r="C2441" t="s">
        <v>6049</v>
      </c>
    </row>
    <row r="2442" spans="1:3">
      <c r="A2442" t="s">
        <v>6050</v>
      </c>
      <c r="B2442" t="s">
        <v>6051</v>
      </c>
      <c r="C2442" t="s">
        <v>6052</v>
      </c>
    </row>
    <row r="2443" spans="1:3">
      <c r="A2443" t="s">
        <v>6053</v>
      </c>
      <c r="B2443" t="s">
        <v>6054</v>
      </c>
      <c r="C2443" t="s">
        <v>6055</v>
      </c>
    </row>
    <row r="2444" spans="1:3">
      <c r="A2444" t="s">
        <v>6056</v>
      </c>
      <c r="B2444" t="s">
        <v>6057</v>
      </c>
      <c r="C2444" t="s">
        <v>6058</v>
      </c>
    </row>
    <row r="2445" spans="1:3">
      <c r="A2445" t="s">
        <v>6059</v>
      </c>
      <c r="B2445" t="s">
        <v>6060</v>
      </c>
      <c r="C2445" t="s">
        <v>6061</v>
      </c>
    </row>
    <row r="2446" spans="1:3">
      <c r="A2446" t="s">
        <v>6062</v>
      </c>
      <c r="B2446" t="s">
        <v>6063</v>
      </c>
      <c r="C2446" t="s">
        <v>6064</v>
      </c>
    </row>
    <row r="2447" spans="1:3">
      <c r="A2447" t="s">
        <v>6065</v>
      </c>
      <c r="B2447" t="s">
        <v>6066</v>
      </c>
      <c r="C2447" t="s">
        <v>6067</v>
      </c>
    </row>
    <row r="2448" spans="1:3">
      <c r="A2448" t="s">
        <v>6068</v>
      </c>
      <c r="B2448" t="s">
        <v>6069</v>
      </c>
      <c r="C2448" t="s">
        <v>6070</v>
      </c>
    </row>
    <row r="2449" spans="1:3">
      <c r="A2449" t="s">
        <v>6071</v>
      </c>
      <c r="B2449" t="s">
        <v>6072</v>
      </c>
      <c r="C2449" t="s">
        <v>6073</v>
      </c>
    </row>
    <row r="2450" spans="1:3">
      <c r="A2450" t="s">
        <v>6074</v>
      </c>
      <c r="B2450" t="s">
        <v>6075</v>
      </c>
      <c r="C2450" t="s">
        <v>6076</v>
      </c>
    </row>
    <row r="2451" spans="1:3">
      <c r="A2451" t="s">
        <v>6077</v>
      </c>
      <c r="B2451" t="s">
        <v>6078</v>
      </c>
      <c r="C2451" t="s">
        <v>6079</v>
      </c>
    </row>
    <row r="2452" spans="1:3">
      <c r="A2452" t="s">
        <v>6080</v>
      </c>
      <c r="B2452" t="s">
        <v>6081</v>
      </c>
      <c r="C2452" t="s">
        <v>6082</v>
      </c>
    </row>
    <row r="2453" spans="1:3">
      <c r="A2453" t="s">
        <v>6083</v>
      </c>
      <c r="B2453" t="s">
        <v>6084</v>
      </c>
      <c r="C2453" t="s">
        <v>6085</v>
      </c>
    </row>
    <row r="2454" spans="1:3">
      <c r="A2454" t="s">
        <v>6086</v>
      </c>
      <c r="B2454" t="s">
        <v>6087</v>
      </c>
      <c r="C2454" t="s">
        <v>6088</v>
      </c>
    </row>
    <row r="2455" spans="1:3">
      <c r="A2455" t="s">
        <v>6089</v>
      </c>
      <c r="B2455" t="s">
        <v>6090</v>
      </c>
      <c r="C2455" t="s">
        <v>6091</v>
      </c>
    </row>
    <row r="2456" spans="1:3">
      <c r="A2456" t="s">
        <v>6092</v>
      </c>
      <c r="B2456" t="s">
        <v>6093</v>
      </c>
      <c r="C2456" t="s">
        <v>6094</v>
      </c>
    </row>
    <row r="2457" spans="1:3">
      <c r="A2457" t="s">
        <v>6095</v>
      </c>
      <c r="B2457" t="s">
        <v>6096</v>
      </c>
      <c r="C2457" t="s">
        <v>6097</v>
      </c>
    </row>
    <row r="2458" spans="1:3">
      <c r="A2458" t="s">
        <v>6098</v>
      </c>
      <c r="B2458" t="s">
        <v>6099</v>
      </c>
      <c r="C2458" t="s">
        <v>6100</v>
      </c>
    </row>
    <row r="2459" spans="1:3">
      <c r="A2459" t="s">
        <v>6101</v>
      </c>
      <c r="B2459" t="s">
        <v>6102</v>
      </c>
      <c r="C2459" t="s">
        <v>6103</v>
      </c>
    </row>
    <row r="2460" spans="1:3">
      <c r="A2460" t="s">
        <v>6104</v>
      </c>
      <c r="B2460" t="s">
        <v>6105</v>
      </c>
      <c r="C2460" t="s">
        <v>6106</v>
      </c>
    </row>
    <row r="2461" spans="1:3">
      <c r="A2461" t="s">
        <v>6107</v>
      </c>
      <c r="B2461" t="s">
        <v>6108</v>
      </c>
      <c r="C2461" t="s">
        <v>6109</v>
      </c>
    </row>
    <row r="2462" spans="1:3">
      <c r="A2462" t="s">
        <v>6110</v>
      </c>
      <c r="B2462" t="s">
        <v>6111</v>
      </c>
      <c r="C2462" t="s">
        <v>6112</v>
      </c>
    </row>
    <row r="2463" spans="1:3">
      <c r="A2463" t="s">
        <v>6113</v>
      </c>
      <c r="B2463" t="s">
        <v>6114</v>
      </c>
      <c r="C2463" t="s">
        <v>6115</v>
      </c>
    </row>
    <row r="2464" spans="1:3">
      <c r="A2464" t="s">
        <v>6116</v>
      </c>
      <c r="B2464" t="s">
        <v>6117</v>
      </c>
      <c r="C2464" t="s">
        <v>6118</v>
      </c>
    </row>
    <row r="2465" spans="1:3">
      <c r="A2465" t="s">
        <v>6119</v>
      </c>
      <c r="B2465" t="s">
        <v>6120</v>
      </c>
      <c r="C2465" t="s">
        <v>6121</v>
      </c>
    </row>
    <row r="2466" spans="1:3">
      <c r="A2466" t="s">
        <v>6122</v>
      </c>
      <c r="B2466" t="s">
        <v>6123</v>
      </c>
      <c r="C2466" t="s">
        <v>6124</v>
      </c>
    </row>
    <row r="2467" spans="1:3">
      <c r="A2467" t="s">
        <v>6125</v>
      </c>
      <c r="B2467" t="s">
        <v>6126</v>
      </c>
      <c r="C2467" t="s">
        <v>6127</v>
      </c>
    </row>
    <row r="2468" spans="1:3">
      <c r="A2468" t="s">
        <v>6128</v>
      </c>
      <c r="B2468" t="s">
        <v>6129</v>
      </c>
      <c r="C2468" t="s">
        <v>6130</v>
      </c>
    </row>
    <row r="2469" spans="1:3">
      <c r="A2469" t="s">
        <v>6131</v>
      </c>
      <c r="B2469" t="s">
        <v>6129</v>
      </c>
      <c r="C2469" t="s">
        <v>6132</v>
      </c>
    </row>
    <row r="2470" spans="1:3">
      <c r="A2470" t="s">
        <v>6133</v>
      </c>
      <c r="B2470" t="s">
        <v>6134</v>
      </c>
      <c r="C2470" t="s">
        <v>6135</v>
      </c>
    </row>
    <row r="2471" spans="1:3">
      <c r="A2471" t="s">
        <v>6136</v>
      </c>
      <c r="B2471" t="s">
        <v>6129</v>
      </c>
      <c r="C2471" t="s">
        <v>6137</v>
      </c>
    </row>
    <row r="2472" spans="1:3">
      <c r="A2472" t="s">
        <v>6138</v>
      </c>
      <c r="B2472" t="s">
        <v>6139</v>
      </c>
      <c r="C2472" t="s">
        <v>6140</v>
      </c>
    </row>
    <row r="2473" spans="1:3">
      <c r="A2473" t="s">
        <v>6141</v>
      </c>
      <c r="B2473" t="s">
        <v>6142</v>
      </c>
      <c r="C2473" t="s">
        <v>6143</v>
      </c>
    </row>
    <row r="2474" spans="1:3">
      <c r="A2474" t="s">
        <v>6144</v>
      </c>
      <c r="B2474" t="s">
        <v>6145</v>
      </c>
      <c r="C2474" t="s">
        <v>6146</v>
      </c>
    </row>
    <row r="2475" spans="1:3">
      <c r="A2475" t="s">
        <v>6147</v>
      </c>
      <c r="B2475" t="s">
        <v>6148</v>
      </c>
      <c r="C2475" t="s">
        <v>6149</v>
      </c>
    </row>
    <row r="2476" spans="1:3">
      <c r="A2476" t="s">
        <v>6150</v>
      </c>
      <c r="B2476" t="s">
        <v>6151</v>
      </c>
      <c r="C2476" t="s">
        <v>6152</v>
      </c>
    </row>
    <row r="2477" spans="1:3">
      <c r="A2477" t="s">
        <v>6153</v>
      </c>
      <c r="B2477" t="s">
        <v>6154</v>
      </c>
      <c r="C2477" t="s">
        <v>6155</v>
      </c>
    </row>
    <row r="2478" spans="1:3">
      <c r="A2478" t="s">
        <v>6156</v>
      </c>
      <c r="B2478" t="s">
        <v>6145</v>
      </c>
      <c r="C2478" t="s">
        <v>6157</v>
      </c>
    </row>
    <row r="2479" spans="1:3">
      <c r="A2479" t="s">
        <v>6158</v>
      </c>
      <c r="B2479" t="s">
        <v>6159</v>
      </c>
      <c r="C2479" t="s">
        <v>6160</v>
      </c>
    </row>
    <row r="2480" spans="1:3">
      <c r="A2480" t="s">
        <v>6161</v>
      </c>
      <c r="B2480" t="s">
        <v>6072</v>
      </c>
      <c r="C2480" t="s">
        <v>6162</v>
      </c>
    </row>
    <row r="2481" spans="1:3">
      <c r="A2481" t="s">
        <v>6163</v>
      </c>
      <c r="B2481" t="s">
        <v>6164</v>
      </c>
      <c r="C2481" t="s">
        <v>6165</v>
      </c>
    </row>
    <row r="2482" spans="1:3">
      <c r="A2482" t="s">
        <v>6166</v>
      </c>
      <c r="B2482" t="s">
        <v>6084</v>
      </c>
      <c r="C2482" t="s">
        <v>6167</v>
      </c>
    </row>
    <row r="2483" spans="1:3">
      <c r="A2483" t="s">
        <v>6168</v>
      </c>
      <c r="B2483" t="s">
        <v>6084</v>
      </c>
      <c r="C2483" t="s">
        <v>6169</v>
      </c>
    </row>
    <row r="2484" spans="1:3">
      <c r="A2484" t="s">
        <v>6170</v>
      </c>
      <c r="B2484" t="s">
        <v>6171</v>
      </c>
      <c r="C2484" t="s">
        <v>6172</v>
      </c>
    </row>
    <row r="2485" spans="1:3">
      <c r="A2485" t="s">
        <v>6173</v>
      </c>
      <c r="B2485" t="s">
        <v>6174</v>
      </c>
      <c r="C2485" t="s">
        <v>6175</v>
      </c>
    </row>
    <row r="2486" spans="1:3">
      <c r="A2486" t="s">
        <v>6176</v>
      </c>
      <c r="B2486" t="s">
        <v>6159</v>
      </c>
      <c r="C2486" t="s">
        <v>6177</v>
      </c>
    </row>
    <row r="2487" spans="1:3">
      <c r="A2487" t="s">
        <v>6178</v>
      </c>
      <c r="B2487" t="s">
        <v>6134</v>
      </c>
      <c r="C2487" t="s">
        <v>6179</v>
      </c>
    </row>
    <row r="2488" spans="1:3">
      <c r="A2488" t="s">
        <v>6180</v>
      </c>
      <c r="C2488" s="257" t="s">
        <v>6181</v>
      </c>
    </row>
    <row r="2489" spans="1:3">
      <c r="A2489" t="s">
        <v>6182</v>
      </c>
      <c r="C2489" s="257" t="s">
        <v>6183</v>
      </c>
    </row>
    <row r="2490" spans="1:3">
      <c r="A2490" t="s">
        <v>6184</v>
      </c>
      <c r="C2490" s="257" t="s">
        <v>6185</v>
      </c>
    </row>
    <row r="2491" spans="1:3">
      <c r="A2491" t="s">
        <v>6186</v>
      </c>
      <c r="C2491" s="257" t="s">
        <v>6187</v>
      </c>
    </row>
    <row r="2492" spans="1:3">
      <c r="A2492" t="s">
        <v>6188</v>
      </c>
      <c r="C2492" s="257" t="s">
        <v>6189</v>
      </c>
    </row>
    <row r="2493" spans="1:3">
      <c r="A2493" t="s">
        <v>6190</v>
      </c>
      <c r="C2493" s="257" t="s">
        <v>6191</v>
      </c>
    </row>
    <row r="2494" spans="1:3">
      <c r="A2494" t="s">
        <v>6192</v>
      </c>
      <c r="C2494" s="257" t="s">
        <v>6193</v>
      </c>
    </row>
    <row r="2495" spans="1:3">
      <c r="A2495" t="s">
        <v>6194</v>
      </c>
      <c r="C2495" s="257" t="s">
        <v>6195</v>
      </c>
    </row>
    <row r="2496" spans="1:3">
      <c r="A2496" t="s">
        <v>6196</v>
      </c>
      <c r="C2496" s="257" t="s">
        <v>6197</v>
      </c>
    </row>
    <row r="2497" spans="1:3">
      <c r="A2497" t="s">
        <v>6198</v>
      </c>
      <c r="C2497" s="257" t="s">
        <v>6199</v>
      </c>
    </row>
    <row r="2498" spans="1:3">
      <c r="A2498" t="s">
        <v>6200</v>
      </c>
      <c r="C2498" s="257" t="s">
        <v>6201</v>
      </c>
    </row>
    <row r="2499" spans="1:3">
      <c r="A2499" t="s">
        <v>6202</v>
      </c>
      <c r="C2499" s="257" t="s">
        <v>6203</v>
      </c>
    </row>
    <row r="2500" spans="1:3">
      <c r="A2500" t="s">
        <v>6204</v>
      </c>
      <c r="C2500" s="257" t="s">
        <v>6205</v>
      </c>
    </row>
    <row r="2501" spans="1:3">
      <c r="A2501" t="s">
        <v>6206</v>
      </c>
      <c r="C2501" s="257" t="s">
        <v>6207</v>
      </c>
    </row>
    <row r="2502" spans="1:3">
      <c r="A2502" t="s">
        <v>6208</v>
      </c>
      <c r="C2502" s="257" t="s">
        <v>6209</v>
      </c>
    </row>
    <row r="2503" spans="1:3">
      <c r="A2503" t="s">
        <v>6210</v>
      </c>
      <c r="C2503" s="257" t="s">
        <v>6211</v>
      </c>
    </row>
    <row r="2504" spans="1:3">
      <c r="A2504" t="s">
        <v>6212</v>
      </c>
      <c r="C2504" s="257" t="s">
        <v>6213</v>
      </c>
    </row>
    <row r="2505" spans="1:3">
      <c r="A2505" t="s">
        <v>6214</v>
      </c>
      <c r="C2505" s="257" t="s">
        <v>6215</v>
      </c>
    </row>
    <row r="2506" spans="1:3">
      <c r="A2506" t="s">
        <v>6216</v>
      </c>
      <c r="B2506" t="s">
        <v>4774</v>
      </c>
      <c r="C2506" t="s">
        <v>6217</v>
      </c>
    </row>
    <row r="2507" spans="1:3">
      <c r="A2507" t="s">
        <v>6218</v>
      </c>
      <c r="B2507" t="s">
        <v>4774</v>
      </c>
      <c r="C2507" t="s">
        <v>6219</v>
      </c>
    </row>
    <row r="2508" spans="1:3">
      <c r="A2508" t="s">
        <v>6220</v>
      </c>
      <c r="C2508" s="257" t="s">
        <v>6221</v>
      </c>
    </row>
    <row r="2509" spans="1:3">
      <c r="A2509" t="s">
        <v>6222</v>
      </c>
      <c r="C2509" s="257" t="s">
        <v>6223</v>
      </c>
    </row>
    <row r="2510" spans="1:3">
      <c r="A2510" t="s">
        <v>6224</v>
      </c>
      <c r="C2510" s="257" t="s">
        <v>6225</v>
      </c>
    </row>
    <row r="2511" spans="1:3">
      <c r="A2511" t="s">
        <v>6226</v>
      </c>
      <c r="C2511" s="257" t="s">
        <v>6227</v>
      </c>
    </row>
    <row r="2512" spans="1:3">
      <c r="A2512" t="s">
        <v>6228</v>
      </c>
      <c r="C2512" s="257" t="s">
        <v>6229</v>
      </c>
    </row>
    <row r="2513" spans="1:3">
      <c r="A2513" t="s">
        <v>6230</v>
      </c>
      <c r="C2513" s="257" t="s">
        <v>6231</v>
      </c>
    </row>
    <row r="2514" spans="1:3">
      <c r="A2514" t="s">
        <v>6232</v>
      </c>
      <c r="C2514" s="257" t="s">
        <v>6233</v>
      </c>
    </row>
    <row r="2515" spans="1:3">
      <c r="A2515" t="s">
        <v>6234</v>
      </c>
      <c r="C2515" s="257" t="s">
        <v>6235</v>
      </c>
    </row>
    <row r="2516" spans="1:3">
      <c r="A2516" t="s">
        <v>6236</v>
      </c>
      <c r="C2516" s="257" t="s">
        <v>6237</v>
      </c>
    </row>
    <row r="2517" spans="1:3">
      <c r="A2517" t="s">
        <v>6238</v>
      </c>
      <c r="C2517" s="257" t="s">
        <v>6239</v>
      </c>
    </row>
    <row r="2518" spans="1:3">
      <c r="A2518" t="s">
        <v>6240</v>
      </c>
      <c r="C2518" s="257" t="s">
        <v>6241</v>
      </c>
    </row>
    <row r="2519" spans="1:3">
      <c r="A2519" t="s">
        <v>6242</v>
      </c>
      <c r="C2519" s="257" t="s">
        <v>6243</v>
      </c>
    </row>
    <row r="2520" spans="1:3">
      <c r="A2520" t="s">
        <v>6244</v>
      </c>
      <c r="C2520" s="257" t="s">
        <v>6245</v>
      </c>
    </row>
    <row r="2521" spans="1:3">
      <c r="A2521" t="s">
        <v>6246</v>
      </c>
      <c r="C2521" s="257" t="s">
        <v>6247</v>
      </c>
    </row>
    <row r="2522" spans="1:3">
      <c r="A2522" t="s">
        <v>6248</v>
      </c>
      <c r="C2522" s="257" t="s">
        <v>6249</v>
      </c>
    </row>
    <row r="2523" spans="1:3">
      <c r="A2523" t="s">
        <v>6250</v>
      </c>
      <c r="C2523" s="257" t="s">
        <v>6251</v>
      </c>
    </row>
    <row r="2524" spans="1:3">
      <c r="A2524" t="s">
        <v>6252</v>
      </c>
      <c r="C2524" s="257" t="s">
        <v>6253</v>
      </c>
    </row>
    <row r="2525" spans="1:3">
      <c r="A2525" t="s">
        <v>6254</v>
      </c>
      <c r="C2525" s="257" t="s">
        <v>6255</v>
      </c>
    </row>
    <row r="2526" spans="1:3">
      <c r="A2526" t="s">
        <v>6256</v>
      </c>
      <c r="C2526" s="257" t="s">
        <v>6257</v>
      </c>
    </row>
    <row r="2527" spans="1:3">
      <c r="A2527" t="s">
        <v>6258</v>
      </c>
      <c r="C2527" s="257" t="s">
        <v>6259</v>
      </c>
    </row>
    <row r="2528" spans="1:3">
      <c r="A2528" t="s">
        <v>6260</v>
      </c>
      <c r="C2528" s="257" t="s">
        <v>6261</v>
      </c>
    </row>
    <row r="2529" spans="1:3">
      <c r="A2529" t="s">
        <v>6262</v>
      </c>
      <c r="B2529" t="s">
        <v>6263</v>
      </c>
      <c r="C2529" t="s">
        <v>6264</v>
      </c>
    </row>
    <row r="2530" spans="1:3">
      <c r="A2530" t="s">
        <v>6265</v>
      </c>
      <c r="C2530" s="257" t="s">
        <v>6266</v>
      </c>
    </row>
    <row r="2531" spans="1:3">
      <c r="A2531" t="s">
        <v>6267</v>
      </c>
      <c r="C2531" s="257" t="s">
        <v>6268</v>
      </c>
    </row>
    <row r="2532" spans="1:3">
      <c r="A2532" t="s">
        <v>6269</v>
      </c>
      <c r="B2532" t="s">
        <v>6270</v>
      </c>
      <c r="C2532" t="s">
        <v>6271</v>
      </c>
    </row>
    <row r="2533" spans="1:3">
      <c r="A2533" t="s">
        <v>6272</v>
      </c>
      <c r="B2533" t="s">
        <v>6273</v>
      </c>
      <c r="C2533" t="s">
        <v>6274</v>
      </c>
    </row>
    <row r="2534" spans="1:3">
      <c r="A2534" t="s">
        <v>6275</v>
      </c>
      <c r="B2534" t="s">
        <v>6276</v>
      </c>
      <c r="C2534" t="s">
        <v>6277</v>
      </c>
    </row>
    <row r="2535" spans="1:3">
      <c r="A2535" t="s">
        <v>6278</v>
      </c>
      <c r="B2535" t="s">
        <v>6279</v>
      </c>
      <c r="C2535" t="s">
        <v>6280</v>
      </c>
    </row>
    <row r="2536" spans="1:3">
      <c r="A2536" t="s">
        <v>6281</v>
      </c>
      <c r="B2536" t="s">
        <v>6282</v>
      </c>
      <c r="C2536" t="s">
        <v>6283</v>
      </c>
    </row>
    <row r="2537" spans="1:3">
      <c r="A2537" t="s">
        <v>6284</v>
      </c>
      <c r="B2537" t="s">
        <v>6285</v>
      </c>
      <c r="C2537" t="s">
        <v>6286</v>
      </c>
    </row>
    <row r="2538" spans="1:3">
      <c r="A2538" t="s">
        <v>6287</v>
      </c>
      <c r="B2538" t="s">
        <v>6288</v>
      </c>
      <c r="C2538" t="s">
        <v>6289</v>
      </c>
    </row>
    <row r="2539" spans="1:3">
      <c r="A2539" t="s">
        <v>6290</v>
      </c>
      <c r="B2539" t="s">
        <v>6291</v>
      </c>
      <c r="C2539" t="s">
        <v>6292</v>
      </c>
    </row>
    <row r="2540" spans="1:3">
      <c r="A2540" t="s">
        <v>6293</v>
      </c>
      <c r="B2540" t="s">
        <v>6294</v>
      </c>
      <c r="C2540" t="s">
        <v>6295</v>
      </c>
    </row>
    <row r="2541" spans="1:3">
      <c r="A2541" t="s">
        <v>6296</v>
      </c>
      <c r="B2541" t="s">
        <v>6297</v>
      </c>
      <c r="C2541" t="s">
        <v>6298</v>
      </c>
    </row>
    <row r="2542" spans="1:3">
      <c r="A2542" t="s">
        <v>6299</v>
      </c>
      <c r="B2542" t="s">
        <v>6300</v>
      </c>
      <c r="C2542" t="s">
        <v>6301</v>
      </c>
    </row>
    <row r="2543" spans="1:3">
      <c r="A2543" t="s">
        <v>6302</v>
      </c>
      <c r="B2543" t="s">
        <v>6303</v>
      </c>
      <c r="C2543" t="s">
        <v>6304</v>
      </c>
    </row>
    <row r="2544" spans="1:3">
      <c r="A2544" t="s">
        <v>6305</v>
      </c>
      <c r="B2544" t="s">
        <v>6306</v>
      </c>
      <c r="C2544" t="s">
        <v>6307</v>
      </c>
    </row>
    <row r="2545" spans="1:3">
      <c r="A2545" t="s">
        <v>6308</v>
      </c>
      <c r="B2545" t="s">
        <v>6309</v>
      </c>
      <c r="C2545" t="s">
        <v>6310</v>
      </c>
    </row>
    <row r="2546" spans="1:3">
      <c r="A2546" t="s">
        <v>6311</v>
      </c>
      <c r="B2546" t="s">
        <v>6312</v>
      </c>
      <c r="C2546" t="s">
        <v>6313</v>
      </c>
    </row>
    <row r="2547" spans="1:3">
      <c r="A2547" t="s">
        <v>6314</v>
      </c>
      <c r="B2547" t="s">
        <v>6315</v>
      </c>
      <c r="C2547" t="s">
        <v>6316</v>
      </c>
    </row>
    <row r="2548" spans="1:3">
      <c r="A2548" t="s">
        <v>6317</v>
      </c>
      <c r="B2548" t="s">
        <v>6318</v>
      </c>
      <c r="C2548" t="s">
        <v>6319</v>
      </c>
    </row>
    <row r="2549" spans="1:3">
      <c r="A2549" t="s">
        <v>6320</v>
      </c>
      <c r="C2549" s="257" t="s">
        <v>6321</v>
      </c>
    </row>
    <row r="2550" spans="1:3">
      <c r="A2550" t="s">
        <v>6322</v>
      </c>
      <c r="C2550" s="257" t="s">
        <v>6323</v>
      </c>
    </row>
    <row r="2551" spans="1:3">
      <c r="A2551" t="s">
        <v>6324</v>
      </c>
      <c r="C2551" s="257" t="s">
        <v>6325</v>
      </c>
    </row>
    <row r="2552" spans="1:3">
      <c r="A2552" t="s">
        <v>6326</v>
      </c>
      <c r="C2552" s="257" t="s">
        <v>6327</v>
      </c>
    </row>
    <row r="2553" spans="1:3">
      <c r="A2553" t="s">
        <v>6328</v>
      </c>
      <c r="B2553" t="s">
        <v>6329</v>
      </c>
      <c r="C2553" t="s">
        <v>6330</v>
      </c>
    </row>
    <row r="2554" spans="1:3">
      <c r="A2554" t="s">
        <v>6331</v>
      </c>
      <c r="B2554" t="s">
        <v>6332</v>
      </c>
      <c r="C2554" t="s">
        <v>6333</v>
      </c>
    </row>
    <row r="2555" spans="1:3">
      <c r="A2555" t="s">
        <v>6334</v>
      </c>
      <c r="B2555" t="s">
        <v>6335</v>
      </c>
      <c r="C2555" t="s">
        <v>6336</v>
      </c>
    </row>
    <row r="2556" spans="1:3">
      <c r="A2556" t="s">
        <v>6337</v>
      </c>
      <c r="B2556" t="s">
        <v>6338</v>
      </c>
      <c r="C2556" t="s">
        <v>6339</v>
      </c>
    </row>
    <row r="2557" spans="1:3">
      <c r="A2557" t="s">
        <v>6340</v>
      </c>
      <c r="B2557" t="s">
        <v>6341</v>
      </c>
      <c r="C2557" t="s">
        <v>6342</v>
      </c>
    </row>
    <row r="2558" spans="1:3">
      <c r="A2558" t="s">
        <v>6343</v>
      </c>
      <c r="B2558" t="s">
        <v>6344</v>
      </c>
      <c r="C2558" t="s">
        <v>6345</v>
      </c>
    </row>
    <row r="2559" spans="1:3">
      <c r="A2559" t="s">
        <v>6346</v>
      </c>
      <c r="C2559" s="257" t="s">
        <v>6347</v>
      </c>
    </row>
    <row r="2560" spans="1:3">
      <c r="A2560" t="s">
        <v>6348</v>
      </c>
      <c r="B2560" t="s">
        <v>6349</v>
      </c>
      <c r="C2560" t="s">
        <v>6350</v>
      </c>
    </row>
    <row r="2561" spans="1:3">
      <c r="A2561" t="s">
        <v>6351</v>
      </c>
      <c r="B2561" t="s">
        <v>6352</v>
      </c>
      <c r="C2561" t="s">
        <v>6353</v>
      </c>
    </row>
    <row r="2562" spans="1:3">
      <c r="A2562" t="s">
        <v>6354</v>
      </c>
      <c r="B2562" t="s">
        <v>6355</v>
      </c>
      <c r="C2562" t="s">
        <v>6356</v>
      </c>
    </row>
    <row r="2563" spans="1:3">
      <c r="A2563" t="s">
        <v>6357</v>
      </c>
      <c r="B2563" t="s">
        <v>6358</v>
      </c>
      <c r="C2563" t="s">
        <v>6359</v>
      </c>
    </row>
    <row r="2564" spans="1:3">
      <c r="A2564" t="s">
        <v>6360</v>
      </c>
      <c r="B2564" t="s">
        <v>6361</v>
      </c>
      <c r="C2564" t="s">
        <v>6362</v>
      </c>
    </row>
    <row r="2565" spans="1:3">
      <c r="A2565" t="s">
        <v>6363</v>
      </c>
      <c r="C2565" s="257" t="s">
        <v>6364</v>
      </c>
    </row>
    <row r="2566" spans="1:3">
      <c r="A2566" t="s">
        <v>6365</v>
      </c>
      <c r="C2566" s="257" t="s">
        <v>6366</v>
      </c>
    </row>
    <row r="2567" spans="1:3">
      <c r="A2567" t="s">
        <v>6367</v>
      </c>
      <c r="B2567" t="s">
        <v>6368</v>
      </c>
      <c r="C2567" t="s">
        <v>6369</v>
      </c>
    </row>
    <row r="2568" spans="1:3">
      <c r="A2568" t="s">
        <v>6370</v>
      </c>
      <c r="B2568" t="s">
        <v>6371</v>
      </c>
      <c r="C2568" t="s">
        <v>6372</v>
      </c>
    </row>
    <row r="2569" spans="1:3">
      <c r="A2569" t="s">
        <v>6373</v>
      </c>
      <c r="B2569" t="s">
        <v>6374</v>
      </c>
      <c r="C2569" t="s">
        <v>6375</v>
      </c>
    </row>
    <row r="2570" spans="1:3">
      <c r="A2570" t="s">
        <v>6376</v>
      </c>
      <c r="B2570" t="s">
        <v>6377</v>
      </c>
      <c r="C2570" t="s">
        <v>6378</v>
      </c>
    </row>
    <row r="2571" spans="1:3">
      <c r="A2571" t="s">
        <v>6379</v>
      </c>
      <c r="B2571" t="s">
        <v>6380</v>
      </c>
      <c r="C2571" t="s">
        <v>6381</v>
      </c>
    </row>
    <row r="2572" spans="1:3">
      <c r="A2572" t="s">
        <v>6382</v>
      </c>
      <c r="B2572" t="s">
        <v>6383</v>
      </c>
      <c r="C2572" t="s">
        <v>6384</v>
      </c>
    </row>
    <row r="2573" spans="1:3">
      <c r="A2573" t="s">
        <v>6385</v>
      </c>
      <c r="B2573" t="s">
        <v>6386</v>
      </c>
      <c r="C2573" t="s">
        <v>6387</v>
      </c>
    </row>
    <row r="2574" spans="1:3">
      <c r="A2574" t="s">
        <v>6388</v>
      </c>
      <c r="B2574" t="s">
        <v>6389</v>
      </c>
      <c r="C2574" t="s">
        <v>6390</v>
      </c>
    </row>
    <row r="2575" spans="1:3">
      <c r="A2575" t="s">
        <v>6391</v>
      </c>
      <c r="B2575" t="s">
        <v>6392</v>
      </c>
      <c r="C2575" t="s">
        <v>6393</v>
      </c>
    </row>
    <row r="2576" spans="1:3">
      <c r="A2576" t="s">
        <v>6394</v>
      </c>
      <c r="B2576" t="s">
        <v>6395</v>
      </c>
      <c r="C2576" t="s">
        <v>6396</v>
      </c>
    </row>
    <row r="2577" spans="1:3">
      <c r="A2577" t="s">
        <v>6397</v>
      </c>
      <c r="B2577" t="s">
        <v>6398</v>
      </c>
      <c r="C2577" t="s">
        <v>6399</v>
      </c>
    </row>
    <row r="2578" spans="1:3">
      <c r="A2578" t="s">
        <v>6400</v>
      </c>
      <c r="B2578" t="s">
        <v>6401</v>
      </c>
      <c r="C2578" t="s">
        <v>6402</v>
      </c>
    </row>
    <row r="2579" spans="1:3">
      <c r="A2579" t="s">
        <v>6403</v>
      </c>
      <c r="B2579" t="s">
        <v>6404</v>
      </c>
      <c r="C2579" t="s">
        <v>6405</v>
      </c>
    </row>
    <row r="2580" spans="1:3">
      <c r="A2580" t="s">
        <v>6406</v>
      </c>
      <c r="B2580" t="s">
        <v>6407</v>
      </c>
      <c r="C2580" t="s">
        <v>6408</v>
      </c>
    </row>
    <row r="2581" spans="1:3">
      <c r="A2581" t="s">
        <v>6409</v>
      </c>
      <c r="B2581" t="s">
        <v>6410</v>
      </c>
      <c r="C2581" t="s">
        <v>6411</v>
      </c>
    </row>
    <row r="2582" spans="1:3">
      <c r="A2582" t="s">
        <v>6412</v>
      </c>
      <c r="B2582" t="s">
        <v>6413</v>
      </c>
      <c r="C2582" t="s">
        <v>6414</v>
      </c>
    </row>
    <row r="2583" spans="1:3">
      <c r="A2583" t="s">
        <v>6415</v>
      </c>
      <c r="B2583" t="s">
        <v>6416</v>
      </c>
      <c r="C2583" t="s">
        <v>6417</v>
      </c>
    </row>
    <row r="2584" spans="1:3">
      <c r="A2584" t="s">
        <v>6418</v>
      </c>
      <c r="B2584" t="s">
        <v>6419</v>
      </c>
      <c r="C2584" t="s">
        <v>6420</v>
      </c>
    </row>
    <row r="2585" spans="1:3">
      <c r="A2585" t="s">
        <v>6421</v>
      </c>
      <c r="B2585" t="s">
        <v>6422</v>
      </c>
      <c r="C2585" t="s">
        <v>6423</v>
      </c>
    </row>
    <row r="2586" spans="1:3">
      <c r="A2586" t="s">
        <v>6424</v>
      </c>
      <c r="B2586" t="s">
        <v>6425</v>
      </c>
      <c r="C2586" t="s">
        <v>6426</v>
      </c>
    </row>
    <row r="2587" spans="1:3">
      <c r="A2587" t="s">
        <v>6427</v>
      </c>
      <c r="B2587" t="s">
        <v>6428</v>
      </c>
      <c r="C2587" t="s">
        <v>6429</v>
      </c>
    </row>
    <row r="2588" spans="1:3">
      <c r="A2588" t="s">
        <v>6430</v>
      </c>
      <c r="B2588" t="s">
        <v>6431</v>
      </c>
      <c r="C2588" t="s">
        <v>6432</v>
      </c>
    </row>
    <row r="2589" spans="1:3">
      <c r="A2589" t="s">
        <v>6433</v>
      </c>
      <c r="B2589" t="s">
        <v>6434</v>
      </c>
      <c r="C2589" t="s">
        <v>6435</v>
      </c>
    </row>
    <row r="2590" spans="1:3">
      <c r="A2590" t="s">
        <v>6436</v>
      </c>
      <c r="B2590" t="s">
        <v>6437</v>
      </c>
      <c r="C2590" t="s">
        <v>6438</v>
      </c>
    </row>
    <row r="2591" spans="1:3">
      <c r="A2591" t="s">
        <v>6439</v>
      </c>
      <c r="B2591" t="s">
        <v>6440</v>
      </c>
      <c r="C2591" t="s">
        <v>6441</v>
      </c>
    </row>
    <row r="2592" spans="1:3">
      <c r="A2592" t="s">
        <v>6442</v>
      </c>
      <c r="B2592" t="s">
        <v>6443</v>
      </c>
      <c r="C2592" t="s">
        <v>6444</v>
      </c>
    </row>
    <row r="2593" spans="1:3">
      <c r="A2593" t="s">
        <v>6445</v>
      </c>
      <c r="B2593" t="s">
        <v>6446</v>
      </c>
      <c r="C2593" t="s">
        <v>6447</v>
      </c>
    </row>
    <row r="2594" spans="1:3">
      <c r="A2594" t="s">
        <v>6448</v>
      </c>
      <c r="B2594" t="s">
        <v>6449</v>
      </c>
      <c r="C2594" t="s">
        <v>6450</v>
      </c>
    </row>
    <row r="2595" spans="1:3">
      <c r="A2595" t="s">
        <v>6451</v>
      </c>
      <c r="B2595" t="s">
        <v>6452</v>
      </c>
      <c r="C2595" t="s">
        <v>6453</v>
      </c>
    </row>
    <row r="2596" spans="1:3">
      <c r="A2596" t="s">
        <v>6454</v>
      </c>
      <c r="B2596" t="s">
        <v>6455</v>
      </c>
      <c r="C2596" t="s">
        <v>6456</v>
      </c>
    </row>
    <row r="2597" spans="1:3">
      <c r="A2597" t="s">
        <v>6457</v>
      </c>
      <c r="B2597" t="s">
        <v>6458</v>
      </c>
      <c r="C2597" t="s">
        <v>6459</v>
      </c>
    </row>
    <row r="2598" spans="1:3">
      <c r="A2598" t="s">
        <v>6460</v>
      </c>
      <c r="B2598" t="s">
        <v>6461</v>
      </c>
      <c r="C2598" t="s">
        <v>6462</v>
      </c>
    </row>
    <row r="2599" spans="1:3">
      <c r="A2599" t="s">
        <v>6463</v>
      </c>
      <c r="B2599" t="s">
        <v>6464</v>
      </c>
      <c r="C2599" t="s">
        <v>6465</v>
      </c>
    </row>
    <row r="2600" spans="1:3">
      <c r="A2600" t="s">
        <v>6466</v>
      </c>
      <c r="B2600" t="s">
        <v>6467</v>
      </c>
      <c r="C2600" t="s">
        <v>6468</v>
      </c>
    </row>
    <row r="2601" spans="1:3">
      <c r="A2601" t="s">
        <v>6469</v>
      </c>
      <c r="B2601" t="s">
        <v>6470</v>
      </c>
      <c r="C2601" t="s">
        <v>6471</v>
      </c>
    </row>
    <row r="2602" spans="1:3">
      <c r="A2602" t="s">
        <v>6472</v>
      </c>
      <c r="B2602" t="s">
        <v>6473</v>
      </c>
      <c r="C2602" t="s">
        <v>6474</v>
      </c>
    </row>
    <row r="2603" spans="1:3">
      <c r="A2603" t="s">
        <v>6475</v>
      </c>
      <c r="B2603" t="s">
        <v>6476</v>
      </c>
      <c r="C2603" t="s">
        <v>6477</v>
      </c>
    </row>
    <row r="2604" spans="1:3">
      <c r="A2604" t="s">
        <v>6478</v>
      </c>
      <c r="B2604" t="s">
        <v>6479</v>
      </c>
      <c r="C2604" t="s">
        <v>6480</v>
      </c>
    </row>
    <row r="2605" spans="1:3">
      <c r="A2605" t="s">
        <v>6481</v>
      </c>
      <c r="B2605" t="s">
        <v>6482</v>
      </c>
      <c r="C2605" t="s">
        <v>6483</v>
      </c>
    </row>
    <row r="2606" spans="1:3">
      <c r="A2606" t="s">
        <v>6484</v>
      </c>
      <c r="B2606" t="s">
        <v>6485</v>
      </c>
      <c r="C2606" t="s">
        <v>6486</v>
      </c>
    </row>
    <row r="2607" spans="1:3">
      <c r="A2607" t="s">
        <v>6487</v>
      </c>
      <c r="B2607" t="s">
        <v>6488</v>
      </c>
      <c r="C2607" t="s">
        <v>6489</v>
      </c>
    </row>
    <row r="2608" spans="1:3">
      <c r="A2608" t="s">
        <v>6490</v>
      </c>
      <c r="B2608" t="s">
        <v>6491</v>
      </c>
      <c r="C2608" t="s">
        <v>6492</v>
      </c>
    </row>
    <row r="2609" spans="1:3">
      <c r="A2609" t="s">
        <v>6493</v>
      </c>
      <c r="B2609" t="s">
        <v>6494</v>
      </c>
      <c r="C2609" t="s">
        <v>6495</v>
      </c>
    </row>
    <row r="2610" spans="1:3">
      <c r="A2610" t="s">
        <v>6496</v>
      </c>
      <c r="B2610" t="s">
        <v>6497</v>
      </c>
      <c r="C2610" t="s">
        <v>6498</v>
      </c>
    </row>
    <row r="2611" spans="1:3">
      <c r="A2611" t="s">
        <v>6499</v>
      </c>
      <c r="B2611" t="s">
        <v>6500</v>
      </c>
      <c r="C2611" t="s">
        <v>6501</v>
      </c>
    </row>
    <row r="2612" spans="1:3">
      <c r="A2612" t="s">
        <v>6502</v>
      </c>
      <c r="B2612" t="s">
        <v>6503</v>
      </c>
      <c r="C2612" t="s">
        <v>6504</v>
      </c>
    </row>
    <row r="2613" spans="1:3">
      <c r="A2613" t="s">
        <v>6505</v>
      </c>
      <c r="B2613" t="s">
        <v>6506</v>
      </c>
      <c r="C2613" t="s">
        <v>6507</v>
      </c>
    </row>
    <row r="2614" spans="1:3">
      <c r="A2614" t="s">
        <v>6508</v>
      </c>
      <c r="B2614" t="s">
        <v>6509</v>
      </c>
      <c r="C2614" t="s">
        <v>6510</v>
      </c>
    </row>
    <row r="2615" spans="1:3">
      <c r="A2615" t="s">
        <v>6511</v>
      </c>
      <c r="B2615" t="s">
        <v>6512</v>
      </c>
      <c r="C2615" t="s">
        <v>6513</v>
      </c>
    </row>
    <row r="2616" spans="1:3">
      <c r="A2616" t="s">
        <v>6514</v>
      </c>
      <c r="B2616" t="s">
        <v>6515</v>
      </c>
      <c r="C2616" t="s">
        <v>6516</v>
      </c>
    </row>
    <row r="2617" spans="1:3">
      <c r="A2617" t="s">
        <v>6517</v>
      </c>
      <c r="B2617" t="s">
        <v>6518</v>
      </c>
      <c r="C2617" t="s">
        <v>6519</v>
      </c>
    </row>
    <row r="2618" spans="1:3">
      <c r="A2618" t="s">
        <v>6520</v>
      </c>
      <c r="B2618" t="s">
        <v>6521</v>
      </c>
      <c r="C2618" t="s">
        <v>6522</v>
      </c>
    </row>
    <row r="2619" spans="1:3">
      <c r="A2619" t="s">
        <v>6523</v>
      </c>
      <c r="B2619" t="s">
        <v>6524</v>
      </c>
      <c r="C2619" t="s">
        <v>6525</v>
      </c>
    </row>
    <row r="2620" spans="1:3">
      <c r="A2620" t="s">
        <v>6526</v>
      </c>
      <c r="B2620" t="s">
        <v>6527</v>
      </c>
      <c r="C2620" t="s">
        <v>6528</v>
      </c>
    </row>
    <row r="2621" spans="1:3">
      <c r="A2621" t="s">
        <v>6529</v>
      </c>
      <c r="B2621" t="s">
        <v>6530</v>
      </c>
      <c r="C2621" t="s">
        <v>6531</v>
      </c>
    </row>
    <row r="2622" spans="1:3">
      <c r="A2622" t="s">
        <v>6532</v>
      </c>
      <c r="B2622" t="s">
        <v>6533</v>
      </c>
      <c r="C2622" t="s">
        <v>6534</v>
      </c>
    </row>
    <row r="2623" spans="1:3">
      <c r="A2623" t="s">
        <v>6535</v>
      </c>
      <c r="B2623" t="s">
        <v>6536</v>
      </c>
      <c r="C2623" t="s">
        <v>6537</v>
      </c>
    </row>
    <row r="2624" spans="1:3">
      <c r="A2624" t="s">
        <v>6538</v>
      </c>
      <c r="B2624" t="s">
        <v>6539</v>
      </c>
      <c r="C2624" t="s">
        <v>6540</v>
      </c>
    </row>
    <row r="2625" spans="1:3">
      <c r="A2625" t="s">
        <v>6541</v>
      </c>
      <c r="B2625" t="s">
        <v>6542</v>
      </c>
      <c r="C2625" t="s">
        <v>6543</v>
      </c>
    </row>
    <row r="2626" spans="1:3">
      <c r="A2626" t="s">
        <v>6544</v>
      </c>
      <c r="B2626" t="s">
        <v>6545</v>
      </c>
      <c r="C2626" t="s">
        <v>6546</v>
      </c>
    </row>
    <row r="2627" spans="1:3">
      <c r="A2627" t="s">
        <v>6547</v>
      </c>
      <c r="B2627" t="s">
        <v>6548</v>
      </c>
      <c r="C2627" t="s">
        <v>6549</v>
      </c>
    </row>
    <row r="2628" spans="1:3">
      <c r="A2628" t="s">
        <v>6550</v>
      </c>
      <c r="B2628" t="s">
        <v>6551</v>
      </c>
      <c r="C2628" t="s">
        <v>6552</v>
      </c>
    </row>
    <row r="2629" spans="1:3">
      <c r="A2629" t="s">
        <v>6553</v>
      </c>
      <c r="C2629" s="257" t="s">
        <v>6554</v>
      </c>
    </row>
    <row r="2630" spans="1:3">
      <c r="A2630" t="s">
        <v>6555</v>
      </c>
      <c r="C2630" s="257" t="s">
        <v>6556</v>
      </c>
    </row>
    <row r="2631" spans="1:3">
      <c r="A2631" t="s">
        <v>6557</v>
      </c>
      <c r="C2631" s="257" t="s">
        <v>6558</v>
      </c>
    </row>
    <row r="2632" spans="1:3">
      <c r="A2632" t="s">
        <v>6559</v>
      </c>
      <c r="C2632" s="257" t="s">
        <v>6560</v>
      </c>
    </row>
    <row r="2633" spans="1:3">
      <c r="A2633" t="s">
        <v>6561</v>
      </c>
      <c r="C2633" s="257" t="s">
        <v>6562</v>
      </c>
    </row>
    <row r="2634" spans="1:3">
      <c r="A2634" t="s">
        <v>6563</v>
      </c>
      <c r="C2634" s="257" t="s">
        <v>6564</v>
      </c>
    </row>
    <row r="2635" spans="1:3">
      <c r="A2635" t="s">
        <v>6565</v>
      </c>
      <c r="C2635" s="257" t="s">
        <v>6566</v>
      </c>
    </row>
    <row r="2636" spans="1:3">
      <c r="A2636" t="s">
        <v>6567</v>
      </c>
      <c r="C2636" s="257" t="s">
        <v>6568</v>
      </c>
    </row>
    <row r="2637" spans="1:3">
      <c r="A2637" t="s">
        <v>6569</v>
      </c>
      <c r="C2637" s="257" t="s">
        <v>6570</v>
      </c>
    </row>
    <row r="2638" spans="1:3">
      <c r="A2638" t="s">
        <v>6571</v>
      </c>
      <c r="C2638" s="257" t="s">
        <v>6572</v>
      </c>
    </row>
    <row r="2639" spans="1:3">
      <c r="A2639" t="s">
        <v>6573</v>
      </c>
      <c r="C2639" s="257" t="s">
        <v>6574</v>
      </c>
    </row>
    <row r="2640" spans="1:3">
      <c r="A2640" t="s">
        <v>6575</v>
      </c>
      <c r="C2640" s="257" t="s">
        <v>6576</v>
      </c>
    </row>
    <row r="2641" spans="1:3">
      <c r="A2641" t="s">
        <v>6577</v>
      </c>
      <c r="C2641" s="257" t="s">
        <v>6578</v>
      </c>
    </row>
    <row r="2642" spans="1:3">
      <c r="A2642" t="s">
        <v>6579</v>
      </c>
      <c r="C2642" s="257" t="s">
        <v>6580</v>
      </c>
    </row>
    <row r="2643" spans="1:3">
      <c r="A2643" t="s">
        <v>6581</v>
      </c>
      <c r="C2643" s="257" t="s">
        <v>6582</v>
      </c>
    </row>
    <row r="2644" spans="1:3">
      <c r="A2644" t="s">
        <v>6583</v>
      </c>
      <c r="C2644" s="257" t="s">
        <v>6584</v>
      </c>
    </row>
    <row r="2645" spans="1:3">
      <c r="A2645" t="s">
        <v>6585</v>
      </c>
      <c r="C2645" s="257" t="s">
        <v>6586</v>
      </c>
    </row>
    <row r="2646" spans="1:3">
      <c r="A2646" t="s">
        <v>6587</v>
      </c>
      <c r="C2646" s="257" t="s">
        <v>6588</v>
      </c>
    </row>
    <row r="2647" spans="1:3">
      <c r="A2647" t="s">
        <v>6589</v>
      </c>
      <c r="C2647" s="257" t="s">
        <v>6590</v>
      </c>
    </row>
    <row r="2648" spans="1:3">
      <c r="A2648" t="s">
        <v>6591</v>
      </c>
      <c r="C2648" s="257" t="s">
        <v>6592</v>
      </c>
    </row>
    <row r="2649" spans="1:3">
      <c r="A2649" t="s">
        <v>6593</v>
      </c>
      <c r="C2649" s="257" t="s">
        <v>6594</v>
      </c>
    </row>
    <row r="2650" spans="1:3">
      <c r="A2650" t="s">
        <v>6595</v>
      </c>
      <c r="C2650" s="257" t="s">
        <v>6596</v>
      </c>
    </row>
    <row r="2651" spans="1:3">
      <c r="A2651" t="s">
        <v>6597</v>
      </c>
      <c r="C2651" s="257" t="s">
        <v>6598</v>
      </c>
    </row>
    <row r="2652" spans="1:3">
      <c r="A2652" t="s">
        <v>6599</v>
      </c>
      <c r="C2652" s="257" t="s">
        <v>6600</v>
      </c>
    </row>
    <row r="2653" spans="1:3">
      <c r="A2653" t="s">
        <v>6601</v>
      </c>
      <c r="C2653" s="257" t="s">
        <v>6602</v>
      </c>
    </row>
    <row r="2654" spans="1:3">
      <c r="A2654" t="s">
        <v>6603</v>
      </c>
      <c r="C2654" s="257" t="s">
        <v>6604</v>
      </c>
    </row>
    <row r="2655" spans="1:3">
      <c r="A2655" s="50" t="s">
        <v>6605</v>
      </c>
      <c r="B2655" s="50"/>
      <c r="C2655" s="258" t="s">
        <v>6606</v>
      </c>
    </row>
    <row r="2656" spans="1:3">
      <c r="A2656" s="50" t="s">
        <v>6605</v>
      </c>
      <c r="B2656" s="50"/>
      <c r="C2656" s="258" t="s">
        <v>6607</v>
      </c>
    </row>
    <row r="2657" spans="1:3">
      <c r="A2657" s="50" t="s">
        <v>6605</v>
      </c>
      <c r="B2657" s="50"/>
      <c r="C2657" s="258" t="s">
        <v>6608</v>
      </c>
    </row>
    <row r="2658" spans="1:3">
      <c r="A2658" s="50" t="s">
        <v>6605</v>
      </c>
      <c r="B2658" s="50"/>
      <c r="C2658" s="258" t="s">
        <v>6609</v>
      </c>
    </row>
    <row r="2659" spans="1:3">
      <c r="A2659" s="50" t="s">
        <v>6605</v>
      </c>
      <c r="B2659" s="50"/>
      <c r="C2659" s="258" t="s">
        <v>6610</v>
      </c>
    </row>
    <row r="2660" spans="1:3">
      <c r="A2660" s="50" t="s">
        <v>6605</v>
      </c>
      <c r="B2660" s="50"/>
      <c r="C2660" s="258" t="s">
        <v>6611</v>
      </c>
    </row>
    <row r="2661" spans="1:3">
      <c r="A2661" s="50" t="s">
        <v>6605</v>
      </c>
      <c r="B2661" s="50"/>
      <c r="C2661" s="258" t="s">
        <v>6612</v>
      </c>
    </row>
    <row r="2662" spans="1:3">
      <c r="A2662" s="50" t="s">
        <v>6605</v>
      </c>
      <c r="B2662" s="50"/>
      <c r="C2662" s="258" t="s">
        <v>6613</v>
      </c>
    </row>
    <row r="2663" spans="1:3">
      <c r="A2663" s="50" t="s">
        <v>6605</v>
      </c>
      <c r="B2663" s="50"/>
      <c r="C2663" s="258" t="s">
        <v>6614</v>
      </c>
    </row>
    <row r="2664" spans="1:3">
      <c r="A2664" s="50" t="s">
        <v>6605</v>
      </c>
      <c r="B2664" s="50"/>
      <c r="C2664" s="258" t="s">
        <v>6615</v>
      </c>
    </row>
    <row r="2665" spans="1:3">
      <c r="A2665" s="50" t="s">
        <v>6605</v>
      </c>
      <c r="B2665" s="50"/>
      <c r="C2665" s="258" t="s">
        <v>6616</v>
      </c>
    </row>
    <row r="2666" spans="1:3">
      <c r="A2666" s="50" t="s">
        <v>6605</v>
      </c>
      <c r="B2666" s="50"/>
      <c r="C2666" s="258" t="s">
        <v>6617</v>
      </c>
    </row>
    <row r="2667" spans="1:3">
      <c r="A2667" s="50" t="s">
        <v>6605</v>
      </c>
      <c r="B2667" s="50"/>
      <c r="C2667" s="258" t="s">
        <v>6618</v>
      </c>
    </row>
    <row r="2668" spans="1:3">
      <c r="A2668" s="50" t="s">
        <v>6605</v>
      </c>
      <c r="B2668" s="50"/>
      <c r="C2668" s="258" t="s">
        <v>6619</v>
      </c>
    </row>
    <row r="2669" spans="1:3">
      <c r="A2669" s="50" t="s">
        <v>6605</v>
      </c>
      <c r="B2669" s="50"/>
      <c r="C2669" s="258" t="s">
        <v>6620</v>
      </c>
    </row>
    <row r="2670" spans="1:3">
      <c r="A2670" s="50" t="s">
        <v>6605</v>
      </c>
      <c r="B2670" s="50"/>
      <c r="C2670" s="258" t="s">
        <v>6621</v>
      </c>
    </row>
    <row r="2671" spans="1:3">
      <c r="A2671" t="s">
        <v>6622</v>
      </c>
      <c r="C2671" s="257" t="s">
        <v>6623</v>
      </c>
    </row>
    <row r="2672" spans="1:3">
      <c r="A2672" t="s">
        <v>6624</v>
      </c>
      <c r="B2672" t="s">
        <v>6625</v>
      </c>
      <c r="C2672" t="s">
        <v>6626</v>
      </c>
    </row>
    <row r="2673" spans="1:3">
      <c r="A2673" t="s">
        <v>6627</v>
      </c>
      <c r="B2673" t="s">
        <v>6628</v>
      </c>
      <c r="C2673" t="s">
        <v>6629</v>
      </c>
    </row>
    <row r="2674" spans="1:3">
      <c r="A2674" t="s">
        <v>6630</v>
      </c>
      <c r="B2674" t="s">
        <v>6631</v>
      </c>
      <c r="C2674" t="s">
        <v>6632</v>
      </c>
    </row>
    <row r="2675" spans="1:3">
      <c r="A2675" t="s">
        <v>6633</v>
      </c>
      <c r="B2675" t="s">
        <v>6634</v>
      </c>
      <c r="C2675" t="s">
        <v>6635</v>
      </c>
    </row>
    <row r="2676" spans="1:3">
      <c r="A2676" t="s">
        <v>6636</v>
      </c>
      <c r="B2676" t="s">
        <v>6637</v>
      </c>
      <c r="C2676" t="s">
        <v>6638</v>
      </c>
    </row>
    <row r="2677" spans="1:3">
      <c r="A2677" t="s">
        <v>6639</v>
      </c>
      <c r="B2677" t="s">
        <v>6640</v>
      </c>
      <c r="C2677" t="s">
        <v>6641</v>
      </c>
    </row>
    <row r="2678" spans="1:3">
      <c r="A2678" t="s">
        <v>6642</v>
      </c>
      <c r="B2678" t="s">
        <v>6643</v>
      </c>
      <c r="C2678" t="s">
        <v>6644</v>
      </c>
    </row>
    <row r="2679" spans="1:3">
      <c r="A2679" t="s">
        <v>6645</v>
      </c>
      <c r="B2679" t="s">
        <v>6646</v>
      </c>
      <c r="C2679" t="s">
        <v>6647</v>
      </c>
    </row>
    <row r="2680" spans="1:3">
      <c r="A2680" t="s">
        <v>6648</v>
      </c>
      <c r="B2680" t="s">
        <v>6649</v>
      </c>
      <c r="C2680" t="s">
        <v>6650</v>
      </c>
    </row>
    <row r="2681" spans="1:3">
      <c r="A2681" t="s">
        <v>6651</v>
      </c>
      <c r="B2681" t="s">
        <v>6652</v>
      </c>
      <c r="C2681" t="s">
        <v>6653</v>
      </c>
    </row>
    <row r="2682" spans="1:3">
      <c r="A2682" t="s">
        <v>6654</v>
      </c>
      <c r="B2682" t="s">
        <v>6655</v>
      </c>
      <c r="C2682" t="s">
        <v>6656</v>
      </c>
    </row>
    <row r="2683" spans="1:3">
      <c r="A2683" t="s">
        <v>6657</v>
      </c>
      <c r="B2683" t="s">
        <v>6658</v>
      </c>
      <c r="C2683" t="s">
        <v>6659</v>
      </c>
    </row>
    <row r="2684" spans="1:3">
      <c r="A2684" t="s">
        <v>6660</v>
      </c>
      <c r="B2684" t="s">
        <v>6661</v>
      </c>
      <c r="C2684" t="s">
        <v>6662</v>
      </c>
    </row>
    <row r="2685" spans="1:3">
      <c r="A2685" t="s">
        <v>6663</v>
      </c>
      <c r="B2685" t="s">
        <v>6664</v>
      </c>
      <c r="C2685" t="s">
        <v>6665</v>
      </c>
    </row>
    <row r="2686" spans="1:3">
      <c r="A2686" t="s">
        <v>6666</v>
      </c>
      <c r="C2686" s="257" t="s">
        <v>6667</v>
      </c>
    </row>
    <row r="2687" spans="1:3">
      <c r="A2687" t="s">
        <v>6668</v>
      </c>
      <c r="C2687" s="257" t="s">
        <v>6669</v>
      </c>
    </row>
    <row r="2688" spans="1:3">
      <c r="A2688" t="s">
        <v>6670</v>
      </c>
      <c r="C2688" s="257" t="s">
        <v>6671</v>
      </c>
    </row>
    <row r="2689" spans="1:3">
      <c r="A2689" t="s">
        <v>6672</v>
      </c>
      <c r="B2689" t="s">
        <v>6673</v>
      </c>
      <c r="C2689" t="s">
        <v>6674</v>
      </c>
    </row>
    <row r="2690" spans="1:3">
      <c r="A2690" t="s">
        <v>6675</v>
      </c>
      <c r="B2690" t="s">
        <v>6676</v>
      </c>
      <c r="C2690" t="s">
        <v>6677</v>
      </c>
    </row>
    <row r="2691" spans="1:3">
      <c r="A2691" t="s">
        <v>6678</v>
      </c>
      <c r="B2691" t="s">
        <v>6679</v>
      </c>
      <c r="C2691" t="s">
        <v>6680</v>
      </c>
    </row>
    <row r="2692" spans="1:3">
      <c r="A2692" t="s">
        <v>6681</v>
      </c>
      <c r="B2692" t="s">
        <v>6682</v>
      </c>
      <c r="C2692" t="s">
        <v>6683</v>
      </c>
    </row>
    <row r="2693" spans="1:3">
      <c r="A2693" t="s">
        <v>6684</v>
      </c>
      <c r="B2693" t="s">
        <v>6685</v>
      </c>
      <c r="C2693" t="s">
        <v>6686</v>
      </c>
    </row>
    <row r="2694" spans="1:3">
      <c r="A2694" t="s">
        <v>6687</v>
      </c>
      <c r="B2694" t="s">
        <v>6688</v>
      </c>
      <c r="C2694" t="s">
        <v>6689</v>
      </c>
    </row>
    <row r="2695" spans="1:3">
      <c r="A2695" t="s">
        <v>6690</v>
      </c>
      <c r="B2695" t="s">
        <v>6691</v>
      </c>
      <c r="C2695" t="s">
        <v>6692</v>
      </c>
    </row>
    <row r="2696" spans="1:3">
      <c r="A2696" t="s">
        <v>6693</v>
      </c>
      <c r="B2696" t="s">
        <v>6464</v>
      </c>
      <c r="C2696" t="s">
        <v>6694</v>
      </c>
    </row>
    <row r="2697" spans="1:3">
      <c r="A2697" t="s">
        <v>6695</v>
      </c>
      <c r="B2697" t="s">
        <v>6696</v>
      </c>
      <c r="C2697" t="s">
        <v>6697</v>
      </c>
    </row>
    <row r="2698" spans="1:3">
      <c r="A2698" t="s">
        <v>6698</v>
      </c>
      <c r="B2698" t="s">
        <v>6699</v>
      </c>
      <c r="C2698" t="s">
        <v>6700</v>
      </c>
    </row>
    <row r="2699" spans="1:3">
      <c r="A2699" t="s">
        <v>6701</v>
      </c>
      <c r="B2699" t="s">
        <v>6702</v>
      </c>
      <c r="C2699" t="s">
        <v>6703</v>
      </c>
    </row>
    <row r="2700" spans="1:3">
      <c r="A2700" t="s">
        <v>6704</v>
      </c>
      <c r="B2700" t="s">
        <v>6705</v>
      </c>
      <c r="C2700" t="s">
        <v>6706</v>
      </c>
    </row>
    <row r="2701" spans="1:3">
      <c r="A2701" t="s">
        <v>6707</v>
      </c>
      <c r="B2701" t="s">
        <v>6708</v>
      </c>
      <c r="C2701" t="s">
        <v>6709</v>
      </c>
    </row>
    <row r="2702" spans="1:3">
      <c r="A2702" t="s">
        <v>6710</v>
      </c>
      <c r="B2702" t="s">
        <v>6711</v>
      </c>
      <c r="C2702" t="s">
        <v>6712</v>
      </c>
    </row>
    <row r="2703" spans="1:3">
      <c r="A2703" t="s">
        <v>6713</v>
      </c>
      <c r="B2703" t="s">
        <v>6714</v>
      </c>
      <c r="C2703" t="s">
        <v>6715</v>
      </c>
    </row>
    <row r="2704" spans="1:3">
      <c r="A2704" t="s">
        <v>6716</v>
      </c>
      <c r="B2704" t="s">
        <v>6717</v>
      </c>
      <c r="C2704" t="s">
        <v>6718</v>
      </c>
    </row>
    <row r="2705" spans="1:3">
      <c r="A2705" t="s">
        <v>6719</v>
      </c>
      <c r="C2705" s="257" t="s">
        <v>6720</v>
      </c>
    </row>
    <row r="2706" spans="1:3">
      <c r="A2706" t="s">
        <v>6721</v>
      </c>
      <c r="B2706" t="s">
        <v>6722</v>
      </c>
      <c r="C2706" t="s">
        <v>6723</v>
      </c>
    </row>
    <row r="2707" spans="1:3">
      <c r="A2707" t="s">
        <v>6724</v>
      </c>
      <c r="C2707" s="257" t="s">
        <v>6725</v>
      </c>
    </row>
    <row r="2708" spans="1:3">
      <c r="A2708" t="s">
        <v>6726</v>
      </c>
      <c r="C2708" s="257" t="s">
        <v>6727</v>
      </c>
    </row>
    <row r="2709" spans="1:3">
      <c r="A2709" t="s">
        <v>6728</v>
      </c>
      <c r="C2709" s="257" t="s">
        <v>6729</v>
      </c>
    </row>
    <row r="2710" spans="1:3">
      <c r="A2710" t="s">
        <v>6730</v>
      </c>
      <c r="C2710" s="257" t="s">
        <v>6731</v>
      </c>
    </row>
    <row r="2711" spans="1:3">
      <c r="A2711" t="s">
        <v>6732</v>
      </c>
      <c r="C2711" s="257" t="s">
        <v>6733</v>
      </c>
    </row>
    <row r="2712" spans="1:3">
      <c r="A2712" t="s">
        <v>6734</v>
      </c>
      <c r="C2712" s="257" t="s">
        <v>6735</v>
      </c>
    </row>
    <row r="2713" spans="1:3">
      <c r="A2713" t="s">
        <v>6736</v>
      </c>
      <c r="C2713" s="257" t="s">
        <v>6737</v>
      </c>
    </row>
    <row r="2714" spans="1:3">
      <c r="A2714" t="s">
        <v>6738</v>
      </c>
      <c r="C2714" s="257" t="s">
        <v>6739</v>
      </c>
    </row>
    <row r="2715" spans="1:3">
      <c r="A2715" t="s">
        <v>6740</v>
      </c>
      <c r="C2715" s="257" t="s">
        <v>6741</v>
      </c>
    </row>
    <row r="2716" spans="1:3">
      <c r="A2716" t="s">
        <v>6742</v>
      </c>
      <c r="C2716" s="257" t="s">
        <v>6743</v>
      </c>
    </row>
    <row r="2717" spans="1:3">
      <c r="A2717" t="s">
        <v>6744</v>
      </c>
      <c r="C2717" s="257" t="s">
        <v>6745</v>
      </c>
    </row>
    <row r="2718" spans="1:3">
      <c r="A2718" t="s">
        <v>6746</v>
      </c>
      <c r="C2718" s="257" t="s">
        <v>6747</v>
      </c>
    </row>
    <row r="2719" spans="1:3">
      <c r="A2719" t="s">
        <v>6748</v>
      </c>
      <c r="C2719" s="257" t="s">
        <v>6749</v>
      </c>
    </row>
    <row r="2720" spans="1:3">
      <c r="A2720" t="s">
        <v>6750</v>
      </c>
      <c r="C2720" s="257" t="s">
        <v>6751</v>
      </c>
    </row>
    <row r="2721" spans="1:3">
      <c r="A2721" t="s">
        <v>6752</v>
      </c>
      <c r="C2721" s="257" t="s">
        <v>6753</v>
      </c>
    </row>
    <row r="2722" spans="1:3">
      <c r="A2722" t="s">
        <v>6754</v>
      </c>
      <c r="C2722" s="257" t="s">
        <v>6755</v>
      </c>
    </row>
    <row r="2723" spans="1:3">
      <c r="A2723" t="s">
        <v>6756</v>
      </c>
      <c r="C2723" s="257" t="s">
        <v>6757</v>
      </c>
    </row>
    <row r="2724" spans="1:3">
      <c r="A2724" t="s">
        <v>6758</v>
      </c>
      <c r="C2724" s="257" t="s">
        <v>6759</v>
      </c>
    </row>
    <row r="2725" spans="1:3">
      <c r="A2725" t="s">
        <v>6760</v>
      </c>
      <c r="C2725" s="257" t="s">
        <v>6761</v>
      </c>
    </row>
    <row r="2726" spans="1:3">
      <c r="A2726" t="s">
        <v>6762</v>
      </c>
      <c r="C2726" s="257" t="s">
        <v>6763</v>
      </c>
    </row>
    <row r="2727" spans="1:3">
      <c r="A2727" t="s">
        <v>6764</v>
      </c>
      <c r="C2727" s="257" t="s">
        <v>6765</v>
      </c>
    </row>
    <row r="2728" spans="1:3">
      <c r="A2728" t="s">
        <v>6766</v>
      </c>
      <c r="C2728" s="257" t="s">
        <v>6767</v>
      </c>
    </row>
    <row r="2729" spans="1:3">
      <c r="A2729" t="s">
        <v>6768</v>
      </c>
      <c r="C2729" s="257" t="s">
        <v>6769</v>
      </c>
    </row>
    <row r="2730" spans="1:3">
      <c r="A2730" t="s">
        <v>6770</v>
      </c>
      <c r="B2730" t="s">
        <v>6771</v>
      </c>
      <c r="C2730" t="s">
        <v>6772</v>
      </c>
    </row>
    <row r="2731" spans="1:3">
      <c r="A2731" t="s">
        <v>6773</v>
      </c>
      <c r="B2731" t="s">
        <v>6774</v>
      </c>
      <c r="C2731" t="s">
        <v>6775</v>
      </c>
    </row>
    <row r="2732" spans="1:3">
      <c r="A2732" t="s">
        <v>6776</v>
      </c>
      <c r="B2732" t="s">
        <v>6777</v>
      </c>
      <c r="C2732" t="s">
        <v>6778</v>
      </c>
    </row>
    <row r="2733" spans="1:3">
      <c r="A2733" t="s">
        <v>6779</v>
      </c>
      <c r="B2733" t="s">
        <v>6780</v>
      </c>
      <c r="C2733" t="s">
        <v>6781</v>
      </c>
    </row>
    <row r="2734" spans="1:3">
      <c r="A2734" t="s">
        <v>6782</v>
      </c>
      <c r="B2734" t="s">
        <v>6783</v>
      </c>
      <c r="C2734" t="s">
        <v>6784</v>
      </c>
    </row>
    <row r="2735" spans="1:3">
      <c r="A2735" t="s">
        <v>6785</v>
      </c>
      <c r="B2735" t="s">
        <v>6786</v>
      </c>
      <c r="C2735" t="s">
        <v>6787</v>
      </c>
    </row>
    <row r="2736" spans="1:3">
      <c r="A2736" t="s">
        <v>6788</v>
      </c>
      <c r="B2736" t="s">
        <v>6789</v>
      </c>
      <c r="C2736" t="s">
        <v>6790</v>
      </c>
    </row>
    <row r="2737" spans="1:3">
      <c r="A2737" t="s">
        <v>6791</v>
      </c>
      <c r="B2737" t="s">
        <v>6792</v>
      </c>
      <c r="C2737" t="s">
        <v>6793</v>
      </c>
    </row>
    <row r="2738" spans="1:3">
      <c r="A2738" t="s">
        <v>6794</v>
      </c>
      <c r="B2738" t="s">
        <v>6795</v>
      </c>
      <c r="C2738" t="s">
        <v>6796</v>
      </c>
    </row>
    <row r="2739" spans="1:3">
      <c r="A2739" t="s">
        <v>6797</v>
      </c>
      <c r="B2739" t="s">
        <v>6798</v>
      </c>
      <c r="C2739" t="s">
        <v>6799</v>
      </c>
    </row>
    <row r="2740" spans="1:3">
      <c r="A2740" t="s">
        <v>6800</v>
      </c>
      <c r="B2740" t="s">
        <v>6801</v>
      </c>
      <c r="C2740" t="s">
        <v>6802</v>
      </c>
    </row>
    <row r="2741" spans="1:3">
      <c r="A2741" t="s">
        <v>6803</v>
      </c>
      <c r="B2741" t="s">
        <v>6804</v>
      </c>
      <c r="C2741" t="s">
        <v>6805</v>
      </c>
    </row>
    <row r="2742" spans="1:3">
      <c r="A2742" t="s">
        <v>6806</v>
      </c>
      <c r="B2742" t="s">
        <v>6807</v>
      </c>
      <c r="C2742" t="s">
        <v>6808</v>
      </c>
    </row>
    <row r="2743" spans="1:3">
      <c r="A2743" t="s">
        <v>6809</v>
      </c>
      <c r="B2743" t="s">
        <v>6810</v>
      </c>
      <c r="C2743" t="s">
        <v>6811</v>
      </c>
    </row>
    <row r="2744" spans="1:3">
      <c r="A2744" t="s">
        <v>6812</v>
      </c>
      <c r="B2744" t="s">
        <v>6813</v>
      </c>
      <c r="C2744" t="s">
        <v>6814</v>
      </c>
    </row>
    <row r="2745" spans="1:3">
      <c r="A2745" t="s">
        <v>6815</v>
      </c>
      <c r="B2745" t="s">
        <v>6816</v>
      </c>
      <c r="C2745" t="s">
        <v>6817</v>
      </c>
    </row>
    <row r="2746" spans="1:3">
      <c r="A2746" t="s">
        <v>6818</v>
      </c>
      <c r="C2746" s="257" t="s">
        <v>6819</v>
      </c>
    </row>
    <row r="2747" spans="1:3">
      <c r="A2747" t="s">
        <v>6820</v>
      </c>
      <c r="B2747" t="s">
        <v>6821</v>
      </c>
      <c r="C2747" t="s">
        <v>6822</v>
      </c>
    </row>
    <row r="2748" spans="1:3">
      <c r="A2748" t="s">
        <v>6823</v>
      </c>
      <c r="B2748" t="s">
        <v>6824</v>
      </c>
      <c r="C2748" t="s">
        <v>6825</v>
      </c>
    </row>
    <row r="2749" spans="1:3">
      <c r="A2749" t="s">
        <v>6826</v>
      </c>
      <c r="B2749" t="s">
        <v>6827</v>
      </c>
      <c r="C2749" t="s">
        <v>6828</v>
      </c>
    </row>
    <row r="2750" spans="1:3">
      <c r="A2750" t="s">
        <v>6829</v>
      </c>
      <c r="B2750" t="s">
        <v>6830</v>
      </c>
      <c r="C2750" t="s">
        <v>6831</v>
      </c>
    </row>
    <row r="2751" spans="1:3">
      <c r="A2751" t="s">
        <v>6832</v>
      </c>
      <c r="B2751" t="s">
        <v>6833</v>
      </c>
      <c r="C2751" t="s">
        <v>6834</v>
      </c>
    </row>
    <row r="2752" spans="1:3">
      <c r="A2752" t="s">
        <v>6835</v>
      </c>
      <c r="B2752" t="s">
        <v>6836</v>
      </c>
      <c r="C2752" t="s">
        <v>6837</v>
      </c>
    </row>
    <row r="2753" spans="1:3">
      <c r="A2753" t="s">
        <v>6838</v>
      </c>
      <c r="B2753" t="s">
        <v>6839</v>
      </c>
      <c r="C2753" t="s">
        <v>6840</v>
      </c>
    </row>
    <row r="2754" spans="1:3">
      <c r="A2754" t="s">
        <v>6841</v>
      </c>
      <c r="B2754" t="s">
        <v>6842</v>
      </c>
      <c r="C2754" t="s">
        <v>6843</v>
      </c>
    </row>
    <row r="2755" spans="1:3">
      <c r="A2755" t="s">
        <v>6844</v>
      </c>
      <c r="B2755" t="s">
        <v>6845</v>
      </c>
      <c r="C2755" t="s">
        <v>6846</v>
      </c>
    </row>
    <row r="2756" spans="1:3">
      <c r="A2756" t="s">
        <v>6847</v>
      </c>
      <c r="B2756" t="s">
        <v>6848</v>
      </c>
      <c r="C2756" t="s">
        <v>6849</v>
      </c>
    </row>
    <row r="2757" spans="1:3">
      <c r="A2757" t="s">
        <v>6850</v>
      </c>
      <c r="B2757" t="s">
        <v>6851</v>
      </c>
      <c r="C2757" t="s">
        <v>6852</v>
      </c>
    </row>
    <row r="2758" spans="1:3">
      <c r="A2758" t="s">
        <v>6853</v>
      </c>
      <c r="B2758" t="s">
        <v>6854</v>
      </c>
      <c r="C2758" t="s">
        <v>6855</v>
      </c>
    </row>
    <row r="2759" spans="1:3">
      <c r="A2759" t="s">
        <v>6856</v>
      </c>
      <c r="B2759" t="s">
        <v>6857</v>
      </c>
      <c r="C2759" t="s">
        <v>6858</v>
      </c>
    </row>
    <row r="2760" spans="1:3">
      <c r="A2760" t="s">
        <v>6859</v>
      </c>
      <c r="B2760" t="s">
        <v>6860</v>
      </c>
      <c r="C2760" t="s">
        <v>6861</v>
      </c>
    </row>
    <row r="2761" spans="1:3">
      <c r="A2761" t="s">
        <v>6862</v>
      </c>
      <c r="B2761" t="s">
        <v>6863</v>
      </c>
      <c r="C2761" t="s">
        <v>6864</v>
      </c>
    </row>
    <row r="2762" spans="1:3">
      <c r="A2762" t="s">
        <v>6865</v>
      </c>
      <c r="B2762" t="s">
        <v>6866</v>
      </c>
      <c r="C2762" t="s">
        <v>6867</v>
      </c>
    </row>
    <row r="2763" spans="1:3">
      <c r="A2763" t="s">
        <v>6868</v>
      </c>
      <c r="B2763" t="s">
        <v>6869</v>
      </c>
      <c r="C2763" t="s">
        <v>6870</v>
      </c>
    </row>
    <row r="2764" spans="1:3">
      <c r="A2764" t="s">
        <v>6871</v>
      </c>
      <c r="B2764" t="s">
        <v>6872</v>
      </c>
      <c r="C2764" t="s">
        <v>6873</v>
      </c>
    </row>
    <row r="2765" spans="1:3">
      <c r="A2765" t="s">
        <v>6874</v>
      </c>
      <c r="B2765" t="s">
        <v>6875</v>
      </c>
      <c r="C2765" t="s">
        <v>6876</v>
      </c>
    </row>
    <row r="2766" spans="1:3">
      <c r="A2766" t="s">
        <v>6877</v>
      </c>
      <c r="B2766" t="s">
        <v>6878</v>
      </c>
      <c r="C2766" t="s">
        <v>6879</v>
      </c>
    </row>
    <row r="2767" spans="1:3">
      <c r="A2767" t="s">
        <v>6880</v>
      </c>
      <c r="B2767" t="s">
        <v>6881</v>
      </c>
      <c r="C2767" t="s">
        <v>6882</v>
      </c>
    </row>
    <row r="2768" spans="1:3">
      <c r="A2768" t="s">
        <v>6883</v>
      </c>
      <c r="B2768" t="s">
        <v>6884</v>
      </c>
      <c r="C2768" t="s">
        <v>6885</v>
      </c>
    </row>
    <row r="2769" spans="1:3">
      <c r="A2769" t="s">
        <v>6886</v>
      </c>
      <c r="B2769" t="s">
        <v>6887</v>
      </c>
      <c r="C2769" t="s">
        <v>6888</v>
      </c>
    </row>
    <row r="2770" spans="1:3">
      <c r="A2770" t="s">
        <v>6889</v>
      </c>
      <c r="B2770" t="s">
        <v>6890</v>
      </c>
      <c r="C2770" t="s">
        <v>6891</v>
      </c>
    </row>
    <row r="2771" spans="1:3">
      <c r="A2771" t="s">
        <v>6892</v>
      </c>
      <c r="B2771" t="s">
        <v>6893</v>
      </c>
      <c r="C2771" t="s">
        <v>6894</v>
      </c>
    </row>
    <row r="2772" spans="1:3">
      <c r="A2772" t="s">
        <v>6895</v>
      </c>
      <c r="B2772" t="s">
        <v>6896</v>
      </c>
      <c r="C2772" t="s">
        <v>6897</v>
      </c>
    </row>
    <row r="2773" spans="1:3">
      <c r="A2773" t="s">
        <v>6898</v>
      </c>
      <c r="B2773" t="s">
        <v>6899</v>
      </c>
      <c r="C2773" t="s">
        <v>6900</v>
      </c>
    </row>
    <row r="2774" spans="1:3">
      <c r="A2774" t="s">
        <v>6901</v>
      </c>
      <c r="B2774" t="s">
        <v>6902</v>
      </c>
      <c r="C2774" t="s">
        <v>6903</v>
      </c>
    </row>
    <row r="2775" spans="1:3">
      <c r="A2775" t="s">
        <v>6904</v>
      </c>
      <c r="B2775" t="s">
        <v>6905</v>
      </c>
      <c r="C2775" t="s">
        <v>6906</v>
      </c>
    </row>
    <row r="2776" spans="1:3">
      <c r="A2776" t="s">
        <v>6907</v>
      </c>
      <c r="B2776" t="s">
        <v>6908</v>
      </c>
      <c r="C2776" t="s">
        <v>6909</v>
      </c>
    </row>
    <row r="2777" spans="1:3">
      <c r="A2777" t="s">
        <v>6910</v>
      </c>
      <c r="B2777" t="s">
        <v>6911</v>
      </c>
      <c r="C2777" t="s">
        <v>6912</v>
      </c>
    </row>
    <row r="2778" spans="1:3">
      <c r="A2778" t="s">
        <v>6913</v>
      </c>
      <c r="B2778" t="s">
        <v>6914</v>
      </c>
      <c r="C2778" t="s">
        <v>6915</v>
      </c>
    </row>
    <row r="2779" spans="1:3">
      <c r="A2779" t="s">
        <v>6916</v>
      </c>
      <c r="B2779" t="s">
        <v>6917</v>
      </c>
      <c r="C2779" t="s">
        <v>6918</v>
      </c>
    </row>
    <row r="2780" spans="1:3">
      <c r="A2780" t="s">
        <v>6919</v>
      </c>
      <c r="B2780" t="s">
        <v>6920</v>
      </c>
      <c r="C2780" t="s">
        <v>6921</v>
      </c>
    </row>
    <row r="2781" spans="1:3">
      <c r="A2781" t="s">
        <v>6922</v>
      </c>
      <c r="B2781" t="s">
        <v>6923</v>
      </c>
      <c r="C2781" t="s">
        <v>6924</v>
      </c>
    </row>
    <row r="2782" spans="1:3">
      <c r="A2782" t="s">
        <v>6925</v>
      </c>
      <c r="B2782" t="s">
        <v>6926</v>
      </c>
      <c r="C2782" t="s">
        <v>6927</v>
      </c>
    </row>
    <row r="2783" spans="1:3">
      <c r="A2783" t="s">
        <v>6928</v>
      </c>
      <c r="B2783" t="s">
        <v>6929</v>
      </c>
      <c r="C2783" t="s">
        <v>6930</v>
      </c>
    </row>
    <row r="2784" spans="1:3">
      <c r="A2784" t="s">
        <v>6931</v>
      </c>
      <c r="B2784" t="s">
        <v>6932</v>
      </c>
      <c r="C2784" t="s">
        <v>6933</v>
      </c>
    </row>
    <row r="2785" spans="1:3">
      <c r="A2785" t="s">
        <v>6934</v>
      </c>
      <c r="B2785" t="s">
        <v>6932</v>
      </c>
      <c r="C2785" t="s">
        <v>6935</v>
      </c>
    </row>
    <row r="2786" spans="1:3">
      <c r="A2786" t="s">
        <v>6936</v>
      </c>
      <c r="B2786" t="s">
        <v>6937</v>
      </c>
      <c r="C2786" t="s">
        <v>6938</v>
      </c>
    </row>
    <row r="2787" spans="1:3">
      <c r="A2787" t="s">
        <v>6939</v>
      </c>
      <c r="B2787" t="s">
        <v>6940</v>
      </c>
      <c r="C2787" t="s">
        <v>6941</v>
      </c>
    </row>
    <row r="2788" spans="1:3">
      <c r="A2788" t="s">
        <v>6942</v>
      </c>
      <c r="B2788" t="s">
        <v>6943</v>
      </c>
      <c r="C2788" t="s">
        <v>6944</v>
      </c>
    </row>
    <row r="2789" spans="1:3">
      <c r="A2789" t="s">
        <v>6945</v>
      </c>
      <c r="B2789" t="s">
        <v>6946</v>
      </c>
      <c r="C2789" t="s">
        <v>6947</v>
      </c>
    </row>
    <row r="2790" spans="1:3">
      <c r="A2790" t="s">
        <v>6948</v>
      </c>
      <c r="B2790" t="s">
        <v>6437</v>
      </c>
      <c r="C2790" t="s">
        <v>6949</v>
      </c>
    </row>
    <row r="2791" spans="1:3">
      <c r="A2791" t="s">
        <v>6950</v>
      </c>
      <c r="B2791" t="s">
        <v>6951</v>
      </c>
      <c r="C2791" t="s">
        <v>6952</v>
      </c>
    </row>
    <row r="2792" spans="1:3">
      <c r="A2792" t="s">
        <v>6953</v>
      </c>
      <c r="B2792" t="s">
        <v>6954</v>
      </c>
      <c r="C2792" t="s">
        <v>6955</v>
      </c>
    </row>
    <row r="2793" spans="1:3">
      <c r="A2793" t="s">
        <v>6956</v>
      </c>
      <c r="B2793" t="s">
        <v>6957</v>
      </c>
      <c r="C2793" t="s">
        <v>6958</v>
      </c>
    </row>
    <row r="2794" spans="1:3">
      <c r="A2794" t="s">
        <v>6959</v>
      </c>
      <c r="B2794" t="s">
        <v>6960</v>
      </c>
      <c r="C2794" t="s">
        <v>6961</v>
      </c>
    </row>
    <row r="2795" spans="1:3">
      <c r="A2795" t="s">
        <v>6962</v>
      </c>
      <c r="B2795" t="s">
        <v>6963</v>
      </c>
      <c r="C2795" t="s">
        <v>6964</v>
      </c>
    </row>
    <row r="2796" spans="1:3">
      <c r="A2796" t="s">
        <v>6965</v>
      </c>
      <c r="B2796" t="s">
        <v>6966</v>
      </c>
      <c r="C2796" t="s">
        <v>6967</v>
      </c>
    </row>
    <row r="2797" spans="1:3">
      <c r="A2797" t="s">
        <v>6968</v>
      </c>
      <c r="B2797" t="s">
        <v>6969</v>
      </c>
      <c r="C2797" t="s">
        <v>6970</v>
      </c>
    </row>
    <row r="2798" spans="1:3">
      <c r="A2798" t="s">
        <v>6971</v>
      </c>
      <c r="B2798" t="s">
        <v>6972</v>
      </c>
      <c r="C2798" t="s">
        <v>6973</v>
      </c>
    </row>
    <row r="2799" spans="1:3">
      <c r="A2799" t="s">
        <v>6974</v>
      </c>
      <c r="B2799" t="s">
        <v>6975</v>
      </c>
      <c r="C2799" t="s">
        <v>6976</v>
      </c>
    </row>
    <row r="2800" spans="1:3">
      <c r="A2800" t="s">
        <v>6977</v>
      </c>
      <c r="B2800" t="s">
        <v>6978</v>
      </c>
      <c r="C2800" t="s">
        <v>6979</v>
      </c>
    </row>
    <row r="2801" spans="1:3">
      <c r="A2801" t="s">
        <v>6980</v>
      </c>
      <c r="B2801" t="s">
        <v>6443</v>
      </c>
      <c r="C2801" t="s">
        <v>6981</v>
      </c>
    </row>
    <row r="2802" spans="1:3">
      <c r="A2802" t="s">
        <v>6982</v>
      </c>
      <c r="B2802" t="s">
        <v>6983</v>
      </c>
      <c r="C2802" t="s">
        <v>6984</v>
      </c>
    </row>
    <row r="2803" spans="1:3">
      <c r="A2803" t="s">
        <v>6985</v>
      </c>
      <c r="B2803" t="s">
        <v>6673</v>
      </c>
      <c r="C2803" t="s">
        <v>6986</v>
      </c>
    </row>
    <row r="2804" spans="1:3">
      <c r="A2804" t="s">
        <v>6987</v>
      </c>
      <c r="B2804" t="s">
        <v>6988</v>
      </c>
      <c r="C2804" t="s">
        <v>6989</v>
      </c>
    </row>
    <row r="2805" spans="1:3">
      <c r="A2805" t="s">
        <v>6990</v>
      </c>
      <c r="B2805" t="s">
        <v>6991</v>
      </c>
      <c r="C2805" t="s">
        <v>6992</v>
      </c>
    </row>
    <row r="2806" spans="1:3">
      <c r="A2806" t="s">
        <v>6993</v>
      </c>
      <c r="B2806" t="s">
        <v>6994</v>
      </c>
      <c r="C2806" t="s">
        <v>6995</v>
      </c>
    </row>
    <row r="2807" spans="1:3">
      <c r="A2807" t="s">
        <v>6996</v>
      </c>
      <c r="B2807" t="s">
        <v>6994</v>
      </c>
      <c r="C2807" t="s">
        <v>6997</v>
      </c>
    </row>
    <row r="2808" spans="1:3">
      <c r="A2808" t="s">
        <v>6998</v>
      </c>
      <c r="B2808" t="s">
        <v>6999</v>
      </c>
      <c r="C2808" t="s">
        <v>7000</v>
      </c>
    </row>
    <row r="2809" spans="1:3">
      <c r="A2809" t="s">
        <v>7001</v>
      </c>
      <c r="B2809" t="s">
        <v>6452</v>
      </c>
      <c r="C2809" t="s">
        <v>7002</v>
      </c>
    </row>
    <row r="2810" spans="1:3">
      <c r="A2810" t="s">
        <v>7003</v>
      </c>
      <c r="B2810" t="s">
        <v>7004</v>
      </c>
      <c r="C2810" t="s">
        <v>7005</v>
      </c>
    </row>
    <row r="2811" spans="1:3">
      <c r="A2811" t="s">
        <v>7006</v>
      </c>
      <c r="B2811" t="s">
        <v>7007</v>
      </c>
      <c r="C2811" t="s">
        <v>7008</v>
      </c>
    </row>
    <row r="2812" spans="1:3">
      <c r="A2812" t="s">
        <v>7009</v>
      </c>
      <c r="B2812" t="s">
        <v>7010</v>
      </c>
      <c r="C2812" t="s">
        <v>7011</v>
      </c>
    </row>
    <row r="2813" spans="1:3">
      <c r="A2813" t="s">
        <v>7012</v>
      </c>
      <c r="B2813" t="s">
        <v>7013</v>
      </c>
      <c r="C2813" t="s">
        <v>7014</v>
      </c>
    </row>
    <row r="2814" spans="1:3">
      <c r="A2814" t="s">
        <v>7015</v>
      </c>
      <c r="B2814" t="s">
        <v>6521</v>
      </c>
      <c r="C2814" t="s">
        <v>7016</v>
      </c>
    </row>
    <row r="2815" spans="1:3">
      <c r="A2815" t="s">
        <v>7017</v>
      </c>
      <c r="B2815" t="s">
        <v>7018</v>
      </c>
      <c r="C2815" t="s">
        <v>7019</v>
      </c>
    </row>
    <row r="2816" spans="1:3">
      <c r="A2816" t="s">
        <v>7020</v>
      </c>
      <c r="B2816" t="s">
        <v>7021</v>
      </c>
      <c r="C2816" t="s">
        <v>7022</v>
      </c>
    </row>
    <row r="2817" spans="1:3">
      <c r="A2817" t="s">
        <v>7023</v>
      </c>
      <c r="B2817" t="s">
        <v>7024</v>
      </c>
      <c r="C2817" t="s">
        <v>7025</v>
      </c>
    </row>
    <row r="2818" spans="1:3">
      <c r="A2818" t="s">
        <v>7026</v>
      </c>
      <c r="B2818" t="s">
        <v>7027</v>
      </c>
      <c r="C2818" t="s">
        <v>7028</v>
      </c>
    </row>
    <row r="2819" spans="1:3">
      <c r="A2819" t="s">
        <v>7029</v>
      </c>
      <c r="B2819" t="s">
        <v>7030</v>
      </c>
      <c r="C2819" t="s">
        <v>7031</v>
      </c>
    </row>
    <row r="2820" spans="1:3">
      <c r="A2820" t="s">
        <v>7032</v>
      </c>
      <c r="B2820" t="s">
        <v>7033</v>
      </c>
      <c r="C2820" t="s">
        <v>7034</v>
      </c>
    </row>
    <row r="2821" spans="1:3">
      <c r="A2821" t="s">
        <v>7035</v>
      </c>
      <c r="B2821" t="s">
        <v>7036</v>
      </c>
      <c r="C2821" t="s">
        <v>7037</v>
      </c>
    </row>
    <row r="2822" spans="1:3">
      <c r="A2822" t="s">
        <v>7038</v>
      </c>
      <c r="B2822" t="s">
        <v>7039</v>
      </c>
      <c r="C2822" t="s">
        <v>7040</v>
      </c>
    </row>
    <row r="2823" spans="1:3">
      <c r="A2823" t="s">
        <v>7041</v>
      </c>
      <c r="B2823" t="s">
        <v>7042</v>
      </c>
      <c r="C2823" t="s">
        <v>7043</v>
      </c>
    </row>
    <row r="2824" spans="1:3">
      <c r="A2824" t="s">
        <v>7044</v>
      </c>
      <c r="B2824" t="s">
        <v>7045</v>
      </c>
      <c r="C2824" t="s">
        <v>7046</v>
      </c>
    </row>
    <row r="2825" spans="1:3">
      <c r="A2825" t="s">
        <v>7047</v>
      </c>
      <c r="B2825" t="s">
        <v>7048</v>
      </c>
      <c r="C2825" t="s">
        <v>7049</v>
      </c>
    </row>
    <row r="2826" spans="1:3">
      <c r="A2826" t="s">
        <v>7050</v>
      </c>
      <c r="B2826" t="s">
        <v>7051</v>
      </c>
      <c r="C2826" t="s">
        <v>7052</v>
      </c>
    </row>
    <row r="2827" spans="1:3">
      <c r="A2827" t="s">
        <v>7053</v>
      </c>
      <c r="B2827" t="s">
        <v>7054</v>
      </c>
      <c r="C2827" t="s">
        <v>7055</v>
      </c>
    </row>
    <row r="2828" spans="1:3">
      <c r="A2828" t="s">
        <v>7056</v>
      </c>
      <c r="B2828" t="s">
        <v>7057</v>
      </c>
      <c r="C2828" t="s">
        <v>7058</v>
      </c>
    </row>
    <row r="2829" spans="1:3">
      <c r="A2829" t="s">
        <v>7059</v>
      </c>
      <c r="B2829" t="s">
        <v>7060</v>
      </c>
      <c r="C2829" t="s">
        <v>7061</v>
      </c>
    </row>
    <row r="2830" spans="1:3">
      <c r="A2830" t="s">
        <v>7062</v>
      </c>
      <c r="B2830" t="s">
        <v>7063</v>
      </c>
      <c r="C2830" t="s">
        <v>7064</v>
      </c>
    </row>
    <row r="2831" spans="1:3">
      <c r="A2831" t="s">
        <v>7065</v>
      </c>
      <c r="B2831" t="s">
        <v>7066</v>
      </c>
      <c r="C2831" t="s">
        <v>7067</v>
      </c>
    </row>
    <row r="2832" spans="1:3">
      <c r="A2832" t="s">
        <v>7068</v>
      </c>
      <c r="B2832" t="s">
        <v>7069</v>
      </c>
      <c r="C2832" t="s">
        <v>7070</v>
      </c>
    </row>
    <row r="2833" spans="1:3">
      <c r="A2833" t="s">
        <v>7071</v>
      </c>
      <c r="B2833" t="s">
        <v>7072</v>
      </c>
      <c r="C2833" t="s">
        <v>7073</v>
      </c>
    </row>
    <row r="2834" spans="1:3">
      <c r="A2834" t="s">
        <v>7074</v>
      </c>
      <c r="B2834" t="s">
        <v>7075</v>
      </c>
      <c r="C2834" t="s">
        <v>7076</v>
      </c>
    </row>
    <row r="2835" spans="1:3">
      <c r="A2835" t="s">
        <v>7077</v>
      </c>
      <c r="B2835" t="s">
        <v>7078</v>
      </c>
      <c r="C2835" t="s">
        <v>7079</v>
      </c>
    </row>
    <row r="2836" spans="1:3">
      <c r="A2836" t="s">
        <v>7080</v>
      </c>
      <c r="B2836" t="s">
        <v>7081</v>
      </c>
      <c r="C2836" t="s">
        <v>7082</v>
      </c>
    </row>
    <row r="2837" spans="1:3">
      <c r="A2837" t="s">
        <v>7083</v>
      </c>
      <c r="B2837" t="s">
        <v>7084</v>
      </c>
      <c r="C2837" t="s">
        <v>7085</v>
      </c>
    </row>
    <row r="2838" spans="1:3">
      <c r="A2838" t="s">
        <v>7086</v>
      </c>
      <c r="B2838" t="s">
        <v>7087</v>
      </c>
      <c r="C2838" t="s">
        <v>7088</v>
      </c>
    </row>
    <row r="2839" spans="1:3">
      <c r="A2839" t="s">
        <v>7089</v>
      </c>
      <c r="B2839" t="s">
        <v>7090</v>
      </c>
      <c r="C2839" t="s">
        <v>7091</v>
      </c>
    </row>
    <row r="2840" spans="1:3">
      <c r="A2840" t="s">
        <v>7092</v>
      </c>
      <c r="C2840" s="257" t="s">
        <v>7093</v>
      </c>
    </row>
    <row r="2841" spans="1:3">
      <c r="A2841" t="s">
        <v>7094</v>
      </c>
      <c r="B2841" t="s">
        <v>7095</v>
      </c>
      <c r="C2841" t="s">
        <v>7096</v>
      </c>
    </row>
    <row r="2842" spans="1:3">
      <c r="A2842" t="s">
        <v>7097</v>
      </c>
      <c r="C2842" s="257" t="s">
        <v>7098</v>
      </c>
    </row>
    <row r="2843" spans="1:3">
      <c r="A2843" t="s">
        <v>7099</v>
      </c>
      <c r="B2843" t="s">
        <v>7100</v>
      </c>
      <c r="C2843" t="s">
        <v>7101</v>
      </c>
    </row>
    <row r="2844" spans="1:3">
      <c r="A2844" t="s">
        <v>7102</v>
      </c>
      <c r="B2844" t="s">
        <v>7103</v>
      </c>
      <c r="C2844" t="s">
        <v>7104</v>
      </c>
    </row>
    <row r="2845" spans="1:3">
      <c r="A2845" t="s">
        <v>7105</v>
      </c>
      <c r="B2845" t="s">
        <v>4774</v>
      </c>
      <c r="C2845" t="s">
        <v>7106</v>
      </c>
    </row>
    <row r="2846" spans="1:3">
      <c r="A2846" t="s">
        <v>7107</v>
      </c>
      <c r="C2846" s="257" t="s">
        <v>7108</v>
      </c>
    </row>
    <row r="2847" spans="1:3">
      <c r="A2847" t="s">
        <v>7109</v>
      </c>
      <c r="C2847" s="257" t="s">
        <v>7110</v>
      </c>
    </row>
    <row r="2848" spans="1:3">
      <c r="A2848" t="s">
        <v>7111</v>
      </c>
      <c r="C2848" s="257" t="s">
        <v>7112</v>
      </c>
    </row>
    <row r="2849" spans="1:3">
      <c r="A2849" t="s">
        <v>7113</v>
      </c>
      <c r="C2849" s="257" t="s">
        <v>7114</v>
      </c>
    </row>
    <row r="2850" spans="1:3">
      <c r="A2850" t="s">
        <v>7115</v>
      </c>
      <c r="C2850" s="257" t="s">
        <v>7116</v>
      </c>
    </row>
    <row r="2851" spans="1:3">
      <c r="A2851" t="s">
        <v>7117</v>
      </c>
      <c r="C2851" s="257" t="s">
        <v>7118</v>
      </c>
    </row>
    <row r="2852" spans="1:3">
      <c r="A2852" t="s">
        <v>7119</v>
      </c>
      <c r="C2852" s="257" t="s">
        <v>7120</v>
      </c>
    </row>
    <row r="2853" spans="1:3">
      <c r="A2853" t="s">
        <v>7121</v>
      </c>
      <c r="C2853" s="257" t="s">
        <v>7122</v>
      </c>
    </row>
    <row r="2854" spans="1:3">
      <c r="A2854" t="s">
        <v>7123</v>
      </c>
      <c r="C2854" s="257" t="s">
        <v>7124</v>
      </c>
    </row>
    <row r="2855" spans="1:3">
      <c r="A2855" t="s">
        <v>7125</v>
      </c>
      <c r="C2855" s="257" t="s">
        <v>7126</v>
      </c>
    </row>
    <row r="2856" spans="1:3">
      <c r="A2856" t="s">
        <v>7127</v>
      </c>
      <c r="C2856" s="257" t="s">
        <v>7128</v>
      </c>
    </row>
    <row r="2857" spans="1:3">
      <c r="A2857" t="s">
        <v>7129</v>
      </c>
      <c r="C2857" s="257" t="s">
        <v>7130</v>
      </c>
    </row>
    <row r="2858" spans="1:3">
      <c r="A2858" t="s">
        <v>7131</v>
      </c>
      <c r="C2858" s="257" t="s">
        <v>7132</v>
      </c>
    </row>
    <row r="2859" spans="1:3">
      <c r="A2859" t="s">
        <v>7133</v>
      </c>
      <c r="C2859" s="257" t="s">
        <v>7134</v>
      </c>
    </row>
    <row r="2860" spans="1:3">
      <c r="A2860" t="s">
        <v>7135</v>
      </c>
      <c r="C2860" s="257" t="s">
        <v>7136</v>
      </c>
    </row>
    <row r="2861" spans="1:3">
      <c r="A2861" t="s">
        <v>7137</v>
      </c>
      <c r="C2861" s="257" t="s">
        <v>7138</v>
      </c>
    </row>
    <row r="2862" spans="1:3">
      <c r="A2862" t="s">
        <v>7139</v>
      </c>
      <c r="C2862" s="257" t="s">
        <v>7140</v>
      </c>
    </row>
    <row r="2863" spans="1:3">
      <c r="A2863" t="s">
        <v>7141</v>
      </c>
      <c r="C2863" s="257" t="s">
        <v>7142</v>
      </c>
    </row>
    <row r="2864" spans="1:3">
      <c r="A2864" t="s">
        <v>7143</v>
      </c>
      <c r="C2864" s="257" t="s">
        <v>7144</v>
      </c>
    </row>
    <row r="2865" spans="1:3">
      <c r="A2865" t="s">
        <v>7145</v>
      </c>
      <c r="C2865" s="257" t="s">
        <v>7146</v>
      </c>
    </row>
    <row r="2866" spans="1:3">
      <c r="A2866" t="s">
        <v>7147</v>
      </c>
      <c r="C2866" s="257" t="s">
        <v>7148</v>
      </c>
    </row>
    <row r="2867" spans="1:3">
      <c r="A2867" t="s">
        <v>7149</v>
      </c>
      <c r="C2867" s="257" t="s">
        <v>7150</v>
      </c>
    </row>
    <row r="2868" spans="1:3">
      <c r="A2868" t="s">
        <v>7151</v>
      </c>
      <c r="C2868" s="257" t="s">
        <v>7152</v>
      </c>
    </row>
    <row r="2869" spans="1:3">
      <c r="A2869" t="s">
        <v>7153</v>
      </c>
      <c r="B2869" t="s">
        <v>7154</v>
      </c>
      <c r="C2869" t="s">
        <v>7155</v>
      </c>
    </row>
    <row r="2870" spans="1:3">
      <c r="A2870" t="s">
        <v>7156</v>
      </c>
      <c r="C2870" s="257" t="s">
        <v>7157</v>
      </c>
    </row>
    <row r="2871" spans="1:3">
      <c r="A2871" t="s">
        <v>7158</v>
      </c>
      <c r="C2871" s="257" t="s">
        <v>7159</v>
      </c>
    </row>
    <row r="2872" spans="1:3">
      <c r="A2872" t="s">
        <v>7160</v>
      </c>
      <c r="C2872" s="257" t="s">
        <v>7161</v>
      </c>
    </row>
    <row r="2873" spans="1:3">
      <c r="A2873" t="s">
        <v>7162</v>
      </c>
      <c r="C2873" s="257" t="s">
        <v>7163</v>
      </c>
    </row>
    <row r="2874" spans="1:3">
      <c r="A2874" t="s">
        <v>7164</v>
      </c>
      <c r="B2874" t="s">
        <v>7165</v>
      </c>
      <c r="C2874" t="s">
        <v>7166</v>
      </c>
    </row>
    <row r="2875" spans="1:3">
      <c r="A2875" t="s">
        <v>7167</v>
      </c>
      <c r="B2875" t="s">
        <v>7168</v>
      </c>
      <c r="C2875" t="s">
        <v>7169</v>
      </c>
    </row>
    <row r="2876" spans="1:3">
      <c r="A2876" t="s">
        <v>7170</v>
      </c>
      <c r="B2876" t="s">
        <v>7171</v>
      </c>
      <c r="C2876" t="s">
        <v>7172</v>
      </c>
    </row>
    <row r="2877" spans="1:3">
      <c r="A2877" t="s">
        <v>7173</v>
      </c>
      <c r="B2877" t="s">
        <v>7174</v>
      </c>
      <c r="C2877" t="s">
        <v>7175</v>
      </c>
    </row>
    <row r="2878" spans="1:3">
      <c r="A2878" t="s">
        <v>7176</v>
      </c>
      <c r="B2878" t="s">
        <v>7177</v>
      </c>
      <c r="C2878" t="s">
        <v>7178</v>
      </c>
    </row>
    <row r="2879" spans="1:3">
      <c r="A2879" t="s">
        <v>7179</v>
      </c>
      <c r="B2879" t="s">
        <v>7180</v>
      </c>
      <c r="C2879" t="s">
        <v>7181</v>
      </c>
    </row>
    <row r="2880" spans="1:3">
      <c r="A2880" t="s">
        <v>7182</v>
      </c>
      <c r="B2880" t="s">
        <v>7183</v>
      </c>
      <c r="C2880" t="s">
        <v>7184</v>
      </c>
    </row>
    <row r="2881" spans="1:3">
      <c r="A2881" t="s">
        <v>7185</v>
      </c>
      <c r="B2881" t="s">
        <v>7186</v>
      </c>
      <c r="C2881" t="s">
        <v>7187</v>
      </c>
    </row>
    <row r="2882" spans="1:3">
      <c r="A2882" t="s">
        <v>7188</v>
      </c>
      <c r="B2882" t="s">
        <v>7189</v>
      </c>
      <c r="C2882" t="s">
        <v>7190</v>
      </c>
    </row>
    <row r="2883" spans="1:3">
      <c r="A2883" t="s">
        <v>7191</v>
      </c>
      <c r="B2883" t="s">
        <v>7192</v>
      </c>
      <c r="C2883" t="s">
        <v>7193</v>
      </c>
    </row>
    <row r="2884" spans="1:3">
      <c r="A2884" t="s">
        <v>7194</v>
      </c>
      <c r="B2884" t="s">
        <v>7195</v>
      </c>
      <c r="C2884" t="s">
        <v>7196</v>
      </c>
    </row>
    <row r="2885" spans="1:3">
      <c r="A2885" t="s">
        <v>7197</v>
      </c>
      <c r="B2885" t="s">
        <v>7198</v>
      </c>
      <c r="C2885" t="s">
        <v>7199</v>
      </c>
    </row>
    <row r="2886" spans="1:3">
      <c r="A2886" t="s">
        <v>7200</v>
      </c>
      <c r="B2886" t="s">
        <v>7201</v>
      </c>
      <c r="C2886" t="s">
        <v>7202</v>
      </c>
    </row>
    <row r="2887" spans="1:3">
      <c r="A2887" t="s">
        <v>7203</v>
      </c>
      <c r="B2887" t="s">
        <v>7204</v>
      </c>
      <c r="C2887" t="s">
        <v>7205</v>
      </c>
    </row>
    <row r="2888" spans="1:3">
      <c r="A2888" t="s">
        <v>7206</v>
      </c>
      <c r="B2888" t="s">
        <v>7207</v>
      </c>
      <c r="C2888" t="s">
        <v>7208</v>
      </c>
    </row>
    <row r="2889" spans="1:3">
      <c r="A2889" t="s">
        <v>7209</v>
      </c>
      <c r="B2889" t="s">
        <v>7210</v>
      </c>
      <c r="C2889" t="s">
        <v>7211</v>
      </c>
    </row>
    <row r="2890" spans="1:3">
      <c r="A2890" t="s">
        <v>7212</v>
      </c>
      <c r="B2890" t="s">
        <v>7213</v>
      </c>
      <c r="C2890" t="s">
        <v>7214</v>
      </c>
    </row>
    <row r="2891" spans="1:3">
      <c r="A2891" t="s">
        <v>7215</v>
      </c>
      <c r="B2891" t="s">
        <v>7216</v>
      </c>
      <c r="C2891" t="s">
        <v>7217</v>
      </c>
    </row>
    <row r="2892" spans="1:3">
      <c r="A2892" t="s">
        <v>7218</v>
      </c>
      <c r="B2892" t="s">
        <v>7219</v>
      </c>
      <c r="C2892" t="s">
        <v>7220</v>
      </c>
    </row>
    <row r="2893" spans="1:3">
      <c r="A2893" t="s">
        <v>7221</v>
      </c>
      <c r="B2893" t="s">
        <v>7222</v>
      </c>
      <c r="C2893" t="s">
        <v>7223</v>
      </c>
    </row>
    <row r="2894" spans="1:3">
      <c r="A2894" t="s">
        <v>7224</v>
      </c>
      <c r="B2894" t="s">
        <v>7225</v>
      </c>
      <c r="C2894" t="s">
        <v>7226</v>
      </c>
    </row>
    <row r="2895" spans="1:3">
      <c r="A2895" t="s">
        <v>7227</v>
      </c>
      <c r="B2895" t="s">
        <v>7228</v>
      </c>
      <c r="C2895" t="s">
        <v>7229</v>
      </c>
    </row>
    <row r="2896" spans="1:3">
      <c r="A2896" t="s">
        <v>7230</v>
      </c>
      <c r="B2896" t="s">
        <v>7231</v>
      </c>
      <c r="C2896" t="s">
        <v>7232</v>
      </c>
    </row>
    <row r="2897" spans="1:3">
      <c r="A2897" t="s">
        <v>7233</v>
      </c>
      <c r="B2897" t="s">
        <v>7234</v>
      </c>
      <c r="C2897" t="s">
        <v>7235</v>
      </c>
    </row>
    <row r="2898" spans="1:3">
      <c r="A2898" t="s">
        <v>7236</v>
      </c>
      <c r="B2898" t="s">
        <v>7237</v>
      </c>
      <c r="C2898" t="s">
        <v>7238</v>
      </c>
    </row>
    <row r="2899" spans="1:3">
      <c r="A2899" t="s">
        <v>7239</v>
      </c>
      <c r="B2899" t="s">
        <v>7240</v>
      </c>
      <c r="C2899" t="s">
        <v>7241</v>
      </c>
    </row>
    <row r="2900" spans="1:3">
      <c r="A2900" t="s">
        <v>7242</v>
      </c>
      <c r="B2900" t="s">
        <v>7243</v>
      </c>
      <c r="C2900" t="s">
        <v>7244</v>
      </c>
    </row>
    <row r="2901" spans="1:3">
      <c r="A2901" t="s">
        <v>7245</v>
      </c>
      <c r="B2901" t="s">
        <v>7246</v>
      </c>
      <c r="C2901" t="s">
        <v>7247</v>
      </c>
    </row>
    <row r="2902" spans="1:3">
      <c r="A2902" t="s">
        <v>7248</v>
      </c>
      <c r="B2902" t="s">
        <v>7249</v>
      </c>
      <c r="C2902" t="s">
        <v>7250</v>
      </c>
    </row>
    <row r="2903" spans="1:3">
      <c r="A2903" t="s">
        <v>7251</v>
      </c>
      <c r="B2903" t="s">
        <v>7252</v>
      </c>
      <c r="C2903" t="s">
        <v>7253</v>
      </c>
    </row>
    <row r="2904" spans="1:3">
      <c r="A2904" t="s">
        <v>7254</v>
      </c>
      <c r="B2904" t="s">
        <v>7255</v>
      </c>
      <c r="C2904" t="s">
        <v>7256</v>
      </c>
    </row>
    <row r="2905" spans="1:3">
      <c r="A2905" t="s">
        <v>7257</v>
      </c>
      <c r="B2905" t="s">
        <v>7258</v>
      </c>
      <c r="C2905" t="s">
        <v>7259</v>
      </c>
    </row>
    <row r="2906" spans="1:3">
      <c r="A2906" t="s">
        <v>7260</v>
      </c>
      <c r="B2906" t="s">
        <v>7261</v>
      </c>
      <c r="C2906" t="s">
        <v>7262</v>
      </c>
    </row>
    <row r="2907" spans="1:3">
      <c r="A2907" t="s">
        <v>7263</v>
      </c>
      <c r="B2907" t="s">
        <v>7264</v>
      </c>
      <c r="C2907" t="s">
        <v>7265</v>
      </c>
    </row>
    <row r="2908" spans="1:3">
      <c r="A2908" t="s">
        <v>7266</v>
      </c>
      <c r="B2908" t="s">
        <v>7267</v>
      </c>
      <c r="C2908" t="s">
        <v>7268</v>
      </c>
    </row>
    <row r="2909" spans="1:3">
      <c r="A2909" t="s">
        <v>7269</v>
      </c>
      <c r="C2909" s="257" t="s">
        <v>7270</v>
      </c>
    </row>
    <row r="2910" spans="1:3">
      <c r="A2910" t="s">
        <v>7271</v>
      </c>
      <c r="C2910" s="257" t="s">
        <v>7272</v>
      </c>
    </row>
    <row r="2911" spans="1:3">
      <c r="A2911" t="s">
        <v>7273</v>
      </c>
      <c r="C2911" s="257" t="s">
        <v>7274</v>
      </c>
    </row>
    <row r="2912" spans="1:3">
      <c r="A2912" t="s">
        <v>7275</v>
      </c>
      <c r="C2912" s="257" t="s">
        <v>7276</v>
      </c>
    </row>
    <row r="2913" spans="1:3">
      <c r="A2913" t="s">
        <v>7277</v>
      </c>
      <c r="C2913" s="257" t="s">
        <v>7278</v>
      </c>
    </row>
    <row r="2914" spans="1:3">
      <c r="A2914" t="s">
        <v>7279</v>
      </c>
      <c r="C2914" s="257" t="s">
        <v>7280</v>
      </c>
    </row>
    <row r="2915" spans="1:3">
      <c r="A2915" t="s">
        <v>7281</v>
      </c>
      <c r="C2915" s="257" t="s">
        <v>7282</v>
      </c>
    </row>
    <row r="2916" spans="1:3">
      <c r="A2916" t="s">
        <v>7283</v>
      </c>
      <c r="C2916" s="257" t="s">
        <v>7284</v>
      </c>
    </row>
    <row r="2917" spans="1:3">
      <c r="A2917" t="s">
        <v>7285</v>
      </c>
      <c r="C2917" s="257" t="s">
        <v>7286</v>
      </c>
    </row>
    <row r="2918" spans="1:3">
      <c r="A2918" t="s">
        <v>7287</v>
      </c>
      <c r="C2918" s="257" t="s">
        <v>7288</v>
      </c>
    </row>
    <row r="2919" spans="1:3">
      <c r="A2919" t="s">
        <v>7289</v>
      </c>
      <c r="C2919" s="257" t="s">
        <v>7290</v>
      </c>
    </row>
    <row r="2920" spans="1:3">
      <c r="A2920" t="s">
        <v>7291</v>
      </c>
      <c r="C2920" s="257" t="s">
        <v>7292</v>
      </c>
    </row>
    <row r="2921" spans="1:3">
      <c r="A2921" t="s">
        <v>7293</v>
      </c>
      <c r="C2921" s="257" t="s">
        <v>7294</v>
      </c>
    </row>
    <row r="2922" spans="1:3">
      <c r="A2922" t="s">
        <v>7295</v>
      </c>
      <c r="C2922" s="257" t="s">
        <v>7296</v>
      </c>
    </row>
    <row r="2923" spans="1:3">
      <c r="A2923" t="s">
        <v>7297</v>
      </c>
      <c r="C2923" s="257" t="s">
        <v>7298</v>
      </c>
    </row>
    <row r="2924" spans="1:3">
      <c r="A2924" t="s">
        <v>7299</v>
      </c>
      <c r="C2924" s="257" t="s">
        <v>7300</v>
      </c>
    </row>
    <row r="2925" spans="1:3">
      <c r="A2925" t="s">
        <v>7301</v>
      </c>
      <c r="C2925" s="257" t="s">
        <v>7302</v>
      </c>
    </row>
    <row r="2926" spans="1:3">
      <c r="A2926" t="s">
        <v>7303</v>
      </c>
      <c r="C2926" s="257" t="s">
        <v>7304</v>
      </c>
    </row>
    <row r="2927" spans="1:3">
      <c r="A2927" t="s">
        <v>7305</v>
      </c>
      <c r="C2927" s="257" t="s">
        <v>7306</v>
      </c>
    </row>
    <row r="2928" spans="1:3">
      <c r="A2928" t="s">
        <v>7307</v>
      </c>
      <c r="C2928" s="257" t="s">
        <v>7308</v>
      </c>
    </row>
    <row r="2929" spans="1:3">
      <c r="A2929" t="s">
        <v>7309</v>
      </c>
      <c r="C2929" s="257" t="s">
        <v>7310</v>
      </c>
    </row>
    <row r="2930" spans="1:3">
      <c r="A2930" t="s">
        <v>7311</v>
      </c>
      <c r="C2930" s="257" t="s">
        <v>7312</v>
      </c>
    </row>
    <row r="2931" spans="1:3">
      <c r="A2931" t="s">
        <v>7313</v>
      </c>
      <c r="C2931" s="257" t="s">
        <v>7314</v>
      </c>
    </row>
    <row r="2932" spans="1:3">
      <c r="A2932" t="s">
        <v>7315</v>
      </c>
      <c r="C2932" s="257" t="s">
        <v>7316</v>
      </c>
    </row>
    <row r="2933" spans="1:3">
      <c r="A2933" t="s">
        <v>7317</v>
      </c>
      <c r="C2933" s="257" t="s">
        <v>7318</v>
      </c>
    </row>
    <row r="2934" spans="1:3">
      <c r="A2934" t="s">
        <v>7319</v>
      </c>
      <c r="C2934" s="257" t="s">
        <v>7320</v>
      </c>
    </row>
    <row r="2935" spans="1:3">
      <c r="A2935" t="s">
        <v>7321</v>
      </c>
      <c r="C2935" s="257" t="s">
        <v>7322</v>
      </c>
    </row>
    <row r="2936" spans="1:3">
      <c r="A2936" t="s">
        <v>7323</v>
      </c>
      <c r="B2936" t="s">
        <v>7324</v>
      </c>
      <c r="C2936" t="s">
        <v>7325</v>
      </c>
    </row>
    <row r="2937" spans="1:3">
      <c r="A2937" t="s">
        <v>7326</v>
      </c>
      <c r="B2937" t="s">
        <v>7327</v>
      </c>
      <c r="C2937" t="s">
        <v>7328</v>
      </c>
    </row>
    <row r="2938" spans="1:3">
      <c r="A2938" t="s">
        <v>7329</v>
      </c>
      <c r="B2938" t="s">
        <v>7330</v>
      </c>
      <c r="C2938" t="s">
        <v>7331</v>
      </c>
    </row>
    <row r="2939" spans="1:3">
      <c r="A2939" t="s">
        <v>7332</v>
      </c>
      <c r="B2939" t="s">
        <v>7333</v>
      </c>
      <c r="C2939" t="s">
        <v>7334</v>
      </c>
    </row>
    <row r="2940" spans="1:3">
      <c r="A2940" t="s">
        <v>7335</v>
      </c>
      <c r="B2940" t="s">
        <v>7336</v>
      </c>
      <c r="C2940" t="s">
        <v>7337</v>
      </c>
    </row>
    <row r="2941" spans="1:3">
      <c r="A2941" t="s">
        <v>7338</v>
      </c>
      <c r="B2941" t="s">
        <v>7339</v>
      </c>
      <c r="C2941" t="s">
        <v>7340</v>
      </c>
    </row>
    <row r="2942" spans="1:3">
      <c r="A2942" t="s">
        <v>7341</v>
      </c>
      <c r="B2942" t="s">
        <v>7342</v>
      </c>
      <c r="C2942" t="s">
        <v>7343</v>
      </c>
    </row>
    <row r="2943" spans="1:3">
      <c r="A2943" t="s">
        <v>7344</v>
      </c>
      <c r="B2943" t="s">
        <v>7345</v>
      </c>
      <c r="C2943" t="s">
        <v>7346</v>
      </c>
    </row>
    <row r="2944" spans="1:3">
      <c r="A2944" t="s">
        <v>7347</v>
      </c>
      <c r="C2944" s="257" t="s">
        <v>7348</v>
      </c>
    </row>
    <row r="2945" spans="1:3">
      <c r="A2945" t="s">
        <v>7349</v>
      </c>
      <c r="C2945" s="257" t="s">
        <v>7350</v>
      </c>
    </row>
    <row r="2946" spans="1:3">
      <c r="A2946" t="s">
        <v>7351</v>
      </c>
      <c r="C2946" s="257" t="s">
        <v>7352</v>
      </c>
    </row>
    <row r="2947" spans="1:3">
      <c r="A2947" t="s">
        <v>7353</v>
      </c>
      <c r="C2947" s="257" t="s">
        <v>7354</v>
      </c>
    </row>
    <row r="2948" spans="1:3">
      <c r="A2948" t="s">
        <v>7355</v>
      </c>
      <c r="C2948" s="257" t="s">
        <v>7356</v>
      </c>
    </row>
    <row r="2949" spans="1:3">
      <c r="A2949" t="s">
        <v>7357</v>
      </c>
      <c r="C2949" s="257" t="s">
        <v>7358</v>
      </c>
    </row>
    <row r="2950" spans="1:3">
      <c r="A2950" t="s">
        <v>7359</v>
      </c>
      <c r="C2950" s="257" t="s">
        <v>7360</v>
      </c>
    </row>
    <row r="2951" spans="1:3">
      <c r="A2951" t="s">
        <v>7361</v>
      </c>
      <c r="C2951" s="257" t="s">
        <v>7362</v>
      </c>
    </row>
    <row r="2952" spans="1:3">
      <c r="A2952" t="s">
        <v>7363</v>
      </c>
      <c r="C2952" s="257" t="s">
        <v>7364</v>
      </c>
    </row>
    <row r="2953" spans="1:3">
      <c r="A2953" t="s">
        <v>7365</v>
      </c>
      <c r="B2953" t="s">
        <v>7366</v>
      </c>
      <c r="C2953" t="s">
        <v>7367</v>
      </c>
    </row>
    <row r="2954" spans="1:3">
      <c r="A2954" t="s">
        <v>7368</v>
      </c>
      <c r="B2954" t="s">
        <v>7369</v>
      </c>
      <c r="C2954" t="s">
        <v>7370</v>
      </c>
    </row>
    <row r="2955" spans="1:3">
      <c r="A2955" t="s">
        <v>7371</v>
      </c>
      <c r="B2955" t="s">
        <v>7372</v>
      </c>
      <c r="C2955" t="s">
        <v>7373</v>
      </c>
    </row>
    <row r="2956" spans="1:3">
      <c r="A2956" t="s">
        <v>7374</v>
      </c>
      <c r="B2956" t="s">
        <v>7375</v>
      </c>
      <c r="C2956" t="s">
        <v>7376</v>
      </c>
    </row>
    <row r="2957" spans="1:3">
      <c r="A2957" t="s">
        <v>7377</v>
      </c>
      <c r="B2957" t="s">
        <v>7378</v>
      </c>
      <c r="C2957" t="s">
        <v>7379</v>
      </c>
    </row>
    <row r="2958" spans="1:3">
      <c r="A2958" t="s">
        <v>7380</v>
      </c>
      <c r="B2958" t="s">
        <v>7381</v>
      </c>
      <c r="C2958" t="s">
        <v>7382</v>
      </c>
    </row>
    <row r="2959" spans="1:3">
      <c r="A2959" t="s">
        <v>7383</v>
      </c>
      <c r="B2959" t="s">
        <v>7384</v>
      </c>
      <c r="C2959" t="s">
        <v>7385</v>
      </c>
    </row>
    <row r="2960" spans="1:3">
      <c r="A2960" t="s">
        <v>7386</v>
      </c>
      <c r="B2960" t="s">
        <v>7387</v>
      </c>
      <c r="C2960" t="s">
        <v>7388</v>
      </c>
    </row>
    <row r="2961" spans="1:3">
      <c r="A2961" t="s">
        <v>7389</v>
      </c>
      <c r="B2961" t="s">
        <v>7390</v>
      </c>
      <c r="C2961" t="s">
        <v>7391</v>
      </c>
    </row>
    <row r="2962" spans="1:3">
      <c r="A2962" t="s">
        <v>7392</v>
      </c>
      <c r="B2962" t="s">
        <v>7393</v>
      </c>
      <c r="C2962" t="s">
        <v>7394</v>
      </c>
    </row>
    <row r="2963" spans="1:3">
      <c r="A2963" t="s">
        <v>7395</v>
      </c>
      <c r="B2963" t="s">
        <v>7396</v>
      </c>
      <c r="C2963" t="s">
        <v>7397</v>
      </c>
    </row>
    <row r="2964" spans="1:3">
      <c r="A2964" t="s">
        <v>7398</v>
      </c>
      <c r="B2964" t="s">
        <v>7399</v>
      </c>
      <c r="C2964" t="s">
        <v>7400</v>
      </c>
    </row>
    <row r="2965" spans="1:3">
      <c r="A2965" t="s">
        <v>7401</v>
      </c>
      <c r="B2965" t="s">
        <v>7402</v>
      </c>
      <c r="C2965" t="s">
        <v>7403</v>
      </c>
    </row>
    <row r="2966" spans="1:3">
      <c r="A2966" t="s">
        <v>7404</v>
      </c>
      <c r="B2966" t="s">
        <v>7327</v>
      </c>
      <c r="C2966" t="s">
        <v>7405</v>
      </c>
    </row>
    <row r="2967" spans="1:3">
      <c r="A2967" t="s">
        <v>7406</v>
      </c>
      <c r="B2967" t="s">
        <v>7407</v>
      </c>
      <c r="C2967" t="s">
        <v>7408</v>
      </c>
    </row>
    <row r="2968" spans="1:3">
      <c r="A2968" t="s">
        <v>7409</v>
      </c>
      <c r="B2968" t="s">
        <v>7410</v>
      </c>
      <c r="C2968" t="s">
        <v>7411</v>
      </c>
    </row>
    <row r="2969" spans="1:3">
      <c r="A2969" t="s">
        <v>7412</v>
      </c>
      <c r="B2969" t="s">
        <v>7413</v>
      </c>
      <c r="C2969" t="s">
        <v>7414</v>
      </c>
    </row>
    <row r="2970" spans="1:3">
      <c r="A2970" t="s">
        <v>7415</v>
      </c>
      <c r="B2970" t="s">
        <v>7416</v>
      </c>
      <c r="C2970" t="s">
        <v>7417</v>
      </c>
    </row>
    <row r="2971" spans="1:3">
      <c r="A2971" t="s">
        <v>7418</v>
      </c>
      <c r="B2971" t="s">
        <v>7419</v>
      </c>
      <c r="C2971" t="s">
        <v>7420</v>
      </c>
    </row>
    <row r="2972" spans="1:3">
      <c r="A2972" t="s">
        <v>7421</v>
      </c>
      <c r="B2972" t="s">
        <v>7422</v>
      </c>
      <c r="C2972" t="s">
        <v>7423</v>
      </c>
    </row>
    <row r="2973" spans="1:3">
      <c r="A2973" t="s">
        <v>7424</v>
      </c>
      <c r="B2973" t="s">
        <v>7425</v>
      </c>
      <c r="C2973" t="s">
        <v>7426</v>
      </c>
    </row>
    <row r="2974" spans="1:3">
      <c r="A2974" t="s">
        <v>7427</v>
      </c>
      <c r="B2974" t="s">
        <v>7428</v>
      </c>
      <c r="C2974" t="s">
        <v>7429</v>
      </c>
    </row>
    <row r="2975" spans="1:3">
      <c r="A2975" t="s">
        <v>7430</v>
      </c>
      <c r="B2975" t="s">
        <v>7431</v>
      </c>
      <c r="C2975" t="s">
        <v>7432</v>
      </c>
    </row>
    <row r="2976" spans="1:3">
      <c r="A2976" t="s">
        <v>7433</v>
      </c>
      <c r="B2976" t="s">
        <v>7434</v>
      </c>
      <c r="C2976" t="s">
        <v>7435</v>
      </c>
    </row>
    <row r="2977" spans="1:3">
      <c r="A2977" t="s">
        <v>7436</v>
      </c>
      <c r="B2977" t="s">
        <v>7437</v>
      </c>
      <c r="C2977" t="s">
        <v>7438</v>
      </c>
    </row>
    <row r="2978" spans="1:3">
      <c r="A2978" t="s">
        <v>7439</v>
      </c>
      <c r="B2978" t="s">
        <v>7440</v>
      </c>
      <c r="C2978" t="s">
        <v>7441</v>
      </c>
    </row>
    <row r="2979" spans="1:3">
      <c r="A2979" t="s">
        <v>7442</v>
      </c>
      <c r="B2979" t="s">
        <v>7443</v>
      </c>
      <c r="C2979" t="s">
        <v>7444</v>
      </c>
    </row>
    <row r="2980" spans="1:3">
      <c r="A2980" t="s">
        <v>7445</v>
      </c>
      <c r="B2980" t="s">
        <v>7446</v>
      </c>
      <c r="C2980" t="s">
        <v>7447</v>
      </c>
    </row>
    <row r="2981" spans="1:3">
      <c r="A2981" t="s">
        <v>7448</v>
      </c>
      <c r="B2981" t="s">
        <v>7449</v>
      </c>
      <c r="C2981" t="s">
        <v>7450</v>
      </c>
    </row>
    <row r="2982" spans="1:3">
      <c r="A2982" t="s">
        <v>7451</v>
      </c>
      <c r="B2982" t="s">
        <v>7452</v>
      </c>
      <c r="C2982" t="s">
        <v>7453</v>
      </c>
    </row>
    <row r="2983" spans="1:3">
      <c r="A2983" t="s">
        <v>7454</v>
      </c>
      <c r="B2983" t="s">
        <v>7455</v>
      </c>
      <c r="C2983" t="s">
        <v>7456</v>
      </c>
    </row>
    <row r="2984" spans="1:3">
      <c r="A2984" t="s">
        <v>7457</v>
      </c>
      <c r="B2984" t="s">
        <v>7458</v>
      </c>
      <c r="C2984" t="s">
        <v>7459</v>
      </c>
    </row>
    <row r="2985" spans="1:3">
      <c r="A2985" t="s">
        <v>7460</v>
      </c>
      <c r="B2985" t="s">
        <v>7461</v>
      </c>
      <c r="C2985" t="s">
        <v>7462</v>
      </c>
    </row>
    <row r="2986" spans="1:3">
      <c r="A2986" t="s">
        <v>7463</v>
      </c>
      <c r="B2986" t="s">
        <v>7464</v>
      </c>
      <c r="C2986" t="s">
        <v>7465</v>
      </c>
    </row>
    <row r="2987" spans="1:3">
      <c r="A2987" t="s">
        <v>7466</v>
      </c>
      <c r="B2987" t="s">
        <v>7467</v>
      </c>
      <c r="C2987" t="s">
        <v>7468</v>
      </c>
    </row>
    <row r="2988" spans="1:3">
      <c r="A2988" t="s">
        <v>7469</v>
      </c>
      <c r="B2988" t="s">
        <v>7470</v>
      </c>
      <c r="C2988" t="s">
        <v>7471</v>
      </c>
    </row>
    <row r="2989" spans="1:3">
      <c r="A2989" t="s">
        <v>7472</v>
      </c>
      <c r="B2989" t="s">
        <v>7473</v>
      </c>
      <c r="C2989" t="s">
        <v>7474</v>
      </c>
    </row>
    <row r="2990" spans="1:3">
      <c r="A2990" t="s">
        <v>7475</v>
      </c>
      <c r="B2990" t="s">
        <v>7476</v>
      </c>
      <c r="C2990" t="s">
        <v>7477</v>
      </c>
    </row>
    <row r="2991" spans="1:3">
      <c r="A2991" t="s">
        <v>7478</v>
      </c>
      <c r="B2991" t="s">
        <v>7479</v>
      </c>
      <c r="C2991" t="s">
        <v>7480</v>
      </c>
    </row>
    <row r="2992" spans="1:3">
      <c r="A2992" t="s">
        <v>7481</v>
      </c>
      <c r="B2992" t="s">
        <v>7482</v>
      </c>
      <c r="C2992" t="s">
        <v>7483</v>
      </c>
    </row>
    <row r="2993" spans="1:3">
      <c r="A2993" t="s">
        <v>7484</v>
      </c>
      <c r="B2993" t="s">
        <v>7485</v>
      </c>
      <c r="C2993" t="s">
        <v>7486</v>
      </c>
    </row>
    <row r="2994" spans="1:3">
      <c r="A2994" t="s">
        <v>7487</v>
      </c>
      <c r="B2994" t="s">
        <v>7488</v>
      </c>
      <c r="C2994" t="s">
        <v>7489</v>
      </c>
    </row>
    <row r="2995" spans="1:3">
      <c r="A2995" t="s">
        <v>7490</v>
      </c>
      <c r="B2995" t="s">
        <v>7491</v>
      </c>
      <c r="C2995" t="s">
        <v>7492</v>
      </c>
    </row>
    <row r="2996" spans="1:3">
      <c r="A2996" t="s">
        <v>7493</v>
      </c>
      <c r="C2996" s="257" t="s">
        <v>7494</v>
      </c>
    </row>
    <row r="2997" spans="1:3">
      <c r="A2997" t="s">
        <v>7495</v>
      </c>
      <c r="B2997" t="s">
        <v>7496</v>
      </c>
      <c r="C2997" t="s">
        <v>7497</v>
      </c>
    </row>
    <row r="2998" spans="1:3">
      <c r="A2998" t="s">
        <v>7498</v>
      </c>
      <c r="B2998" t="s">
        <v>7499</v>
      </c>
      <c r="C2998" t="s">
        <v>7500</v>
      </c>
    </row>
    <row r="2999" spans="1:3">
      <c r="A2999" t="s">
        <v>7501</v>
      </c>
      <c r="B2999" t="s">
        <v>7502</v>
      </c>
      <c r="C2999" t="s">
        <v>7503</v>
      </c>
    </row>
    <row r="3000" spans="1:3">
      <c r="A3000" t="s">
        <v>7504</v>
      </c>
      <c r="B3000" t="s">
        <v>7505</v>
      </c>
      <c r="C3000" t="s">
        <v>7506</v>
      </c>
    </row>
    <row r="3001" spans="1:3">
      <c r="A3001" t="s">
        <v>7507</v>
      </c>
      <c r="B3001" t="s">
        <v>7508</v>
      </c>
      <c r="C3001" t="s">
        <v>7509</v>
      </c>
    </row>
    <row r="3002" spans="1:3">
      <c r="A3002" s="50" t="s">
        <v>7510</v>
      </c>
      <c r="B3002" s="50"/>
      <c r="C3002" s="257" t="s">
        <v>7511</v>
      </c>
    </row>
    <row r="3003" spans="1:3">
      <c r="A3003" t="s">
        <v>7512</v>
      </c>
      <c r="C3003" s="257" t="s">
        <v>7513</v>
      </c>
    </row>
    <row r="3004" spans="1:3">
      <c r="A3004" t="s">
        <v>7514</v>
      </c>
      <c r="C3004" s="257" t="s">
        <v>7515</v>
      </c>
    </row>
    <row r="3005" spans="1:3">
      <c r="A3005" t="s">
        <v>7516</v>
      </c>
      <c r="C3005" s="257" t="s">
        <v>7517</v>
      </c>
    </row>
    <row r="3006" spans="1:3">
      <c r="A3006" s="50" t="s">
        <v>7518</v>
      </c>
      <c r="B3006" s="50"/>
      <c r="C3006" s="257" t="s">
        <v>7519</v>
      </c>
    </row>
    <row r="3007" spans="1:3">
      <c r="A3007" s="50" t="s">
        <v>7520</v>
      </c>
      <c r="B3007" s="50"/>
      <c r="C3007" s="257" t="s">
        <v>7521</v>
      </c>
    </row>
    <row r="3008" spans="1:3">
      <c r="A3008" s="50" t="s">
        <v>7522</v>
      </c>
      <c r="B3008" s="50"/>
      <c r="C3008" s="257" t="s">
        <v>7523</v>
      </c>
    </row>
    <row r="3009" spans="1:3">
      <c r="A3009" s="50" t="s">
        <v>7524</v>
      </c>
      <c r="B3009" s="50"/>
      <c r="C3009" s="257" t="s">
        <v>7525</v>
      </c>
    </row>
    <row r="3010" spans="1:3">
      <c r="A3010" s="50" t="s">
        <v>7526</v>
      </c>
      <c r="B3010" s="50"/>
      <c r="C3010" s="257" t="s">
        <v>7527</v>
      </c>
    </row>
    <row r="3011" spans="1:3">
      <c r="A3011" t="s">
        <v>7528</v>
      </c>
      <c r="B3011" t="s">
        <v>7529</v>
      </c>
      <c r="C3011" s="74" t="s">
        <v>7530</v>
      </c>
    </row>
    <row r="3012" spans="1:3">
      <c r="A3012" t="s">
        <v>7531</v>
      </c>
      <c r="B3012" t="s">
        <v>7532</v>
      </c>
      <c r="C3012" t="s">
        <v>7533</v>
      </c>
    </row>
    <row r="3013" spans="1:3">
      <c r="A3013" t="s">
        <v>7534</v>
      </c>
      <c r="B3013" t="s">
        <v>7535</v>
      </c>
      <c r="C3013" t="s">
        <v>7536</v>
      </c>
    </row>
    <row r="3014" spans="1:3">
      <c r="A3014" s="50" t="s">
        <v>7537</v>
      </c>
      <c r="B3014" s="50"/>
      <c r="C3014" s="257" t="s">
        <v>7538</v>
      </c>
    </row>
    <row r="3015" spans="1:3">
      <c r="A3015" t="s">
        <v>7539</v>
      </c>
      <c r="B3015" t="s">
        <v>7540</v>
      </c>
      <c r="C3015" s="74" t="s">
        <v>7541</v>
      </c>
    </row>
    <row r="3016" spans="1:3">
      <c r="A3016" t="s">
        <v>7542</v>
      </c>
      <c r="B3016" t="s">
        <v>7543</v>
      </c>
      <c r="C3016" s="74" t="s">
        <v>7544</v>
      </c>
    </row>
    <row r="3017" spans="1:3">
      <c r="A3017" s="50" t="s">
        <v>7545</v>
      </c>
      <c r="B3017" t="s">
        <v>7546</v>
      </c>
      <c r="C3017" s="74" t="s">
        <v>7547</v>
      </c>
    </row>
    <row r="3018" spans="1:3">
      <c r="A3018" t="s">
        <v>7548</v>
      </c>
      <c r="B3018" t="s">
        <v>7549</v>
      </c>
      <c r="C3018" t="s">
        <v>7550</v>
      </c>
    </row>
    <row r="3019" spans="1:3">
      <c r="A3019" s="50" t="s">
        <v>7551</v>
      </c>
      <c r="B3019" s="50"/>
      <c r="C3019" s="257" t="s">
        <v>7552</v>
      </c>
    </row>
    <row r="3020" spans="1:3">
      <c r="A3020" s="50" t="s">
        <v>7553</v>
      </c>
      <c r="B3020" t="s">
        <v>7554</v>
      </c>
      <c r="C3020" s="74" t="s">
        <v>7555</v>
      </c>
    </row>
    <row r="3021" spans="1:3">
      <c r="A3021" s="50" t="s">
        <v>7556</v>
      </c>
      <c r="B3021" t="s">
        <v>7557</v>
      </c>
      <c r="C3021" s="74" t="s">
        <v>7558</v>
      </c>
    </row>
    <row r="3022" spans="1:3">
      <c r="A3022" s="50" t="s">
        <v>7559</v>
      </c>
      <c r="B3022" t="s">
        <v>7560</v>
      </c>
      <c r="C3022" s="74" t="s">
        <v>7561</v>
      </c>
    </row>
    <row r="3023" spans="1:3">
      <c r="A3023" s="50" t="s">
        <v>7562</v>
      </c>
      <c r="B3023" t="s">
        <v>7563</v>
      </c>
      <c r="C3023" s="74" t="s">
        <v>7564</v>
      </c>
    </row>
    <row r="3024" spans="1:3">
      <c r="A3024" s="50" t="s">
        <v>7565</v>
      </c>
      <c r="B3024" t="s">
        <v>7566</v>
      </c>
      <c r="C3024" s="74" t="s">
        <v>7567</v>
      </c>
    </row>
    <row r="3025" spans="1:3">
      <c r="A3025" s="50" t="s">
        <v>7568</v>
      </c>
      <c r="B3025" t="s">
        <v>7569</v>
      </c>
      <c r="C3025" s="74" t="s">
        <v>7570</v>
      </c>
    </row>
    <row r="3026" spans="1:3">
      <c r="A3026" s="50" t="s">
        <v>7571</v>
      </c>
      <c r="B3026" t="s">
        <v>7572</v>
      </c>
      <c r="C3026" s="74" t="s">
        <v>7573</v>
      </c>
    </row>
    <row r="3027" spans="1:3">
      <c r="A3027" s="50" t="s">
        <v>7574</v>
      </c>
      <c r="B3027" t="s">
        <v>7575</v>
      </c>
      <c r="C3027" s="74" t="s">
        <v>7576</v>
      </c>
    </row>
    <row r="3028" spans="1:3">
      <c r="A3028" s="50" t="s">
        <v>7577</v>
      </c>
      <c r="B3028" s="50"/>
      <c r="C3028" s="257" t="s">
        <v>7578</v>
      </c>
    </row>
    <row r="3029" spans="1:3">
      <c r="A3029" s="50" t="s">
        <v>7579</v>
      </c>
      <c r="B3029" s="50"/>
      <c r="C3029" s="257" t="s">
        <v>7580</v>
      </c>
    </row>
    <row r="3030" spans="1:3">
      <c r="A3030" s="50" t="s">
        <v>7581</v>
      </c>
      <c r="B3030" s="50"/>
      <c r="C3030" s="257" t="s">
        <v>7582</v>
      </c>
    </row>
    <row r="3031" spans="1:3">
      <c r="A3031" s="50" t="s">
        <v>7583</v>
      </c>
      <c r="B3031" s="50"/>
      <c r="C3031" s="257" t="s">
        <v>7584</v>
      </c>
    </row>
    <row r="3032" spans="1:3">
      <c r="A3032" s="50" t="s">
        <v>7585</v>
      </c>
      <c r="B3032" s="50"/>
      <c r="C3032" s="257" t="s">
        <v>7586</v>
      </c>
    </row>
    <row r="3033" spans="1:3">
      <c r="A3033" s="50" t="s">
        <v>7587</v>
      </c>
      <c r="B3033" s="50"/>
      <c r="C3033" s="257" t="s">
        <v>7588</v>
      </c>
    </row>
    <row r="3034" spans="1:3">
      <c r="A3034" s="50" t="s">
        <v>7589</v>
      </c>
      <c r="B3034" s="50"/>
      <c r="C3034" s="257" t="s">
        <v>7590</v>
      </c>
    </row>
    <row r="3035" spans="1:3">
      <c r="A3035" t="s">
        <v>7591</v>
      </c>
      <c r="B3035" t="s">
        <v>7592</v>
      </c>
      <c r="C3035" t="s">
        <v>7593</v>
      </c>
    </row>
    <row r="3036" spans="1:3">
      <c r="A3036" t="s">
        <v>7594</v>
      </c>
      <c r="B3036" t="s">
        <v>7595</v>
      </c>
      <c r="C3036" t="s">
        <v>7596</v>
      </c>
    </row>
    <row r="3037" spans="1:3">
      <c r="A3037" t="s">
        <v>7597</v>
      </c>
      <c r="B3037" t="s">
        <v>7598</v>
      </c>
      <c r="C3037" t="s">
        <v>7599</v>
      </c>
    </row>
    <row r="3038" spans="1:3">
      <c r="A3038" t="s">
        <v>7600</v>
      </c>
      <c r="B3038" t="s">
        <v>7601</v>
      </c>
      <c r="C3038" t="s">
        <v>7602</v>
      </c>
    </row>
    <row r="3039" spans="1:3">
      <c r="A3039" t="s">
        <v>7603</v>
      </c>
      <c r="B3039" t="s">
        <v>7604</v>
      </c>
      <c r="C3039" t="s">
        <v>7605</v>
      </c>
    </row>
    <row r="3040" spans="1:3">
      <c r="A3040" t="s">
        <v>7606</v>
      </c>
      <c r="B3040" t="s">
        <v>7607</v>
      </c>
      <c r="C3040" t="s">
        <v>7608</v>
      </c>
    </row>
    <row r="3041" spans="1:3">
      <c r="A3041" t="s">
        <v>7609</v>
      </c>
      <c r="B3041" t="s">
        <v>7610</v>
      </c>
      <c r="C3041" t="s">
        <v>7611</v>
      </c>
    </row>
    <row r="3042" spans="1:3">
      <c r="A3042" t="s">
        <v>7612</v>
      </c>
      <c r="B3042" t="s">
        <v>7613</v>
      </c>
      <c r="C3042" t="s">
        <v>7614</v>
      </c>
    </row>
    <row r="3043" spans="1:3">
      <c r="A3043" t="s">
        <v>7615</v>
      </c>
      <c r="B3043" t="s">
        <v>7616</v>
      </c>
      <c r="C3043" t="s">
        <v>7617</v>
      </c>
    </row>
    <row r="3044" spans="1:3">
      <c r="A3044" t="s">
        <v>7618</v>
      </c>
      <c r="B3044" t="s">
        <v>7619</v>
      </c>
      <c r="C3044" t="s">
        <v>7611</v>
      </c>
    </row>
    <row r="3045" spans="1:3">
      <c r="A3045" t="s">
        <v>7620</v>
      </c>
      <c r="B3045" t="s">
        <v>7621</v>
      </c>
      <c r="C3045" t="s">
        <v>7622</v>
      </c>
    </row>
    <row r="3046" spans="1:3">
      <c r="A3046" t="s">
        <v>7623</v>
      </c>
      <c r="B3046" t="s">
        <v>7624</v>
      </c>
      <c r="C3046" t="s">
        <v>7625</v>
      </c>
    </row>
    <row r="3047" spans="1:3">
      <c r="A3047" s="50" t="s">
        <v>7626</v>
      </c>
      <c r="B3047" s="50"/>
      <c r="C3047" s="258" t="s">
        <v>7627</v>
      </c>
    </row>
    <row r="3048" spans="1:3">
      <c r="A3048" s="50" t="s">
        <v>7626</v>
      </c>
      <c r="B3048" s="50"/>
      <c r="C3048" s="258" t="s">
        <v>7628</v>
      </c>
    </row>
    <row r="3049" spans="1:3">
      <c r="A3049" s="50" t="s">
        <v>7626</v>
      </c>
      <c r="B3049" s="50"/>
      <c r="C3049" s="258" t="s">
        <v>7629</v>
      </c>
    </row>
    <row r="3050" spans="1:3">
      <c r="A3050" s="50" t="s">
        <v>7626</v>
      </c>
      <c r="B3050" s="50"/>
      <c r="C3050" s="258" t="s">
        <v>7630</v>
      </c>
    </row>
    <row r="3051" spans="1:3">
      <c r="A3051" s="50" t="s">
        <v>7626</v>
      </c>
      <c r="B3051" s="50"/>
      <c r="C3051" s="258" t="s">
        <v>7631</v>
      </c>
    </row>
    <row r="3052" spans="1:3">
      <c r="A3052" s="50" t="s">
        <v>7626</v>
      </c>
      <c r="B3052" s="50"/>
      <c r="C3052" s="258" t="s">
        <v>7632</v>
      </c>
    </row>
    <row r="3053" spans="1:3">
      <c r="A3053" s="50" t="s">
        <v>7626</v>
      </c>
      <c r="B3053" s="50"/>
      <c r="C3053" s="258" t="s">
        <v>7633</v>
      </c>
    </row>
    <row r="3054" spans="1:3">
      <c r="A3054" s="50" t="s">
        <v>7626</v>
      </c>
      <c r="B3054" s="50"/>
      <c r="C3054" s="258" t="s">
        <v>7634</v>
      </c>
    </row>
    <row r="3055" spans="1:3">
      <c r="A3055" s="50" t="s">
        <v>7626</v>
      </c>
      <c r="B3055" s="50"/>
      <c r="C3055" s="258" t="s">
        <v>7635</v>
      </c>
    </row>
    <row r="3056" spans="1:3">
      <c r="A3056" s="50" t="s">
        <v>7626</v>
      </c>
      <c r="B3056" s="50"/>
      <c r="C3056" s="258" t="s">
        <v>7636</v>
      </c>
    </row>
    <row r="3057" spans="1:3">
      <c r="A3057" s="50" t="s">
        <v>7626</v>
      </c>
      <c r="B3057" s="50"/>
      <c r="C3057" s="258" t="s">
        <v>7637</v>
      </c>
    </row>
    <row r="3058" spans="1:3">
      <c r="A3058" s="50" t="s">
        <v>7626</v>
      </c>
      <c r="B3058" s="50"/>
      <c r="C3058" s="258" t="s">
        <v>7638</v>
      </c>
    </row>
    <row r="3059" spans="1:3">
      <c r="A3059" s="50" t="s">
        <v>7626</v>
      </c>
      <c r="B3059" s="50"/>
      <c r="C3059" s="258" t="s">
        <v>7639</v>
      </c>
    </row>
    <row r="3060" spans="1:3">
      <c r="A3060" s="50" t="s">
        <v>7626</v>
      </c>
      <c r="B3060" s="50"/>
      <c r="C3060" s="258" t="s">
        <v>7640</v>
      </c>
    </row>
    <row r="3061" spans="1:3">
      <c r="A3061" s="50" t="s">
        <v>7626</v>
      </c>
      <c r="B3061" s="50"/>
      <c r="C3061" s="258" t="s">
        <v>7641</v>
      </c>
    </row>
    <row r="3062" spans="1:3">
      <c r="A3062" s="50" t="s">
        <v>7626</v>
      </c>
      <c r="B3062" s="50"/>
      <c r="C3062" s="258" t="s">
        <v>7642</v>
      </c>
    </row>
    <row r="3063" spans="1:3">
      <c r="A3063" s="50" t="s">
        <v>7626</v>
      </c>
      <c r="B3063" s="50"/>
      <c r="C3063" s="258" t="s">
        <v>7643</v>
      </c>
    </row>
    <row r="3064" spans="1:3">
      <c r="A3064" t="s">
        <v>7644</v>
      </c>
      <c r="B3064" t="s">
        <v>7645</v>
      </c>
      <c r="C3064" t="s">
        <v>7646</v>
      </c>
    </row>
    <row r="3065" spans="1:3">
      <c r="A3065" t="s">
        <v>7647</v>
      </c>
      <c r="B3065" t="s">
        <v>7648</v>
      </c>
      <c r="C3065" s="74" t="s">
        <v>7649</v>
      </c>
    </row>
    <row r="3066" spans="1:3">
      <c r="A3066" t="s">
        <v>7650</v>
      </c>
      <c r="B3066" t="s">
        <v>7651</v>
      </c>
      <c r="C3066" s="74" t="s">
        <v>7652</v>
      </c>
    </row>
    <row r="3067" spans="1:3">
      <c r="A3067" t="s">
        <v>7653</v>
      </c>
      <c r="B3067" t="s">
        <v>7654</v>
      </c>
      <c r="C3067" s="74" t="s">
        <v>7655</v>
      </c>
    </row>
    <row r="3068" spans="1:3">
      <c r="A3068" t="s">
        <v>7656</v>
      </c>
      <c r="B3068" t="s">
        <v>7657</v>
      </c>
      <c r="C3068" s="74" t="s">
        <v>7658</v>
      </c>
    </row>
    <row r="3069" spans="1:3">
      <c r="A3069" t="s">
        <v>7659</v>
      </c>
      <c r="B3069" t="s">
        <v>7660</v>
      </c>
      <c r="C3069" t="s">
        <v>7661</v>
      </c>
    </row>
    <row r="3070" spans="1:3">
      <c r="A3070" t="s">
        <v>7662</v>
      </c>
      <c r="B3070" t="s">
        <v>7663</v>
      </c>
      <c r="C3070" t="s">
        <v>7664</v>
      </c>
    </row>
    <row r="3071" spans="1:3">
      <c r="A3071" t="s">
        <v>7665</v>
      </c>
      <c r="B3071" t="s">
        <v>7666</v>
      </c>
      <c r="C3071" t="s">
        <v>7667</v>
      </c>
    </row>
    <row r="3072" spans="1:3">
      <c r="A3072" t="s">
        <v>7668</v>
      </c>
      <c r="B3072" t="s">
        <v>7669</v>
      </c>
      <c r="C3072" t="s">
        <v>7670</v>
      </c>
    </row>
    <row r="3073" spans="1:3">
      <c r="A3073" t="s">
        <v>7671</v>
      </c>
      <c r="B3073" t="s">
        <v>7672</v>
      </c>
      <c r="C3073" t="s">
        <v>7673</v>
      </c>
    </row>
    <row r="3074" spans="1:3">
      <c r="A3074" t="s">
        <v>7674</v>
      </c>
      <c r="B3074" t="s">
        <v>7675</v>
      </c>
      <c r="C3074" t="s">
        <v>7676</v>
      </c>
    </row>
    <row r="3075" spans="1:3">
      <c r="A3075" t="s">
        <v>7677</v>
      </c>
      <c r="B3075" t="s">
        <v>7678</v>
      </c>
      <c r="C3075" t="s">
        <v>7679</v>
      </c>
    </row>
    <row r="3076" spans="1:3">
      <c r="A3076" t="s">
        <v>7680</v>
      </c>
      <c r="B3076" t="s">
        <v>7681</v>
      </c>
      <c r="C3076" t="s">
        <v>7682</v>
      </c>
    </row>
    <row r="3077" spans="1:3">
      <c r="A3077" t="s">
        <v>7683</v>
      </c>
      <c r="B3077" t="s">
        <v>7684</v>
      </c>
      <c r="C3077" s="74" t="s">
        <v>7685</v>
      </c>
    </row>
    <row r="3078" spans="1:3">
      <c r="A3078" t="s">
        <v>7686</v>
      </c>
      <c r="B3078" t="s">
        <v>7687</v>
      </c>
      <c r="C3078" s="74" t="s">
        <v>7688</v>
      </c>
    </row>
    <row r="3079" spans="1:3">
      <c r="A3079" t="s">
        <v>7689</v>
      </c>
      <c r="B3079" t="s">
        <v>7690</v>
      </c>
      <c r="C3079" s="74" t="s">
        <v>7691</v>
      </c>
    </row>
    <row r="3080" spans="1:3">
      <c r="A3080" t="s">
        <v>7692</v>
      </c>
      <c r="B3080" t="s">
        <v>7693</v>
      </c>
      <c r="C3080" s="74" t="s">
        <v>7694</v>
      </c>
    </row>
    <row r="3081" spans="1:3">
      <c r="A3081" t="s">
        <v>7695</v>
      </c>
      <c r="B3081" t="s">
        <v>7696</v>
      </c>
      <c r="C3081" s="74" t="s">
        <v>7697</v>
      </c>
    </row>
    <row r="3082" spans="1:3">
      <c r="A3082" t="s">
        <v>7698</v>
      </c>
      <c r="B3082" t="s">
        <v>7699</v>
      </c>
      <c r="C3082" t="s">
        <v>7700</v>
      </c>
    </row>
    <row r="3083" spans="1:3">
      <c r="A3083" t="s">
        <v>7701</v>
      </c>
      <c r="B3083" t="s">
        <v>7702</v>
      </c>
      <c r="C3083" t="s">
        <v>7703</v>
      </c>
    </row>
    <row r="3084" spans="1:3">
      <c r="A3084" t="s">
        <v>7704</v>
      </c>
      <c r="B3084" t="s">
        <v>7705</v>
      </c>
      <c r="C3084" t="s">
        <v>7706</v>
      </c>
    </row>
    <row r="3085" spans="1:3">
      <c r="A3085" t="s">
        <v>7707</v>
      </c>
      <c r="B3085" t="s">
        <v>7708</v>
      </c>
      <c r="C3085" t="s">
        <v>7709</v>
      </c>
    </row>
    <row r="3086" spans="1:3">
      <c r="A3086" t="s">
        <v>7710</v>
      </c>
      <c r="B3086" t="s">
        <v>7711</v>
      </c>
      <c r="C3086" t="s">
        <v>7712</v>
      </c>
    </row>
    <row r="3087" spans="1:3">
      <c r="A3087" t="s">
        <v>7713</v>
      </c>
      <c r="B3087" t="s">
        <v>7714</v>
      </c>
      <c r="C3087" t="s">
        <v>7715</v>
      </c>
    </row>
    <row r="3088" spans="1:3">
      <c r="A3088" t="s">
        <v>7716</v>
      </c>
      <c r="B3088" t="s">
        <v>7717</v>
      </c>
      <c r="C3088" t="s">
        <v>7718</v>
      </c>
    </row>
    <row r="3089" spans="1:3">
      <c r="A3089" t="s">
        <v>7719</v>
      </c>
      <c r="B3089" t="s">
        <v>7720</v>
      </c>
      <c r="C3089" t="s">
        <v>7721</v>
      </c>
    </row>
    <row r="3090" spans="1:3">
      <c r="A3090" t="s">
        <v>7722</v>
      </c>
      <c r="B3090" t="s">
        <v>7723</v>
      </c>
      <c r="C3090" t="s">
        <v>7724</v>
      </c>
    </row>
    <row r="3091" spans="1:3">
      <c r="A3091" t="s">
        <v>7725</v>
      </c>
      <c r="B3091" t="s">
        <v>7726</v>
      </c>
      <c r="C3091" t="s">
        <v>7727</v>
      </c>
    </row>
    <row r="3092" spans="1:3">
      <c r="A3092" t="s">
        <v>7728</v>
      </c>
      <c r="B3092" t="s">
        <v>7729</v>
      </c>
      <c r="C3092" t="s">
        <v>7730</v>
      </c>
    </row>
    <row r="3093" spans="1:3">
      <c r="A3093" t="s">
        <v>7731</v>
      </c>
      <c r="B3093" t="s">
        <v>7732</v>
      </c>
      <c r="C3093" t="s">
        <v>7733</v>
      </c>
    </row>
    <row r="3094" spans="1:3">
      <c r="A3094" t="s">
        <v>7734</v>
      </c>
      <c r="B3094" t="s">
        <v>7735</v>
      </c>
      <c r="C3094" t="s">
        <v>7736</v>
      </c>
    </row>
    <row r="3095" spans="1:3">
      <c r="A3095" t="s">
        <v>7737</v>
      </c>
      <c r="B3095" t="s">
        <v>7738</v>
      </c>
      <c r="C3095" t="s">
        <v>7739</v>
      </c>
    </row>
    <row r="3096" spans="1:3">
      <c r="A3096" t="s">
        <v>7740</v>
      </c>
      <c r="B3096" t="s">
        <v>7741</v>
      </c>
      <c r="C3096" t="s">
        <v>7742</v>
      </c>
    </row>
    <row r="3097" spans="1:3">
      <c r="A3097" t="s">
        <v>7743</v>
      </c>
      <c r="B3097" t="s">
        <v>7744</v>
      </c>
      <c r="C3097" t="s">
        <v>7745</v>
      </c>
    </row>
    <row r="3098" spans="1:3">
      <c r="A3098" t="s">
        <v>7746</v>
      </c>
      <c r="B3098" t="s">
        <v>7747</v>
      </c>
      <c r="C3098" t="s">
        <v>7748</v>
      </c>
    </row>
    <row r="3099" spans="1:3">
      <c r="A3099" t="s">
        <v>7749</v>
      </c>
      <c r="B3099" t="s">
        <v>7750</v>
      </c>
      <c r="C3099" t="s">
        <v>7751</v>
      </c>
    </row>
    <row r="3100" spans="1:3">
      <c r="A3100" t="s">
        <v>7752</v>
      </c>
      <c r="B3100" t="s">
        <v>7753</v>
      </c>
      <c r="C3100" t="s">
        <v>7754</v>
      </c>
    </row>
    <row r="3101" spans="1:3">
      <c r="A3101" t="s">
        <v>7755</v>
      </c>
      <c r="B3101" t="s">
        <v>7756</v>
      </c>
      <c r="C3101" t="s">
        <v>7757</v>
      </c>
    </row>
    <row r="3102" spans="1:3">
      <c r="A3102" t="s">
        <v>7758</v>
      </c>
      <c r="B3102" t="s">
        <v>7759</v>
      </c>
      <c r="C3102" t="s">
        <v>7760</v>
      </c>
    </row>
    <row r="3103" spans="1:3">
      <c r="A3103" t="s">
        <v>7761</v>
      </c>
      <c r="B3103" t="s">
        <v>7762</v>
      </c>
      <c r="C3103" t="s">
        <v>7763</v>
      </c>
    </row>
    <row r="3104" spans="1:3">
      <c r="A3104" t="s">
        <v>7764</v>
      </c>
      <c r="B3104" t="s">
        <v>7765</v>
      </c>
      <c r="C3104" t="s">
        <v>7766</v>
      </c>
    </row>
    <row r="3105" spans="1:3">
      <c r="A3105" t="s">
        <v>7767</v>
      </c>
      <c r="B3105" t="s">
        <v>7768</v>
      </c>
      <c r="C3105" t="s">
        <v>7769</v>
      </c>
    </row>
    <row r="3106" spans="1:3">
      <c r="A3106" t="s">
        <v>7770</v>
      </c>
      <c r="B3106" t="s">
        <v>7771</v>
      </c>
      <c r="C3106" t="s">
        <v>7772</v>
      </c>
    </row>
    <row r="3107" spans="1:3">
      <c r="A3107" t="s">
        <v>7773</v>
      </c>
      <c r="B3107" t="s">
        <v>7774</v>
      </c>
      <c r="C3107" t="s">
        <v>7775</v>
      </c>
    </row>
    <row r="3108" spans="1:3">
      <c r="A3108" t="s">
        <v>7776</v>
      </c>
      <c r="B3108" t="s">
        <v>7777</v>
      </c>
      <c r="C3108" t="s">
        <v>7778</v>
      </c>
    </row>
    <row r="3109" spans="1:3">
      <c r="A3109" t="s">
        <v>7779</v>
      </c>
      <c r="B3109" t="s">
        <v>7780</v>
      </c>
      <c r="C3109" t="s">
        <v>7781</v>
      </c>
    </row>
    <row r="3110" spans="1:3">
      <c r="A3110" t="s">
        <v>7782</v>
      </c>
      <c r="B3110" t="s">
        <v>7783</v>
      </c>
      <c r="C3110" t="s">
        <v>7784</v>
      </c>
    </row>
    <row r="3111" spans="1:3">
      <c r="A3111" t="s">
        <v>7785</v>
      </c>
      <c r="B3111" t="s">
        <v>7786</v>
      </c>
      <c r="C3111" t="s">
        <v>7787</v>
      </c>
    </row>
    <row r="3112" spans="1:3">
      <c r="A3112" t="s">
        <v>7788</v>
      </c>
      <c r="B3112" t="s">
        <v>7789</v>
      </c>
      <c r="C3112" t="s">
        <v>7790</v>
      </c>
    </row>
    <row r="3113" spans="1:3">
      <c r="A3113" t="s">
        <v>7791</v>
      </c>
      <c r="B3113" t="s">
        <v>7792</v>
      </c>
      <c r="C3113" t="s">
        <v>7793</v>
      </c>
    </row>
    <row r="3114" spans="1:3">
      <c r="A3114" t="s">
        <v>7794</v>
      </c>
      <c r="B3114" t="s">
        <v>7795</v>
      </c>
      <c r="C3114" t="s">
        <v>7796</v>
      </c>
    </row>
    <row r="3115" spans="1:3">
      <c r="A3115" s="50" t="s">
        <v>7797</v>
      </c>
      <c r="B3115" s="50"/>
      <c r="C3115" s="257" t="s">
        <v>7798</v>
      </c>
    </row>
    <row r="3116" spans="1:3">
      <c r="A3116" t="s">
        <v>7799</v>
      </c>
      <c r="B3116" t="s">
        <v>7800</v>
      </c>
      <c r="C3116" t="s">
        <v>7801</v>
      </c>
    </row>
    <row r="3117" spans="1:3">
      <c r="A3117" s="50" t="s">
        <v>7802</v>
      </c>
      <c r="B3117" s="50"/>
      <c r="C3117" s="257" t="s">
        <v>7803</v>
      </c>
    </row>
    <row r="3118" spans="1:3">
      <c r="A3118" s="50" t="s">
        <v>7804</v>
      </c>
      <c r="B3118" s="50"/>
      <c r="C3118" s="257" t="s">
        <v>7805</v>
      </c>
    </row>
    <row r="3119" spans="1:3">
      <c r="A3119" s="50" t="s">
        <v>7806</v>
      </c>
      <c r="B3119" s="50"/>
      <c r="C3119" s="257" t="s">
        <v>7807</v>
      </c>
    </row>
    <row r="3120" spans="1:3">
      <c r="A3120" s="50" t="s">
        <v>7808</v>
      </c>
      <c r="B3120" s="50"/>
      <c r="C3120" s="257" t="s">
        <v>7809</v>
      </c>
    </row>
    <row r="3121" spans="1:3">
      <c r="A3121" t="s">
        <v>7810</v>
      </c>
      <c r="B3121" t="s">
        <v>7811</v>
      </c>
      <c r="C3121" t="s">
        <v>7812</v>
      </c>
    </row>
    <row r="3122" spans="1:3">
      <c r="A3122" t="s">
        <v>7813</v>
      </c>
      <c r="B3122" t="s">
        <v>7814</v>
      </c>
      <c r="C3122" t="s">
        <v>7815</v>
      </c>
    </row>
    <row r="3123" spans="1:3">
      <c r="A3123" t="s">
        <v>7816</v>
      </c>
      <c r="B3123" t="s">
        <v>7817</v>
      </c>
      <c r="C3123" t="s">
        <v>7818</v>
      </c>
    </row>
    <row r="3124" spans="1:3">
      <c r="A3124" t="s">
        <v>7819</v>
      </c>
      <c r="B3124" t="s">
        <v>7820</v>
      </c>
      <c r="C3124" t="s">
        <v>7821</v>
      </c>
    </row>
    <row r="3125" spans="1:3">
      <c r="A3125" t="s">
        <v>7822</v>
      </c>
      <c r="B3125" t="s">
        <v>7823</v>
      </c>
      <c r="C3125" t="s">
        <v>7824</v>
      </c>
    </row>
    <row r="3126" spans="1:3">
      <c r="A3126" s="50" t="s">
        <v>7825</v>
      </c>
      <c r="B3126" s="50"/>
      <c r="C3126" s="257" t="s">
        <v>7826</v>
      </c>
    </row>
    <row r="3127" spans="1:3">
      <c r="A3127" t="s">
        <v>7827</v>
      </c>
      <c r="B3127" t="s">
        <v>7828</v>
      </c>
      <c r="C3127" t="s">
        <v>7829</v>
      </c>
    </row>
    <row r="3128" spans="1:3">
      <c r="A3128" t="s">
        <v>7830</v>
      </c>
      <c r="B3128" t="s">
        <v>7831</v>
      </c>
      <c r="C3128" t="s">
        <v>7832</v>
      </c>
    </row>
    <row r="3129" spans="1:3">
      <c r="A3129" t="s">
        <v>7833</v>
      </c>
      <c r="B3129" t="s">
        <v>7834</v>
      </c>
      <c r="C3129" t="s">
        <v>7835</v>
      </c>
    </row>
    <row r="3130" spans="1:3">
      <c r="A3130" t="s">
        <v>7836</v>
      </c>
      <c r="B3130" t="s">
        <v>7837</v>
      </c>
      <c r="C3130" t="s">
        <v>7838</v>
      </c>
    </row>
    <row r="3131" spans="1:3">
      <c r="A3131" s="50" t="s">
        <v>7839</v>
      </c>
      <c r="B3131" s="50"/>
      <c r="C3131" s="257" t="s">
        <v>7840</v>
      </c>
    </row>
    <row r="3132" spans="1:3">
      <c r="A3132" s="50" t="s">
        <v>7841</v>
      </c>
      <c r="B3132" s="50"/>
      <c r="C3132" s="257" t="s">
        <v>7842</v>
      </c>
    </row>
    <row r="3133" spans="1:3">
      <c r="A3133" s="50" t="s">
        <v>7843</v>
      </c>
      <c r="B3133" s="50"/>
      <c r="C3133" s="258" t="s">
        <v>7844</v>
      </c>
    </row>
    <row r="3134" spans="1:3">
      <c r="A3134" s="50" t="s">
        <v>7843</v>
      </c>
      <c r="B3134" s="50"/>
      <c r="C3134" s="258" t="s">
        <v>7845</v>
      </c>
    </row>
    <row r="3135" spans="1:3">
      <c r="A3135" s="50" t="s">
        <v>7843</v>
      </c>
      <c r="B3135" s="50"/>
      <c r="C3135" s="258" t="s">
        <v>7846</v>
      </c>
    </row>
    <row r="3136" spans="1:3">
      <c r="A3136" s="50" t="s">
        <v>7843</v>
      </c>
      <c r="B3136" s="50"/>
      <c r="C3136" s="258" t="s">
        <v>7847</v>
      </c>
    </row>
    <row r="3137" spans="1:3">
      <c r="A3137" s="50" t="s">
        <v>7843</v>
      </c>
      <c r="B3137" s="50"/>
      <c r="C3137" s="258" t="s">
        <v>7848</v>
      </c>
    </row>
    <row r="3138" spans="1:3">
      <c r="A3138" s="50" t="s">
        <v>7843</v>
      </c>
      <c r="B3138" s="50"/>
      <c r="C3138" s="258" t="s">
        <v>7849</v>
      </c>
    </row>
    <row r="3139" spans="1:3">
      <c r="A3139" s="50" t="s">
        <v>7843</v>
      </c>
      <c r="B3139" s="50"/>
      <c r="C3139" s="258" t="s">
        <v>7850</v>
      </c>
    </row>
    <row r="3140" spans="1:3">
      <c r="A3140" s="50" t="s">
        <v>7843</v>
      </c>
      <c r="B3140" s="50"/>
      <c r="C3140" s="258" t="s">
        <v>7851</v>
      </c>
    </row>
    <row r="3141" spans="1:3">
      <c r="A3141" s="50" t="s">
        <v>7843</v>
      </c>
      <c r="B3141" s="50"/>
      <c r="C3141" s="258" t="s">
        <v>7852</v>
      </c>
    </row>
    <row r="3142" spans="1:3">
      <c r="A3142" s="50" t="s">
        <v>7843</v>
      </c>
      <c r="B3142" s="50"/>
      <c r="C3142" s="258" t="s">
        <v>7853</v>
      </c>
    </row>
    <row r="3143" spans="1:3">
      <c r="A3143" s="50" t="s">
        <v>7843</v>
      </c>
      <c r="B3143" s="50"/>
      <c r="C3143" s="258" t="s">
        <v>7854</v>
      </c>
    </row>
    <row r="3144" spans="1:3">
      <c r="A3144" s="50" t="s">
        <v>7843</v>
      </c>
      <c r="B3144" s="50"/>
      <c r="C3144" s="258" t="s">
        <v>7855</v>
      </c>
    </row>
    <row r="3145" spans="1:3">
      <c r="A3145" s="50" t="s">
        <v>7843</v>
      </c>
      <c r="B3145" s="50"/>
      <c r="C3145" s="258" t="s">
        <v>7856</v>
      </c>
    </row>
    <row r="3146" spans="1:3">
      <c r="A3146" s="50" t="s">
        <v>7843</v>
      </c>
      <c r="B3146" s="50"/>
      <c r="C3146" s="258" t="s">
        <v>7857</v>
      </c>
    </row>
    <row r="3147" spans="1:3">
      <c r="A3147" s="50" t="s">
        <v>7843</v>
      </c>
      <c r="B3147" s="50"/>
      <c r="C3147" s="258" t="s">
        <v>7858</v>
      </c>
    </row>
    <row r="3148" spans="1:3">
      <c r="A3148" s="50" t="s">
        <v>7843</v>
      </c>
      <c r="B3148" s="50"/>
      <c r="C3148" s="258" t="s">
        <v>7859</v>
      </c>
    </row>
    <row r="3149" spans="1:3">
      <c r="A3149" t="s">
        <v>7860</v>
      </c>
      <c r="B3149" t="s">
        <v>7861</v>
      </c>
      <c r="C3149" s="74" t="s">
        <v>7862</v>
      </c>
    </row>
    <row r="3150" spans="1:3">
      <c r="A3150" t="s">
        <v>7863</v>
      </c>
      <c r="B3150" t="s">
        <v>7702</v>
      </c>
      <c r="C3150" t="s">
        <v>7864</v>
      </c>
    </row>
    <row r="3151" spans="1:3">
      <c r="A3151" t="s">
        <v>7865</v>
      </c>
      <c r="B3151" t="s">
        <v>7708</v>
      </c>
      <c r="C3151" t="s">
        <v>7866</v>
      </c>
    </row>
    <row r="3152" spans="1:3">
      <c r="A3152" t="s">
        <v>7867</v>
      </c>
      <c r="B3152" t="s">
        <v>7711</v>
      </c>
      <c r="C3152" t="s">
        <v>7868</v>
      </c>
    </row>
    <row r="3153" spans="1:3">
      <c r="A3153" t="s">
        <v>7869</v>
      </c>
      <c r="B3153" t="s">
        <v>7870</v>
      </c>
      <c r="C3153" t="s">
        <v>7871</v>
      </c>
    </row>
    <row r="3154" spans="1:3">
      <c r="A3154" t="s">
        <v>7872</v>
      </c>
      <c r="B3154" t="s">
        <v>7717</v>
      </c>
      <c r="C3154" t="s">
        <v>7873</v>
      </c>
    </row>
    <row r="3155" spans="1:3">
      <c r="A3155" t="s">
        <v>7874</v>
      </c>
      <c r="B3155" t="s">
        <v>7720</v>
      </c>
      <c r="C3155" t="s">
        <v>7875</v>
      </c>
    </row>
    <row r="3156" spans="1:3">
      <c r="A3156" t="s">
        <v>7876</v>
      </c>
      <c r="B3156" t="s">
        <v>7877</v>
      </c>
      <c r="C3156" t="s">
        <v>7878</v>
      </c>
    </row>
    <row r="3157" spans="1:3">
      <c r="A3157" t="s">
        <v>7879</v>
      </c>
      <c r="B3157" t="s">
        <v>7880</v>
      </c>
      <c r="C3157" t="s">
        <v>7881</v>
      </c>
    </row>
    <row r="3158" spans="1:3">
      <c r="A3158" t="s">
        <v>7882</v>
      </c>
      <c r="B3158" t="s">
        <v>7883</v>
      </c>
      <c r="C3158" t="s">
        <v>7884</v>
      </c>
    </row>
    <row r="3159" spans="1:3">
      <c r="A3159" t="s">
        <v>7885</v>
      </c>
      <c r="B3159" t="s">
        <v>7886</v>
      </c>
      <c r="C3159" t="s">
        <v>7887</v>
      </c>
    </row>
    <row r="3160" spans="1:3">
      <c r="A3160" t="s">
        <v>7888</v>
      </c>
      <c r="B3160" t="s">
        <v>7889</v>
      </c>
      <c r="C3160" t="s">
        <v>7890</v>
      </c>
    </row>
    <row r="3161" spans="1:3">
      <c r="A3161" t="s">
        <v>7891</v>
      </c>
      <c r="B3161" t="s">
        <v>7759</v>
      </c>
      <c r="C3161" t="s">
        <v>7892</v>
      </c>
    </row>
    <row r="3162" spans="1:3">
      <c r="A3162" t="s">
        <v>7893</v>
      </c>
      <c r="B3162" t="s">
        <v>7894</v>
      </c>
      <c r="C3162" t="s">
        <v>7895</v>
      </c>
    </row>
    <row r="3163" spans="1:3">
      <c r="A3163" t="s">
        <v>7896</v>
      </c>
      <c r="B3163" t="s">
        <v>7897</v>
      </c>
      <c r="C3163" t="s">
        <v>7898</v>
      </c>
    </row>
    <row r="3164" spans="1:3">
      <c r="A3164" t="s">
        <v>7899</v>
      </c>
      <c r="B3164" t="s">
        <v>7900</v>
      </c>
      <c r="C3164" t="s">
        <v>7901</v>
      </c>
    </row>
    <row r="3165" spans="1:3">
      <c r="A3165" t="s">
        <v>7902</v>
      </c>
      <c r="B3165" t="s">
        <v>7903</v>
      </c>
      <c r="C3165" t="s">
        <v>7904</v>
      </c>
    </row>
    <row r="3166" spans="1:3">
      <c r="A3166" t="s">
        <v>7905</v>
      </c>
      <c r="B3166" t="s">
        <v>7906</v>
      </c>
      <c r="C3166" s="74" t="s">
        <v>7907</v>
      </c>
    </row>
    <row r="3167" spans="1:3">
      <c r="A3167" t="s">
        <v>7908</v>
      </c>
      <c r="B3167" t="s">
        <v>7909</v>
      </c>
      <c r="C3167" t="s">
        <v>7910</v>
      </c>
    </row>
    <row r="3168" spans="1:3">
      <c r="A3168" t="s">
        <v>7911</v>
      </c>
      <c r="B3168" t="s">
        <v>7912</v>
      </c>
      <c r="C3168" t="s">
        <v>7913</v>
      </c>
    </row>
    <row r="3169" spans="1:3">
      <c r="A3169" t="s">
        <v>7914</v>
      </c>
      <c r="B3169" t="s">
        <v>7915</v>
      </c>
      <c r="C3169" t="s">
        <v>7916</v>
      </c>
    </row>
    <row r="3170" spans="1:3">
      <c r="A3170" t="s">
        <v>7917</v>
      </c>
      <c r="B3170" t="s">
        <v>7918</v>
      </c>
      <c r="C3170" t="s">
        <v>7919</v>
      </c>
    </row>
    <row r="3171" spans="1:3">
      <c r="A3171" t="s">
        <v>7920</v>
      </c>
      <c r="B3171" t="s">
        <v>7921</v>
      </c>
      <c r="C3171" t="s">
        <v>7922</v>
      </c>
    </row>
    <row r="3172" spans="1:3">
      <c r="A3172" s="50" t="s">
        <v>7923</v>
      </c>
      <c r="B3172" s="50"/>
      <c r="C3172" s="257" t="s">
        <v>7924</v>
      </c>
    </row>
    <row r="3173" spans="1:3">
      <c r="A3173" s="50" t="s">
        <v>7925</v>
      </c>
      <c r="B3173" s="50"/>
      <c r="C3173" s="257" t="s">
        <v>7926</v>
      </c>
    </row>
    <row r="3174" spans="1:3">
      <c r="A3174" s="50" t="s">
        <v>7927</v>
      </c>
      <c r="B3174" s="50"/>
      <c r="C3174" s="257" t="s">
        <v>7928</v>
      </c>
    </row>
    <row r="3175" spans="1:3">
      <c r="A3175" s="50" t="s">
        <v>7929</v>
      </c>
      <c r="B3175" s="50"/>
      <c r="C3175" s="258" t="s">
        <v>7930</v>
      </c>
    </row>
    <row r="3176" spans="1:3">
      <c r="A3176" s="50" t="s">
        <v>7929</v>
      </c>
      <c r="B3176" s="50"/>
      <c r="C3176" s="258" t="s">
        <v>7931</v>
      </c>
    </row>
    <row r="3177" spans="1:3">
      <c r="A3177" s="50" t="s">
        <v>7929</v>
      </c>
      <c r="B3177" s="50"/>
      <c r="C3177" s="258" t="s">
        <v>7932</v>
      </c>
    </row>
    <row r="3178" spans="1:3">
      <c r="A3178" s="50" t="s">
        <v>7929</v>
      </c>
      <c r="B3178" s="50"/>
      <c r="C3178" s="258" t="s">
        <v>7933</v>
      </c>
    </row>
    <row r="3179" spans="1:3">
      <c r="A3179" s="50" t="s">
        <v>7929</v>
      </c>
      <c r="B3179" s="50"/>
      <c r="C3179" s="258" t="s">
        <v>7934</v>
      </c>
    </row>
    <row r="3180" spans="1:3">
      <c r="A3180" s="50" t="s">
        <v>7929</v>
      </c>
      <c r="B3180" s="50"/>
      <c r="C3180" s="258" t="s">
        <v>7935</v>
      </c>
    </row>
    <row r="3181" spans="1:3">
      <c r="A3181" s="50" t="s">
        <v>7929</v>
      </c>
      <c r="B3181" s="50"/>
      <c r="C3181" s="258" t="s">
        <v>7936</v>
      </c>
    </row>
    <row r="3182" spans="1:3">
      <c r="A3182" s="50" t="s">
        <v>7929</v>
      </c>
      <c r="B3182" s="50"/>
      <c r="C3182" s="258" t="s">
        <v>7937</v>
      </c>
    </row>
    <row r="3183" spans="1:3">
      <c r="A3183" s="50" t="s">
        <v>7929</v>
      </c>
      <c r="B3183" s="50"/>
      <c r="C3183" s="258" t="s">
        <v>7938</v>
      </c>
    </row>
    <row r="3184" spans="1:3">
      <c r="A3184" s="50" t="s">
        <v>7929</v>
      </c>
      <c r="B3184" s="50"/>
      <c r="C3184" s="258" t="s">
        <v>7939</v>
      </c>
    </row>
    <row r="3185" spans="1:3">
      <c r="A3185" s="50" t="s">
        <v>7929</v>
      </c>
      <c r="B3185" s="50"/>
      <c r="C3185" s="258" t="s">
        <v>7940</v>
      </c>
    </row>
    <row r="3186" spans="1:3">
      <c r="A3186" s="50" t="s">
        <v>7929</v>
      </c>
      <c r="B3186" s="50"/>
      <c r="C3186" s="258" t="s">
        <v>7941</v>
      </c>
    </row>
    <row r="3187" spans="1:3">
      <c r="A3187" s="50" t="s">
        <v>7929</v>
      </c>
      <c r="B3187" s="50"/>
      <c r="C3187" s="258" t="s">
        <v>7942</v>
      </c>
    </row>
    <row r="3188" spans="1:3">
      <c r="A3188" s="50" t="s">
        <v>7929</v>
      </c>
      <c r="B3188" s="50"/>
      <c r="C3188" s="258" t="s">
        <v>7943</v>
      </c>
    </row>
    <row r="3189" spans="1:3">
      <c r="A3189" s="50" t="s">
        <v>7929</v>
      </c>
      <c r="B3189" s="50"/>
      <c r="C3189" s="258" t="s">
        <v>7944</v>
      </c>
    </row>
    <row r="3190" spans="1:3">
      <c r="A3190" s="50" t="s">
        <v>7929</v>
      </c>
      <c r="B3190" s="50"/>
      <c r="C3190" s="258" t="s">
        <v>7945</v>
      </c>
    </row>
    <row r="3191" spans="1:3">
      <c r="A3191" t="s">
        <v>7946</v>
      </c>
      <c r="B3191" t="s">
        <v>7947</v>
      </c>
      <c r="C3191" s="74" t="s">
        <v>7948</v>
      </c>
    </row>
    <row r="3192" spans="1:3">
      <c r="A3192" t="s">
        <v>7949</v>
      </c>
      <c r="B3192" t="s">
        <v>7950</v>
      </c>
      <c r="C3192" t="s">
        <v>7951</v>
      </c>
    </row>
    <row r="3193" spans="1:3">
      <c r="A3193" t="s">
        <v>7952</v>
      </c>
      <c r="B3193" t="s">
        <v>7953</v>
      </c>
      <c r="C3193" t="s">
        <v>7954</v>
      </c>
    </row>
    <row r="3194" spans="1:3">
      <c r="A3194" t="s">
        <v>7955</v>
      </c>
      <c r="B3194" t="s">
        <v>7956</v>
      </c>
      <c r="C3194" t="s">
        <v>7957</v>
      </c>
    </row>
    <row r="3195" spans="1:3">
      <c r="A3195" t="s">
        <v>7958</v>
      </c>
      <c r="B3195" t="s">
        <v>7959</v>
      </c>
      <c r="C3195" t="s">
        <v>7960</v>
      </c>
    </row>
    <row r="3196" spans="1:3">
      <c r="A3196" t="s">
        <v>7961</v>
      </c>
      <c r="B3196" t="s">
        <v>7962</v>
      </c>
      <c r="C3196" t="s">
        <v>7963</v>
      </c>
    </row>
    <row r="3197" spans="1:3">
      <c r="A3197" t="s">
        <v>7964</v>
      </c>
      <c r="B3197" t="s">
        <v>7965</v>
      </c>
      <c r="C3197" t="s">
        <v>7966</v>
      </c>
    </row>
    <row r="3198" spans="1:3">
      <c r="A3198" t="s">
        <v>7967</v>
      </c>
      <c r="B3198" t="s">
        <v>7968</v>
      </c>
      <c r="C3198" t="s">
        <v>7969</v>
      </c>
    </row>
    <row r="3199" spans="1:3">
      <c r="A3199" t="s">
        <v>7970</v>
      </c>
      <c r="B3199" t="s">
        <v>7971</v>
      </c>
      <c r="C3199" t="s">
        <v>7972</v>
      </c>
    </row>
    <row r="3200" spans="1:3">
      <c r="A3200" t="s">
        <v>7973</v>
      </c>
      <c r="B3200" t="s">
        <v>7974</v>
      </c>
      <c r="C3200" t="s">
        <v>7975</v>
      </c>
    </row>
    <row r="3201" spans="1:3">
      <c r="A3201" t="s">
        <v>7976</v>
      </c>
      <c r="B3201" t="s">
        <v>7977</v>
      </c>
      <c r="C3201" t="s">
        <v>7978</v>
      </c>
    </row>
    <row r="3202" spans="1:3">
      <c r="A3202" t="s">
        <v>7979</v>
      </c>
      <c r="B3202" t="s">
        <v>7980</v>
      </c>
      <c r="C3202" t="s">
        <v>7981</v>
      </c>
    </row>
    <row r="3203" spans="1:3">
      <c r="A3203" t="s">
        <v>7982</v>
      </c>
      <c r="B3203" t="s">
        <v>7983</v>
      </c>
      <c r="C3203" t="s">
        <v>7984</v>
      </c>
    </row>
    <row r="3204" spans="1:3">
      <c r="A3204" t="s">
        <v>7985</v>
      </c>
      <c r="B3204" t="s">
        <v>7986</v>
      </c>
      <c r="C3204" t="s">
        <v>7987</v>
      </c>
    </row>
    <row r="3205" spans="1:3">
      <c r="A3205" t="s">
        <v>7988</v>
      </c>
      <c r="B3205" t="s">
        <v>7989</v>
      </c>
      <c r="C3205" t="s">
        <v>7990</v>
      </c>
    </row>
    <row r="3206" spans="1:3">
      <c r="A3206" t="s">
        <v>7991</v>
      </c>
      <c r="B3206" t="s">
        <v>7992</v>
      </c>
      <c r="C3206" t="s">
        <v>7993</v>
      </c>
    </row>
    <row r="3207" spans="1:3">
      <c r="A3207" t="s">
        <v>7994</v>
      </c>
      <c r="B3207" t="s">
        <v>7995</v>
      </c>
      <c r="C3207" t="s">
        <v>7996</v>
      </c>
    </row>
    <row r="3208" spans="1:3">
      <c r="A3208" t="s">
        <v>7997</v>
      </c>
      <c r="B3208" t="s">
        <v>7998</v>
      </c>
      <c r="C3208" t="s">
        <v>7999</v>
      </c>
    </row>
    <row r="3209" spans="1:3">
      <c r="A3209" s="50" t="s">
        <v>8000</v>
      </c>
      <c r="B3209" s="50"/>
      <c r="C3209" s="258" t="s">
        <v>8001</v>
      </c>
    </row>
    <row r="3210" spans="1:3">
      <c r="A3210" s="50" t="s">
        <v>8000</v>
      </c>
      <c r="B3210" s="50"/>
      <c r="C3210" s="258" t="s">
        <v>8002</v>
      </c>
    </row>
    <row r="3211" spans="1:3">
      <c r="A3211" s="50" t="s">
        <v>8000</v>
      </c>
      <c r="B3211" s="50"/>
      <c r="C3211" s="258" t="s">
        <v>8003</v>
      </c>
    </row>
    <row r="3212" spans="1:3">
      <c r="A3212" s="50" t="s">
        <v>8000</v>
      </c>
      <c r="B3212" s="50"/>
      <c r="C3212" s="258" t="s">
        <v>8004</v>
      </c>
    </row>
    <row r="3213" spans="1:3">
      <c r="A3213" s="50" t="s">
        <v>8000</v>
      </c>
      <c r="B3213" s="50"/>
      <c r="C3213" s="258" t="s">
        <v>8005</v>
      </c>
    </row>
    <row r="3214" spans="1:3">
      <c r="A3214" s="50" t="s">
        <v>8000</v>
      </c>
      <c r="B3214" s="50"/>
      <c r="C3214" s="258" t="s">
        <v>8006</v>
      </c>
    </row>
    <row r="3215" spans="1:3">
      <c r="A3215" s="50" t="s">
        <v>8000</v>
      </c>
      <c r="B3215" s="50"/>
      <c r="C3215" s="258" t="s">
        <v>8007</v>
      </c>
    </row>
    <row r="3216" spans="1:3">
      <c r="A3216" s="50" t="s">
        <v>8000</v>
      </c>
      <c r="B3216" s="50"/>
      <c r="C3216" s="258" t="s">
        <v>8008</v>
      </c>
    </row>
    <row r="3217" spans="1:3">
      <c r="A3217" s="50" t="s">
        <v>8000</v>
      </c>
      <c r="B3217" s="50"/>
      <c r="C3217" s="258" t="s">
        <v>8009</v>
      </c>
    </row>
    <row r="3218" spans="1:3">
      <c r="A3218" s="50" t="s">
        <v>8000</v>
      </c>
      <c r="B3218" s="50"/>
      <c r="C3218" s="258" t="s">
        <v>8010</v>
      </c>
    </row>
    <row r="3219" spans="1:3">
      <c r="A3219" s="50" t="s">
        <v>8000</v>
      </c>
      <c r="B3219" s="50"/>
      <c r="C3219" s="258" t="s">
        <v>8011</v>
      </c>
    </row>
    <row r="3220" spans="1:3">
      <c r="A3220" s="50" t="s">
        <v>8000</v>
      </c>
      <c r="B3220" s="50"/>
      <c r="C3220" s="258" t="s">
        <v>8012</v>
      </c>
    </row>
    <row r="3221" spans="1:3">
      <c r="A3221" s="50" t="s">
        <v>8000</v>
      </c>
      <c r="B3221" s="50"/>
      <c r="C3221" s="258" t="s">
        <v>8013</v>
      </c>
    </row>
    <row r="3222" spans="1:3">
      <c r="A3222" s="50" t="s">
        <v>8000</v>
      </c>
      <c r="B3222" s="50"/>
      <c r="C3222" s="258" t="s">
        <v>8014</v>
      </c>
    </row>
    <row r="3223" spans="1:3">
      <c r="A3223" s="50" t="s">
        <v>8000</v>
      </c>
      <c r="B3223" s="50"/>
      <c r="C3223" s="258" t="s">
        <v>8015</v>
      </c>
    </row>
    <row r="3224" spans="1:3">
      <c r="A3224" s="50" t="s">
        <v>8000</v>
      </c>
      <c r="B3224" s="50"/>
      <c r="C3224" s="258" t="s">
        <v>8016</v>
      </c>
    </row>
    <row r="3225" spans="1:3">
      <c r="A3225" t="s">
        <v>8017</v>
      </c>
      <c r="B3225" t="s">
        <v>8018</v>
      </c>
      <c r="C3225" s="74" t="s">
        <v>8019</v>
      </c>
    </row>
    <row r="3226" spans="1:3">
      <c r="A3226" t="s">
        <v>8020</v>
      </c>
      <c r="B3226" t="s">
        <v>7956</v>
      </c>
      <c r="C3226" t="s">
        <v>8021</v>
      </c>
    </row>
    <row r="3227" spans="1:3">
      <c r="A3227" t="s">
        <v>8022</v>
      </c>
      <c r="B3227" t="s">
        <v>8023</v>
      </c>
      <c r="C3227" t="s">
        <v>8024</v>
      </c>
    </row>
    <row r="3228" spans="1:3">
      <c r="A3228" t="s">
        <v>8025</v>
      </c>
      <c r="B3228" t="s">
        <v>8026</v>
      </c>
      <c r="C3228" t="s">
        <v>8027</v>
      </c>
    </row>
    <row r="3229" spans="1:3">
      <c r="A3229" t="s">
        <v>8028</v>
      </c>
      <c r="B3229" t="s">
        <v>8029</v>
      </c>
      <c r="C3229" t="s">
        <v>8030</v>
      </c>
    </row>
    <row r="3230" spans="1:3">
      <c r="A3230" t="s">
        <v>8031</v>
      </c>
      <c r="B3230" t="s">
        <v>8032</v>
      </c>
      <c r="C3230" t="s">
        <v>8033</v>
      </c>
    </row>
    <row r="3231" spans="1:3">
      <c r="A3231" t="s">
        <v>8034</v>
      </c>
      <c r="B3231" t="s">
        <v>8035</v>
      </c>
      <c r="C3231" t="s">
        <v>8036</v>
      </c>
    </row>
    <row r="3232" spans="1:3">
      <c r="A3232" t="s">
        <v>8037</v>
      </c>
      <c r="B3232" t="s">
        <v>8038</v>
      </c>
      <c r="C3232" t="s">
        <v>8039</v>
      </c>
    </row>
    <row r="3233" spans="1:3">
      <c r="A3233" t="s">
        <v>8040</v>
      </c>
      <c r="B3233" t="s">
        <v>8041</v>
      </c>
      <c r="C3233" s="74" t="s">
        <v>8042</v>
      </c>
    </row>
    <row r="3234" spans="1:3">
      <c r="A3234" t="s">
        <v>8043</v>
      </c>
      <c r="B3234" t="s">
        <v>8044</v>
      </c>
      <c r="C3234" s="74" t="s">
        <v>8045</v>
      </c>
    </row>
    <row r="3235" spans="1:3">
      <c r="A3235" t="s">
        <v>8046</v>
      </c>
      <c r="B3235" t="s">
        <v>8047</v>
      </c>
      <c r="C3235" s="74" t="s">
        <v>8048</v>
      </c>
    </row>
    <row r="3236" spans="1:3">
      <c r="A3236" t="s">
        <v>8049</v>
      </c>
      <c r="B3236" t="s">
        <v>8050</v>
      </c>
      <c r="C3236" s="74" t="s">
        <v>8051</v>
      </c>
    </row>
    <row r="3237" spans="1:3">
      <c r="A3237" t="s">
        <v>8052</v>
      </c>
      <c r="B3237" t="s">
        <v>8053</v>
      </c>
      <c r="C3237" t="s">
        <v>8054</v>
      </c>
    </row>
    <row r="3238" spans="1:3">
      <c r="A3238" t="s">
        <v>8055</v>
      </c>
      <c r="B3238" t="s">
        <v>8056</v>
      </c>
      <c r="C3238" t="s">
        <v>8057</v>
      </c>
    </row>
    <row r="3239" spans="1:3">
      <c r="A3239" t="s">
        <v>8058</v>
      </c>
      <c r="B3239" t="s">
        <v>8059</v>
      </c>
      <c r="C3239" t="s">
        <v>8060</v>
      </c>
    </row>
    <row r="3240" spans="1:3">
      <c r="A3240" t="s">
        <v>8061</v>
      </c>
      <c r="B3240" t="s">
        <v>8062</v>
      </c>
      <c r="C3240" t="s">
        <v>8063</v>
      </c>
    </row>
    <row r="3241" spans="1:3">
      <c r="A3241" t="s">
        <v>8064</v>
      </c>
      <c r="B3241" t="s">
        <v>8065</v>
      </c>
      <c r="C3241" t="s">
        <v>8066</v>
      </c>
    </row>
    <row r="3242" spans="1:3">
      <c r="A3242" t="s">
        <v>8067</v>
      </c>
      <c r="B3242" t="s">
        <v>8068</v>
      </c>
      <c r="C3242" t="s">
        <v>8069</v>
      </c>
    </row>
    <row r="3243" spans="1:3">
      <c r="A3243" t="s">
        <v>8070</v>
      </c>
      <c r="B3243" t="s">
        <v>8071</v>
      </c>
      <c r="C3243" t="s">
        <v>8072</v>
      </c>
    </row>
    <row r="3244" spans="1:3">
      <c r="A3244" t="s">
        <v>8073</v>
      </c>
      <c r="B3244" t="s">
        <v>8074</v>
      </c>
      <c r="C3244" t="s">
        <v>8075</v>
      </c>
    </row>
    <row r="3245" spans="1:3">
      <c r="A3245" t="s">
        <v>8076</v>
      </c>
      <c r="B3245" t="s">
        <v>8077</v>
      </c>
      <c r="C3245" t="s">
        <v>8078</v>
      </c>
    </row>
    <row r="3246" spans="1:3">
      <c r="A3246" t="s">
        <v>8079</v>
      </c>
      <c r="B3246" t="s">
        <v>8080</v>
      </c>
      <c r="C3246" t="s">
        <v>8081</v>
      </c>
    </row>
    <row r="3247" spans="1:3">
      <c r="A3247" t="s">
        <v>8082</v>
      </c>
      <c r="B3247" t="s">
        <v>8083</v>
      </c>
      <c r="C3247" t="s">
        <v>8084</v>
      </c>
    </row>
    <row r="3248" spans="1:3">
      <c r="A3248" t="s">
        <v>8085</v>
      </c>
      <c r="B3248" t="s">
        <v>8086</v>
      </c>
      <c r="C3248" t="s">
        <v>8087</v>
      </c>
    </row>
    <row r="3249" spans="1:3">
      <c r="A3249" t="s">
        <v>8088</v>
      </c>
      <c r="B3249" t="s">
        <v>8089</v>
      </c>
      <c r="C3249" t="s">
        <v>8090</v>
      </c>
    </row>
    <row r="3250" spans="1:3">
      <c r="A3250" t="s">
        <v>8091</v>
      </c>
      <c r="B3250" t="s">
        <v>8092</v>
      </c>
      <c r="C3250" t="s">
        <v>8093</v>
      </c>
    </row>
    <row r="3251" spans="1:3">
      <c r="A3251" t="s">
        <v>8094</v>
      </c>
      <c r="B3251" t="s">
        <v>8095</v>
      </c>
      <c r="C3251" t="s">
        <v>8096</v>
      </c>
    </row>
    <row r="3252" spans="1:3">
      <c r="A3252" t="s">
        <v>8097</v>
      </c>
      <c r="B3252" t="s">
        <v>8098</v>
      </c>
      <c r="C3252" t="s">
        <v>8099</v>
      </c>
    </row>
    <row r="3253" spans="1:3">
      <c r="A3253" t="s">
        <v>8100</v>
      </c>
      <c r="B3253" t="s">
        <v>8101</v>
      </c>
      <c r="C3253" t="s">
        <v>8102</v>
      </c>
    </row>
    <row r="3254" spans="1:3">
      <c r="A3254" t="s">
        <v>8103</v>
      </c>
      <c r="B3254" t="s">
        <v>8104</v>
      </c>
      <c r="C3254" t="s">
        <v>8105</v>
      </c>
    </row>
    <row r="3255" spans="1:3">
      <c r="A3255" t="s">
        <v>8106</v>
      </c>
      <c r="B3255" t="s">
        <v>8107</v>
      </c>
      <c r="C3255" t="s">
        <v>8108</v>
      </c>
    </row>
    <row r="3256" spans="1:3">
      <c r="A3256" t="s">
        <v>8109</v>
      </c>
      <c r="B3256" t="s">
        <v>8110</v>
      </c>
      <c r="C3256" t="s">
        <v>8111</v>
      </c>
    </row>
    <row r="3257" spans="1:3">
      <c r="A3257" t="s">
        <v>8112</v>
      </c>
      <c r="B3257" t="s">
        <v>8113</v>
      </c>
      <c r="C3257" t="s">
        <v>8114</v>
      </c>
    </row>
    <row r="3258" spans="1:3">
      <c r="A3258" t="s">
        <v>8115</v>
      </c>
      <c r="B3258" t="s">
        <v>8116</v>
      </c>
      <c r="C3258" t="s">
        <v>8117</v>
      </c>
    </row>
    <row r="3259" spans="1:3">
      <c r="A3259" s="50" t="s">
        <v>8118</v>
      </c>
      <c r="B3259" s="50"/>
      <c r="C3259" s="257" t="s">
        <v>8119</v>
      </c>
    </row>
    <row r="3260" spans="1:3">
      <c r="A3260" s="50" t="s">
        <v>8120</v>
      </c>
      <c r="B3260" s="50"/>
      <c r="C3260" s="257" t="s">
        <v>8121</v>
      </c>
    </row>
    <row r="3261" spans="1:3">
      <c r="A3261" t="s">
        <v>8122</v>
      </c>
      <c r="B3261" t="s">
        <v>8123</v>
      </c>
      <c r="C3261" t="s">
        <v>8124</v>
      </c>
    </row>
    <row r="3262" spans="1:3">
      <c r="A3262" t="s">
        <v>8125</v>
      </c>
      <c r="B3262" t="s">
        <v>8126</v>
      </c>
      <c r="C3262" t="s">
        <v>8127</v>
      </c>
    </row>
    <row r="3263" spans="1:3">
      <c r="A3263" t="s">
        <v>8128</v>
      </c>
      <c r="B3263" t="s">
        <v>8129</v>
      </c>
      <c r="C3263" t="s">
        <v>8130</v>
      </c>
    </row>
    <row r="3264" spans="1:3">
      <c r="A3264" t="s">
        <v>8131</v>
      </c>
      <c r="B3264" t="s">
        <v>8132</v>
      </c>
      <c r="C3264" t="s">
        <v>8133</v>
      </c>
    </row>
    <row r="3265" spans="1:3">
      <c r="A3265" t="s">
        <v>8134</v>
      </c>
      <c r="B3265" t="s">
        <v>8135</v>
      </c>
      <c r="C3265" t="s">
        <v>8136</v>
      </c>
    </row>
    <row r="3266" spans="1:3">
      <c r="A3266" t="s">
        <v>8137</v>
      </c>
      <c r="B3266" t="s">
        <v>8138</v>
      </c>
      <c r="C3266" s="74" t="s">
        <v>8139</v>
      </c>
    </row>
    <row r="3267" spans="1:3">
      <c r="A3267" t="s">
        <v>8140</v>
      </c>
      <c r="B3267" t="s">
        <v>8141</v>
      </c>
      <c r="C3267" t="s">
        <v>8142</v>
      </c>
    </row>
    <row r="3268" spans="1:3">
      <c r="A3268" t="s">
        <v>8143</v>
      </c>
      <c r="B3268" t="s">
        <v>8144</v>
      </c>
      <c r="C3268" t="s">
        <v>8145</v>
      </c>
    </row>
    <row r="3269" spans="1:3">
      <c r="A3269" t="s">
        <v>8146</v>
      </c>
      <c r="B3269" t="s">
        <v>8147</v>
      </c>
      <c r="C3269" t="s">
        <v>8148</v>
      </c>
    </row>
    <row r="3270" spans="1:3">
      <c r="A3270" t="s">
        <v>8149</v>
      </c>
      <c r="B3270" t="s">
        <v>8150</v>
      </c>
      <c r="C3270" t="s">
        <v>8151</v>
      </c>
    </row>
    <row r="3271" spans="1:3">
      <c r="A3271" t="s">
        <v>8152</v>
      </c>
      <c r="B3271" t="s">
        <v>8153</v>
      </c>
      <c r="C3271" t="s">
        <v>8154</v>
      </c>
    </row>
    <row r="3272" spans="1:3">
      <c r="A3272" t="s">
        <v>8155</v>
      </c>
      <c r="B3272" t="s">
        <v>8156</v>
      </c>
      <c r="C3272" t="s">
        <v>8157</v>
      </c>
    </row>
    <row r="3273" spans="1:3">
      <c r="A3273" t="s">
        <v>8158</v>
      </c>
      <c r="B3273" t="s">
        <v>8095</v>
      </c>
      <c r="C3273" t="s">
        <v>8159</v>
      </c>
    </row>
    <row r="3274" spans="1:3">
      <c r="A3274" t="s">
        <v>8160</v>
      </c>
      <c r="B3274" t="s">
        <v>8098</v>
      </c>
      <c r="C3274" t="s">
        <v>8161</v>
      </c>
    </row>
    <row r="3275" spans="1:3">
      <c r="A3275" t="s">
        <v>8162</v>
      </c>
      <c r="B3275" t="s">
        <v>8101</v>
      </c>
      <c r="C3275" t="s">
        <v>8163</v>
      </c>
    </row>
    <row r="3276" spans="1:3">
      <c r="A3276" t="s">
        <v>8164</v>
      </c>
      <c r="B3276" t="s">
        <v>8104</v>
      </c>
      <c r="C3276" t="s">
        <v>8165</v>
      </c>
    </row>
    <row r="3277" spans="1:3">
      <c r="A3277" t="s">
        <v>8166</v>
      </c>
      <c r="B3277" t="s">
        <v>8116</v>
      </c>
      <c r="C3277" t="s">
        <v>8167</v>
      </c>
    </row>
    <row r="3278" spans="1:3">
      <c r="A3278" t="s">
        <v>8168</v>
      </c>
      <c r="B3278" t="s">
        <v>8169</v>
      </c>
      <c r="C3278" t="s">
        <v>8170</v>
      </c>
    </row>
    <row r="3279" spans="1:3">
      <c r="A3279" t="s">
        <v>8171</v>
      </c>
      <c r="B3279" t="s">
        <v>8172</v>
      </c>
      <c r="C3279" t="s">
        <v>8173</v>
      </c>
    </row>
    <row r="3280" spans="1:3">
      <c r="A3280" t="s">
        <v>8174</v>
      </c>
      <c r="B3280" t="s">
        <v>8175</v>
      </c>
      <c r="C3280" t="s">
        <v>8176</v>
      </c>
    </row>
    <row r="3281" spans="1:3">
      <c r="A3281" t="s">
        <v>8177</v>
      </c>
      <c r="B3281" t="s">
        <v>8178</v>
      </c>
      <c r="C3281" t="s">
        <v>8179</v>
      </c>
    </row>
    <row r="3282" spans="1:3">
      <c r="A3282" t="s">
        <v>8180</v>
      </c>
      <c r="B3282" t="s">
        <v>8181</v>
      </c>
      <c r="C3282" t="s">
        <v>8182</v>
      </c>
    </row>
    <row r="3283" spans="1:3">
      <c r="A3283" t="s">
        <v>8183</v>
      </c>
      <c r="B3283" t="s">
        <v>8184</v>
      </c>
      <c r="C3283" t="s">
        <v>8185</v>
      </c>
    </row>
    <row r="3284" spans="1:3">
      <c r="A3284" t="s">
        <v>8186</v>
      </c>
      <c r="B3284" t="s">
        <v>8187</v>
      </c>
      <c r="C3284" t="s">
        <v>8188</v>
      </c>
    </row>
    <row r="3285" spans="1:3">
      <c r="A3285" t="s">
        <v>8189</v>
      </c>
      <c r="B3285" t="s">
        <v>8190</v>
      </c>
      <c r="C3285" t="s">
        <v>8191</v>
      </c>
    </row>
    <row r="3286" spans="1:3">
      <c r="A3286" t="s">
        <v>8192</v>
      </c>
      <c r="B3286" t="s">
        <v>8193</v>
      </c>
      <c r="C3286" t="s">
        <v>8194</v>
      </c>
    </row>
    <row r="3287" spans="1:3">
      <c r="A3287" t="s">
        <v>8195</v>
      </c>
      <c r="B3287" t="s">
        <v>8196</v>
      </c>
      <c r="C3287" s="74" t="s">
        <v>8197</v>
      </c>
    </row>
    <row r="3288" spans="1:3">
      <c r="A3288" s="50" t="s">
        <v>8198</v>
      </c>
      <c r="B3288" s="50"/>
      <c r="C3288" s="257" t="s">
        <v>8199</v>
      </c>
    </row>
    <row r="3289" spans="1:3">
      <c r="A3289" t="s">
        <v>8200</v>
      </c>
      <c r="B3289" t="s">
        <v>8201</v>
      </c>
      <c r="C3289" t="s">
        <v>8202</v>
      </c>
    </row>
    <row r="3290" spans="1:3">
      <c r="A3290" t="s">
        <v>8203</v>
      </c>
      <c r="B3290" t="s">
        <v>8204</v>
      </c>
      <c r="C3290" t="s">
        <v>8205</v>
      </c>
    </row>
    <row r="3291" spans="1:3">
      <c r="A3291" t="s">
        <v>8206</v>
      </c>
      <c r="B3291" t="s">
        <v>8207</v>
      </c>
      <c r="C3291" t="s">
        <v>8208</v>
      </c>
    </row>
    <row r="3292" spans="1:3">
      <c r="A3292" t="s">
        <v>8209</v>
      </c>
      <c r="B3292" t="s">
        <v>8210</v>
      </c>
      <c r="C3292" t="s">
        <v>8211</v>
      </c>
    </row>
    <row r="3293" spans="1:3">
      <c r="A3293" t="s">
        <v>8212</v>
      </c>
      <c r="B3293" t="s">
        <v>8213</v>
      </c>
      <c r="C3293" t="s">
        <v>8214</v>
      </c>
    </row>
    <row r="3294" spans="1:3">
      <c r="A3294" t="s">
        <v>8215</v>
      </c>
      <c r="B3294" t="s">
        <v>8216</v>
      </c>
      <c r="C3294" t="s">
        <v>8217</v>
      </c>
    </row>
    <row r="3295" spans="1:3">
      <c r="A3295" t="s">
        <v>8218</v>
      </c>
      <c r="B3295" t="s">
        <v>8219</v>
      </c>
      <c r="C3295" t="s">
        <v>8220</v>
      </c>
    </row>
    <row r="3296" spans="1:3">
      <c r="A3296" t="s">
        <v>8221</v>
      </c>
      <c r="B3296" t="s">
        <v>8222</v>
      </c>
      <c r="C3296" t="s">
        <v>8223</v>
      </c>
    </row>
    <row r="3297" spans="1:3">
      <c r="A3297" t="s">
        <v>8224</v>
      </c>
      <c r="B3297" t="s">
        <v>8225</v>
      </c>
      <c r="C3297" t="s">
        <v>8226</v>
      </c>
    </row>
    <row r="3298" spans="1:3">
      <c r="A3298" t="s">
        <v>8227</v>
      </c>
      <c r="B3298" t="s">
        <v>8095</v>
      </c>
      <c r="C3298" t="s">
        <v>8228</v>
      </c>
    </row>
    <row r="3299" spans="1:3">
      <c r="A3299" t="s">
        <v>8229</v>
      </c>
      <c r="B3299" t="s">
        <v>8230</v>
      </c>
      <c r="C3299" t="s">
        <v>8231</v>
      </c>
    </row>
    <row r="3300" spans="1:3">
      <c r="A3300" t="s">
        <v>8232</v>
      </c>
      <c r="B3300" t="s">
        <v>8233</v>
      </c>
      <c r="C3300" t="s">
        <v>8234</v>
      </c>
    </row>
    <row r="3301" spans="1:3">
      <c r="A3301" t="s">
        <v>8235</v>
      </c>
      <c r="B3301" t="s">
        <v>8236</v>
      </c>
      <c r="C3301" t="s">
        <v>8237</v>
      </c>
    </row>
    <row r="3302" spans="1:3">
      <c r="A3302" t="s">
        <v>8238</v>
      </c>
      <c r="B3302" t="s">
        <v>8239</v>
      </c>
      <c r="C3302" t="s">
        <v>8240</v>
      </c>
    </row>
    <row r="3303" spans="1:3">
      <c r="A3303" t="s">
        <v>8241</v>
      </c>
      <c r="B3303" t="s">
        <v>8239</v>
      </c>
      <c r="C3303" t="s">
        <v>8242</v>
      </c>
    </row>
    <row r="3304" spans="1:3">
      <c r="A3304" t="s">
        <v>8243</v>
      </c>
      <c r="B3304" t="s">
        <v>8239</v>
      </c>
      <c r="C3304" t="s">
        <v>8244</v>
      </c>
    </row>
    <row r="3305" spans="1:3">
      <c r="A3305" t="s">
        <v>8245</v>
      </c>
      <c r="B3305" t="s">
        <v>8246</v>
      </c>
      <c r="C3305" t="s">
        <v>8247</v>
      </c>
    </row>
    <row r="3306" spans="1:3">
      <c r="A3306" t="s">
        <v>8248</v>
      </c>
      <c r="B3306" t="s">
        <v>8246</v>
      </c>
      <c r="C3306" t="s">
        <v>8249</v>
      </c>
    </row>
    <row r="3307" spans="1:3">
      <c r="A3307" t="s">
        <v>8250</v>
      </c>
      <c r="B3307" t="s">
        <v>8246</v>
      </c>
      <c r="C3307" t="s">
        <v>8251</v>
      </c>
    </row>
    <row r="3308" spans="1:3">
      <c r="A3308" t="s">
        <v>8252</v>
      </c>
      <c r="B3308" t="s">
        <v>8253</v>
      </c>
      <c r="C3308" t="s">
        <v>8254</v>
      </c>
    </row>
    <row r="3309" spans="1:3">
      <c r="A3309" t="s">
        <v>8255</v>
      </c>
      <c r="B3309" t="s">
        <v>8253</v>
      </c>
      <c r="C3309" t="s">
        <v>8256</v>
      </c>
    </row>
    <row r="3310" spans="1:3">
      <c r="A3310" t="s">
        <v>8257</v>
      </c>
      <c r="B3310" t="s">
        <v>8253</v>
      </c>
      <c r="C3310" t="s">
        <v>8258</v>
      </c>
    </row>
    <row r="3311" spans="1:3">
      <c r="A3311" t="s">
        <v>8259</v>
      </c>
      <c r="B3311" t="s">
        <v>8260</v>
      </c>
      <c r="C3311" t="s">
        <v>8261</v>
      </c>
    </row>
    <row r="3312" spans="1:3">
      <c r="A3312" t="s">
        <v>8262</v>
      </c>
      <c r="B3312" t="s">
        <v>8263</v>
      </c>
      <c r="C3312" t="s">
        <v>8264</v>
      </c>
    </row>
    <row r="3313" spans="1:3">
      <c r="A3313" t="s">
        <v>8265</v>
      </c>
      <c r="B3313" t="s">
        <v>8266</v>
      </c>
      <c r="C3313" t="s">
        <v>8267</v>
      </c>
    </row>
    <row r="3314" spans="1:3">
      <c r="A3314" t="s">
        <v>8268</v>
      </c>
      <c r="B3314" t="s">
        <v>8269</v>
      </c>
      <c r="C3314" t="s">
        <v>8270</v>
      </c>
    </row>
    <row r="3315" spans="1:3">
      <c r="A3315" t="s">
        <v>8271</v>
      </c>
      <c r="B3315" t="s">
        <v>8269</v>
      </c>
      <c r="C3315" t="s">
        <v>8272</v>
      </c>
    </row>
    <row r="3316" spans="1:3">
      <c r="A3316" t="s">
        <v>8273</v>
      </c>
      <c r="B3316" t="s">
        <v>8269</v>
      </c>
      <c r="C3316" t="s">
        <v>8274</v>
      </c>
    </row>
    <row r="3317" spans="1:3">
      <c r="A3317" t="s">
        <v>8275</v>
      </c>
      <c r="B3317" t="s">
        <v>8276</v>
      </c>
      <c r="C3317" t="s">
        <v>8277</v>
      </c>
    </row>
    <row r="3318" spans="1:3">
      <c r="A3318" t="s">
        <v>8278</v>
      </c>
      <c r="B3318" t="s">
        <v>8276</v>
      </c>
      <c r="C3318" t="s">
        <v>8279</v>
      </c>
    </row>
    <row r="3319" spans="1:3">
      <c r="A3319" t="s">
        <v>8280</v>
      </c>
      <c r="B3319" t="s">
        <v>8276</v>
      </c>
      <c r="C3319" t="s">
        <v>8281</v>
      </c>
    </row>
    <row r="3320" spans="1:3">
      <c r="A3320" t="s">
        <v>8282</v>
      </c>
      <c r="B3320" t="s">
        <v>8283</v>
      </c>
      <c r="C3320" t="s">
        <v>8284</v>
      </c>
    </row>
    <row r="3321" spans="1:3">
      <c r="A3321" t="s">
        <v>8285</v>
      </c>
      <c r="B3321" t="s">
        <v>8286</v>
      </c>
      <c r="C3321" t="s">
        <v>8287</v>
      </c>
    </row>
    <row r="3322" spans="1:3">
      <c r="A3322" t="s">
        <v>8288</v>
      </c>
      <c r="B3322" t="s">
        <v>8289</v>
      </c>
      <c r="C3322" t="s">
        <v>8290</v>
      </c>
    </row>
    <row r="3323" spans="1:3">
      <c r="A3323" t="s">
        <v>8291</v>
      </c>
      <c r="B3323" t="s">
        <v>8292</v>
      </c>
      <c r="C3323" t="s">
        <v>8293</v>
      </c>
    </row>
    <row r="3324" spans="1:3">
      <c r="A3324" t="s">
        <v>8294</v>
      </c>
      <c r="B3324" t="s">
        <v>8292</v>
      </c>
      <c r="C3324" t="s">
        <v>8295</v>
      </c>
    </row>
    <row r="3325" spans="1:3">
      <c r="A3325" t="s">
        <v>8296</v>
      </c>
      <c r="B3325" t="s">
        <v>8292</v>
      </c>
      <c r="C3325" t="s">
        <v>8297</v>
      </c>
    </row>
    <row r="3326" spans="1:3">
      <c r="A3326" t="s">
        <v>8298</v>
      </c>
      <c r="B3326" t="s">
        <v>8299</v>
      </c>
      <c r="C3326" t="s">
        <v>8300</v>
      </c>
    </row>
    <row r="3327" spans="1:3">
      <c r="A3327" t="s">
        <v>8301</v>
      </c>
      <c r="B3327" t="s">
        <v>8299</v>
      </c>
      <c r="C3327" t="s">
        <v>8302</v>
      </c>
    </row>
    <row r="3328" spans="1:3">
      <c r="A3328" t="s">
        <v>8303</v>
      </c>
      <c r="B3328" t="s">
        <v>8299</v>
      </c>
      <c r="C3328" t="s">
        <v>8304</v>
      </c>
    </row>
    <row r="3329" spans="1:3">
      <c r="A3329" t="s">
        <v>8305</v>
      </c>
      <c r="B3329" t="s">
        <v>8306</v>
      </c>
      <c r="C3329" t="s">
        <v>8307</v>
      </c>
    </row>
    <row r="3330" spans="1:3">
      <c r="A3330" t="s">
        <v>8308</v>
      </c>
      <c r="B3330" t="s">
        <v>8306</v>
      </c>
      <c r="C3330" t="s">
        <v>8309</v>
      </c>
    </row>
    <row r="3331" spans="1:3">
      <c r="A3331" t="s">
        <v>8310</v>
      </c>
      <c r="B3331" t="s">
        <v>8306</v>
      </c>
      <c r="C3331" t="s">
        <v>8311</v>
      </c>
    </row>
    <row r="3332" spans="1:3">
      <c r="A3332" t="s">
        <v>8312</v>
      </c>
      <c r="B3332" t="s">
        <v>8313</v>
      </c>
      <c r="C3332" t="s">
        <v>8314</v>
      </c>
    </row>
    <row r="3333" spans="1:3">
      <c r="A3333" t="s">
        <v>8315</v>
      </c>
      <c r="B3333" t="s">
        <v>8316</v>
      </c>
      <c r="C3333" t="s">
        <v>8317</v>
      </c>
    </row>
    <row r="3334" spans="1:3">
      <c r="A3334" t="s">
        <v>8318</v>
      </c>
      <c r="B3334" t="s">
        <v>8319</v>
      </c>
      <c r="C3334" t="s">
        <v>8320</v>
      </c>
    </row>
    <row r="3335" spans="1:3">
      <c r="A3335" t="s">
        <v>8321</v>
      </c>
      <c r="B3335" t="s">
        <v>8319</v>
      </c>
      <c r="C3335" t="s">
        <v>8322</v>
      </c>
    </row>
    <row r="3336" spans="1:3">
      <c r="A3336" t="s">
        <v>8323</v>
      </c>
      <c r="B3336" t="s">
        <v>8319</v>
      </c>
      <c r="C3336" t="s">
        <v>8324</v>
      </c>
    </row>
    <row r="3337" spans="1:3">
      <c r="A3337" t="s">
        <v>8325</v>
      </c>
      <c r="B3337" t="s">
        <v>8326</v>
      </c>
      <c r="C3337" t="s">
        <v>8327</v>
      </c>
    </row>
    <row r="3338" spans="1:3">
      <c r="A3338" t="s">
        <v>8328</v>
      </c>
      <c r="B3338" t="s">
        <v>8326</v>
      </c>
      <c r="C3338" t="s">
        <v>8329</v>
      </c>
    </row>
    <row r="3339" spans="1:3">
      <c r="A3339" t="s">
        <v>8330</v>
      </c>
      <c r="B3339" t="s">
        <v>8326</v>
      </c>
      <c r="C3339" t="s">
        <v>8331</v>
      </c>
    </row>
    <row r="3340" spans="1:3">
      <c r="A3340" t="s">
        <v>8332</v>
      </c>
      <c r="B3340" t="s">
        <v>8333</v>
      </c>
      <c r="C3340" t="s">
        <v>8334</v>
      </c>
    </row>
    <row r="3341" spans="1:3">
      <c r="A3341" t="s">
        <v>8335</v>
      </c>
      <c r="B3341" t="s">
        <v>8333</v>
      </c>
      <c r="C3341" t="s">
        <v>8336</v>
      </c>
    </row>
    <row r="3342" spans="1:3">
      <c r="A3342" t="s">
        <v>8337</v>
      </c>
      <c r="B3342" t="s">
        <v>8333</v>
      </c>
      <c r="C3342" t="s">
        <v>8338</v>
      </c>
    </row>
    <row r="3343" spans="1:3">
      <c r="A3343" t="s">
        <v>8339</v>
      </c>
      <c r="B3343" t="s">
        <v>8340</v>
      </c>
      <c r="C3343" t="s">
        <v>8341</v>
      </c>
    </row>
    <row r="3344" spans="1:3">
      <c r="A3344" t="s">
        <v>8342</v>
      </c>
      <c r="B3344" t="s">
        <v>8343</v>
      </c>
      <c r="C3344" t="s">
        <v>8344</v>
      </c>
    </row>
    <row r="3345" spans="1:3">
      <c r="A3345" t="s">
        <v>8345</v>
      </c>
      <c r="B3345" t="s">
        <v>8346</v>
      </c>
      <c r="C3345" t="s">
        <v>8347</v>
      </c>
    </row>
    <row r="3346" spans="1:3">
      <c r="A3346" t="s">
        <v>8348</v>
      </c>
      <c r="B3346" t="s">
        <v>8349</v>
      </c>
      <c r="C3346" t="s">
        <v>8350</v>
      </c>
    </row>
    <row r="3347" spans="1:3">
      <c r="A3347" t="s">
        <v>8351</v>
      </c>
      <c r="B3347" t="s">
        <v>8349</v>
      </c>
      <c r="C3347" t="s">
        <v>8352</v>
      </c>
    </row>
    <row r="3348" spans="1:3">
      <c r="A3348" t="s">
        <v>8353</v>
      </c>
      <c r="B3348" t="s">
        <v>8349</v>
      </c>
      <c r="C3348" t="s">
        <v>8354</v>
      </c>
    </row>
    <row r="3349" spans="1:3">
      <c r="A3349" t="s">
        <v>8355</v>
      </c>
      <c r="B3349" t="s">
        <v>8356</v>
      </c>
      <c r="C3349" t="s">
        <v>8357</v>
      </c>
    </row>
    <row r="3350" spans="1:3">
      <c r="A3350" t="s">
        <v>8358</v>
      </c>
      <c r="B3350" t="s">
        <v>8356</v>
      </c>
      <c r="C3350" t="s">
        <v>8359</v>
      </c>
    </row>
    <row r="3351" spans="1:3">
      <c r="A3351" t="s">
        <v>8360</v>
      </c>
      <c r="B3351" t="s">
        <v>8356</v>
      </c>
      <c r="C3351" t="s">
        <v>8361</v>
      </c>
    </row>
    <row r="3352" spans="1:3">
      <c r="A3352" t="s">
        <v>8362</v>
      </c>
      <c r="B3352" t="s">
        <v>8363</v>
      </c>
      <c r="C3352" t="s">
        <v>8364</v>
      </c>
    </row>
    <row r="3353" spans="1:3">
      <c r="A3353" t="s">
        <v>8365</v>
      </c>
      <c r="B3353" t="s">
        <v>8366</v>
      </c>
      <c r="C3353" t="s">
        <v>8367</v>
      </c>
    </row>
    <row r="3354" spans="1:3">
      <c r="A3354" t="s">
        <v>8368</v>
      </c>
      <c r="B3354" t="s">
        <v>8369</v>
      </c>
      <c r="C3354" t="s">
        <v>8370</v>
      </c>
    </row>
    <row r="3355" spans="1:3">
      <c r="A3355" t="s">
        <v>8371</v>
      </c>
      <c r="B3355" t="s">
        <v>8372</v>
      </c>
      <c r="C3355" t="s">
        <v>8373</v>
      </c>
    </row>
    <row r="3356" spans="1:3">
      <c r="A3356" t="s">
        <v>8374</v>
      </c>
      <c r="B3356" t="s">
        <v>8372</v>
      </c>
      <c r="C3356" t="s">
        <v>8375</v>
      </c>
    </row>
    <row r="3357" spans="1:3">
      <c r="A3357" t="s">
        <v>8376</v>
      </c>
      <c r="B3357" t="s">
        <v>8372</v>
      </c>
      <c r="C3357" t="s">
        <v>8377</v>
      </c>
    </row>
    <row r="3358" spans="1:3">
      <c r="A3358" t="s">
        <v>8378</v>
      </c>
      <c r="B3358" t="s">
        <v>8379</v>
      </c>
      <c r="C3358" t="s">
        <v>8380</v>
      </c>
    </row>
    <row r="3359" spans="1:3">
      <c r="A3359" t="s">
        <v>8381</v>
      </c>
      <c r="B3359" t="s">
        <v>8379</v>
      </c>
      <c r="C3359" t="s">
        <v>8382</v>
      </c>
    </row>
    <row r="3360" spans="1:3">
      <c r="A3360" t="s">
        <v>8383</v>
      </c>
      <c r="B3360" t="s">
        <v>8379</v>
      </c>
      <c r="C3360" t="s">
        <v>8384</v>
      </c>
    </row>
    <row r="3361" spans="1:3">
      <c r="A3361" t="s">
        <v>8385</v>
      </c>
      <c r="B3361" t="s">
        <v>8386</v>
      </c>
      <c r="C3361" t="s">
        <v>8387</v>
      </c>
    </row>
    <row r="3362" spans="1:3">
      <c r="A3362" t="s">
        <v>8388</v>
      </c>
      <c r="B3362" t="s">
        <v>8389</v>
      </c>
      <c r="C3362" t="s">
        <v>8390</v>
      </c>
    </row>
    <row r="3363" spans="1:3">
      <c r="A3363" t="s">
        <v>8391</v>
      </c>
      <c r="B3363" t="s">
        <v>8392</v>
      </c>
      <c r="C3363" t="s">
        <v>8393</v>
      </c>
    </row>
    <row r="3364" spans="1:3">
      <c r="A3364" t="s">
        <v>8394</v>
      </c>
      <c r="B3364" t="s">
        <v>8395</v>
      </c>
      <c r="C3364" t="s">
        <v>8396</v>
      </c>
    </row>
    <row r="3365" spans="1:3">
      <c r="A3365" t="s">
        <v>8397</v>
      </c>
      <c r="B3365" t="s">
        <v>8395</v>
      </c>
      <c r="C3365" t="s">
        <v>8398</v>
      </c>
    </row>
    <row r="3366" spans="1:3">
      <c r="A3366" t="s">
        <v>8399</v>
      </c>
      <c r="B3366" t="s">
        <v>8395</v>
      </c>
      <c r="C3366" t="s">
        <v>8400</v>
      </c>
    </row>
    <row r="3367" spans="1:3">
      <c r="A3367" t="s">
        <v>8401</v>
      </c>
      <c r="B3367" t="s">
        <v>8402</v>
      </c>
      <c r="C3367" t="s">
        <v>8403</v>
      </c>
    </row>
    <row r="3368" spans="1:3">
      <c r="A3368" t="s">
        <v>8404</v>
      </c>
      <c r="B3368" t="s">
        <v>8402</v>
      </c>
      <c r="C3368" t="s">
        <v>8405</v>
      </c>
    </row>
    <row r="3369" spans="1:3">
      <c r="A3369" t="s">
        <v>8406</v>
      </c>
      <c r="B3369" t="s">
        <v>8402</v>
      </c>
      <c r="C3369" t="s">
        <v>8407</v>
      </c>
    </row>
    <row r="3370" spans="1:3">
      <c r="A3370" t="s">
        <v>8408</v>
      </c>
      <c r="B3370" t="s">
        <v>8409</v>
      </c>
      <c r="C3370" t="s">
        <v>8410</v>
      </c>
    </row>
    <row r="3371" spans="1:3">
      <c r="A3371" t="s">
        <v>8411</v>
      </c>
      <c r="B3371" t="s">
        <v>8412</v>
      </c>
      <c r="C3371" t="s">
        <v>8413</v>
      </c>
    </row>
    <row r="3372" spans="1:3">
      <c r="A3372" t="s">
        <v>8414</v>
      </c>
      <c r="B3372" t="s">
        <v>8415</v>
      </c>
      <c r="C3372" t="s">
        <v>8416</v>
      </c>
    </row>
    <row r="3373" spans="1:3">
      <c r="A3373" t="s">
        <v>8417</v>
      </c>
      <c r="B3373" t="s">
        <v>8418</v>
      </c>
      <c r="C3373" t="s">
        <v>8419</v>
      </c>
    </row>
    <row r="3374" spans="1:3">
      <c r="A3374" t="s">
        <v>8420</v>
      </c>
      <c r="B3374" t="s">
        <v>8421</v>
      </c>
      <c r="C3374" t="s">
        <v>8422</v>
      </c>
    </row>
    <row r="3375" spans="1:3">
      <c r="A3375" t="s">
        <v>8423</v>
      </c>
      <c r="B3375" t="s">
        <v>8424</v>
      </c>
      <c r="C3375" t="s">
        <v>8425</v>
      </c>
    </row>
    <row r="3376" spans="1:3">
      <c r="A3376" t="s">
        <v>8426</v>
      </c>
      <c r="B3376" t="s">
        <v>8427</v>
      </c>
      <c r="C3376" t="s">
        <v>8428</v>
      </c>
    </row>
    <row r="3377" spans="1:3">
      <c r="A3377" t="s">
        <v>8429</v>
      </c>
      <c r="B3377" t="s">
        <v>8430</v>
      </c>
      <c r="C3377" t="s">
        <v>8431</v>
      </c>
    </row>
    <row r="3378" spans="1:3">
      <c r="A3378" t="s">
        <v>8432</v>
      </c>
      <c r="B3378" t="s">
        <v>8433</v>
      </c>
      <c r="C3378" t="s">
        <v>8434</v>
      </c>
    </row>
    <row r="3379" spans="1:3">
      <c r="A3379" t="s">
        <v>8435</v>
      </c>
      <c r="B3379" t="s">
        <v>8436</v>
      </c>
      <c r="C3379" t="s">
        <v>8437</v>
      </c>
    </row>
    <row r="3380" spans="1:3">
      <c r="A3380" t="s">
        <v>8438</v>
      </c>
      <c r="B3380" t="s">
        <v>8439</v>
      </c>
      <c r="C3380" t="s">
        <v>8440</v>
      </c>
    </row>
    <row r="3381" spans="1:3">
      <c r="A3381" t="s">
        <v>8441</v>
      </c>
      <c r="B3381" t="s">
        <v>8442</v>
      </c>
      <c r="C3381" t="s">
        <v>8443</v>
      </c>
    </row>
    <row r="3382" spans="1:3">
      <c r="A3382" t="s">
        <v>8444</v>
      </c>
      <c r="B3382" t="s">
        <v>8445</v>
      </c>
      <c r="C3382" t="s">
        <v>8446</v>
      </c>
    </row>
    <row r="3383" spans="1:3">
      <c r="A3383" t="s">
        <v>8447</v>
      </c>
      <c r="B3383" t="s">
        <v>8448</v>
      </c>
      <c r="C3383" t="s">
        <v>8449</v>
      </c>
    </row>
    <row r="3384" spans="1:3">
      <c r="A3384" t="s">
        <v>8450</v>
      </c>
      <c r="B3384" t="s">
        <v>8451</v>
      </c>
      <c r="C3384" t="s">
        <v>8452</v>
      </c>
    </row>
    <row r="3385" spans="1:3">
      <c r="A3385" t="s">
        <v>8453</v>
      </c>
      <c r="B3385" t="s">
        <v>8213</v>
      </c>
      <c r="C3385" t="s">
        <v>8454</v>
      </c>
    </row>
    <row r="3386" spans="1:3">
      <c r="A3386" t="s">
        <v>8455</v>
      </c>
      <c r="B3386" t="s">
        <v>8456</v>
      </c>
      <c r="C3386" t="s">
        <v>8457</v>
      </c>
    </row>
    <row r="3387" spans="1:3">
      <c r="A3387" t="s">
        <v>8458</v>
      </c>
      <c r="B3387" t="s">
        <v>8459</v>
      </c>
      <c r="C3387" t="s">
        <v>8460</v>
      </c>
    </row>
    <row r="3388" spans="1:3">
      <c r="A3388" t="s">
        <v>8461</v>
      </c>
      <c r="B3388" t="s">
        <v>8216</v>
      </c>
      <c r="C3388" t="s">
        <v>8462</v>
      </c>
    </row>
    <row r="3389" spans="1:3">
      <c r="A3389" t="s">
        <v>8463</v>
      </c>
      <c r="B3389" t="s">
        <v>8233</v>
      </c>
      <c r="C3389" t="s">
        <v>8464</v>
      </c>
    </row>
    <row r="3390" spans="1:3">
      <c r="A3390" t="s">
        <v>8465</v>
      </c>
      <c r="B3390" t="s">
        <v>8233</v>
      </c>
      <c r="C3390" t="s">
        <v>8466</v>
      </c>
    </row>
    <row r="3391" spans="1:3">
      <c r="A3391" t="s">
        <v>8467</v>
      </c>
      <c r="B3391" t="s">
        <v>8468</v>
      </c>
      <c r="C3391" t="s">
        <v>8469</v>
      </c>
    </row>
    <row r="3392" spans="1:3">
      <c r="A3392" t="s">
        <v>8470</v>
      </c>
      <c r="B3392" t="s">
        <v>8471</v>
      </c>
      <c r="C3392" t="s">
        <v>8472</v>
      </c>
    </row>
    <row r="3393" spans="1:3">
      <c r="A3393" t="s">
        <v>8473</v>
      </c>
      <c r="B3393" t="s">
        <v>8222</v>
      </c>
      <c r="C3393" t="s">
        <v>8474</v>
      </c>
    </row>
    <row r="3394" spans="1:3">
      <c r="A3394" t="s">
        <v>8475</v>
      </c>
      <c r="B3394" t="s">
        <v>8476</v>
      </c>
      <c r="C3394" t="s">
        <v>8477</v>
      </c>
    </row>
    <row r="3395" spans="1:3">
      <c r="A3395" t="s">
        <v>8478</v>
      </c>
      <c r="B3395" t="s">
        <v>8219</v>
      </c>
      <c r="C3395" t="s">
        <v>8479</v>
      </c>
    </row>
    <row r="3396" spans="1:3">
      <c r="A3396" t="s">
        <v>8480</v>
      </c>
      <c r="B3396" t="s">
        <v>8481</v>
      </c>
      <c r="C3396" t="s">
        <v>8482</v>
      </c>
    </row>
    <row r="3397" spans="1:3">
      <c r="A3397" t="s">
        <v>8483</v>
      </c>
      <c r="B3397" t="s">
        <v>8484</v>
      </c>
      <c r="C3397" t="s">
        <v>8485</v>
      </c>
    </row>
    <row r="3398" spans="1:3">
      <c r="A3398" t="s">
        <v>8486</v>
      </c>
      <c r="B3398" t="s">
        <v>8487</v>
      </c>
      <c r="C3398" t="s">
        <v>8488</v>
      </c>
    </row>
    <row r="3399" spans="1:3">
      <c r="A3399" t="s">
        <v>8489</v>
      </c>
      <c r="B3399" t="s">
        <v>8490</v>
      </c>
      <c r="C3399" t="s">
        <v>8491</v>
      </c>
    </row>
    <row r="3400" spans="1:3">
      <c r="A3400" t="s">
        <v>8492</v>
      </c>
      <c r="B3400" t="s">
        <v>8493</v>
      </c>
      <c r="C3400" t="s">
        <v>8494</v>
      </c>
    </row>
    <row r="3401" spans="1:3">
      <c r="A3401" t="s">
        <v>8495</v>
      </c>
      <c r="B3401" t="s">
        <v>8496</v>
      </c>
      <c r="C3401" t="s">
        <v>8497</v>
      </c>
    </row>
    <row r="3402" spans="1:3">
      <c r="A3402" t="s">
        <v>8498</v>
      </c>
      <c r="B3402" t="s">
        <v>8499</v>
      </c>
      <c r="C3402" t="s">
        <v>8500</v>
      </c>
    </row>
    <row r="3403" spans="1:3">
      <c r="A3403" t="s">
        <v>8501</v>
      </c>
      <c r="B3403" t="s">
        <v>8502</v>
      </c>
      <c r="C3403" t="s">
        <v>8503</v>
      </c>
    </row>
    <row r="3404" spans="1:3">
      <c r="A3404" t="s">
        <v>8504</v>
      </c>
      <c r="B3404" t="s">
        <v>8505</v>
      </c>
      <c r="C3404" t="s">
        <v>8506</v>
      </c>
    </row>
    <row r="3405" spans="1:3">
      <c r="A3405" t="s">
        <v>8507</v>
      </c>
      <c r="B3405" t="s">
        <v>8508</v>
      </c>
      <c r="C3405" t="s">
        <v>8509</v>
      </c>
    </row>
    <row r="3406" spans="1:3">
      <c r="A3406" t="s">
        <v>8510</v>
      </c>
      <c r="B3406" t="s">
        <v>8511</v>
      </c>
      <c r="C3406" t="s">
        <v>8512</v>
      </c>
    </row>
    <row r="3407" spans="1:3">
      <c r="A3407" t="s">
        <v>8513</v>
      </c>
      <c r="B3407" t="s">
        <v>8514</v>
      </c>
      <c r="C3407" t="s">
        <v>8515</v>
      </c>
    </row>
    <row r="3408" spans="1:3">
      <c r="A3408" t="s">
        <v>8516</v>
      </c>
      <c r="B3408" t="s">
        <v>8517</v>
      </c>
      <c r="C3408" t="s">
        <v>8518</v>
      </c>
    </row>
    <row r="3409" spans="1:3">
      <c r="A3409" t="s">
        <v>8519</v>
      </c>
      <c r="B3409" t="s">
        <v>7992</v>
      </c>
      <c r="C3409" t="s">
        <v>8520</v>
      </c>
    </row>
    <row r="3410" spans="1:3">
      <c r="A3410" t="s">
        <v>8521</v>
      </c>
      <c r="B3410" t="s">
        <v>8522</v>
      </c>
      <c r="C3410" t="s">
        <v>8523</v>
      </c>
    </row>
    <row r="3411" spans="1:3">
      <c r="A3411" t="s">
        <v>8524</v>
      </c>
      <c r="B3411" t="s">
        <v>8525</v>
      </c>
      <c r="C3411" t="s">
        <v>8526</v>
      </c>
    </row>
    <row r="3412" spans="1:3">
      <c r="A3412" t="s">
        <v>8527</v>
      </c>
      <c r="B3412" t="s">
        <v>8528</v>
      </c>
      <c r="C3412" t="s">
        <v>8529</v>
      </c>
    </row>
    <row r="3413" spans="1:3">
      <c r="A3413" t="s">
        <v>8530</v>
      </c>
      <c r="B3413" t="s">
        <v>8531</v>
      </c>
      <c r="C3413" t="s">
        <v>8532</v>
      </c>
    </row>
    <row r="3414" spans="1:3">
      <c r="A3414" t="s">
        <v>8533</v>
      </c>
      <c r="B3414" t="s">
        <v>8534</v>
      </c>
      <c r="C3414" t="s">
        <v>8535</v>
      </c>
    </row>
    <row r="3415" spans="1:3">
      <c r="A3415" t="s">
        <v>8536</v>
      </c>
      <c r="B3415" t="s">
        <v>8537</v>
      </c>
      <c r="C3415" t="s">
        <v>8538</v>
      </c>
    </row>
    <row r="3416" spans="1:3">
      <c r="A3416" t="s">
        <v>8539</v>
      </c>
      <c r="B3416" t="s">
        <v>8540</v>
      </c>
      <c r="C3416" t="s">
        <v>8541</v>
      </c>
    </row>
    <row r="3417" spans="1:3">
      <c r="A3417" t="s">
        <v>8542</v>
      </c>
      <c r="B3417" t="s">
        <v>8543</v>
      </c>
      <c r="C3417" t="s">
        <v>8544</v>
      </c>
    </row>
    <row r="3418" spans="1:3">
      <c r="A3418" t="s">
        <v>8545</v>
      </c>
      <c r="B3418" t="s">
        <v>8546</v>
      </c>
      <c r="C3418" t="s">
        <v>8547</v>
      </c>
    </row>
    <row r="3419" spans="1:3">
      <c r="A3419" t="s">
        <v>8548</v>
      </c>
      <c r="B3419" t="s">
        <v>8549</v>
      </c>
      <c r="C3419" t="s">
        <v>8550</v>
      </c>
    </row>
    <row r="3420" spans="1:3">
      <c r="A3420" t="s">
        <v>8551</v>
      </c>
      <c r="B3420" t="s">
        <v>8552</v>
      </c>
      <c r="C3420" t="s">
        <v>8553</v>
      </c>
    </row>
    <row r="3421" spans="1:3">
      <c r="A3421" t="s">
        <v>8554</v>
      </c>
      <c r="B3421" t="s">
        <v>8555</v>
      </c>
      <c r="C3421" t="s">
        <v>8556</v>
      </c>
    </row>
    <row r="3422" spans="1:3">
      <c r="A3422" t="s">
        <v>8557</v>
      </c>
      <c r="B3422" t="s">
        <v>8558</v>
      </c>
      <c r="C3422" t="s">
        <v>8559</v>
      </c>
    </row>
    <row r="3423" spans="1:3">
      <c r="A3423" t="s">
        <v>8560</v>
      </c>
      <c r="B3423" t="s">
        <v>8561</v>
      </c>
      <c r="C3423" t="s">
        <v>8562</v>
      </c>
    </row>
    <row r="3424" spans="1:3">
      <c r="A3424" t="s">
        <v>8563</v>
      </c>
      <c r="B3424" t="s">
        <v>8564</v>
      </c>
      <c r="C3424" t="s">
        <v>8565</v>
      </c>
    </row>
    <row r="3425" spans="1:3">
      <c r="A3425" t="s">
        <v>8566</v>
      </c>
      <c r="B3425" t="s">
        <v>8567</v>
      </c>
      <c r="C3425" t="s">
        <v>8568</v>
      </c>
    </row>
    <row r="3426" spans="1:3">
      <c r="A3426" t="s">
        <v>8569</v>
      </c>
      <c r="B3426" t="s">
        <v>8570</v>
      </c>
      <c r="C3426" t="s">
        <v>8571</v>
      </c>
    </row>
    <row r="3427" spans="1:3">
      <c r="A3427" t="s">
        <v>8572</v>
      </c>
      <c r="B3427" t="s">
        <v>8573</v>
      </c>
      <c r="C3427" t="s">
        <v>8574</v>
      </c>
    </row>
    <row r="3428" spans="1:3">
      <c r="A3428" t="s">
        <v>8575</v>
      </c>
      <c r="B3428" t="s">
        <v>8576</v>
      </c>
      <c r="C3428" t="s">
        <v>8577</v>
      </c>
    </row>
    <row r="3429" spans="1:3">
      <c r="A3429" t="s">
        <v>8578</v>
      </c>
      <c r="B3429" t="s">
        <v>8579</v>
      </c>
      <c r="C3429" t="s">
        <v>8580</v>
      </c>
    </row>
    <row r="3430" spans="1:3">
      <c r="A3430" t="s">
        <v>8581</v>
      </c>
      <c r="B3430" t="s">
        <v>8582</v>
      </c>
      <c r="C3430" t="s">
        <v>8583</v>
      </c>
    </row>
    <row r="3431" spans="1:3">
      <c r="A3431" t="s">
        <v>8584</v>
      </c>
      <c r="B3431" t="s">
        <v>8585</v>
      </c>
      <c r="C3431" t="s">
        <v>8586</v>
      </c>
    </row>
    <row r="3432" spans="1:3">
      <c r="A3432" t="s">
        <v>8587</v>
      </c>
      <c r="B3432" t="s">
        <v>8588</v>
      </c>
      <c r="C3432" t="s">
        <v>8589</v>
      </c>
    </row>
    <row r="3433" spans="1:3">
      <c r="A3433" t="s">
        <v>8590</v>
      </c>
      <c r="B3433" t="s">
        <v>8591</v>
      </c>
      <c r="C3433" t="s">
        <v>8592</v>
      </c>
    </row>
    <row r="3434" spans="1:3">
      <c r="A3434" t="s">
        <v>8593</v>
      </c>
      <c r="B3434" t="s">
        <v>8594</v>
      </c>
      <c r="C3434" t="s">
        <v>8595</v>
      </c>
    </row>
    <row r="3435" spans="1:3">
      <c r="A3435" t="s">
        <v>8596</v>
      </c>
      <c r="B3435" t="s">
        <v>8597</v>
      </c>
      <c r="C3435" t="s">
        <v>8598</v>
      </c>
    </row>
    <row r="3436" spans="1:3">
      <c r="A3436" t="s">
        <v>8599</v>
      </c>
      <c r="B3436" t="s">
        <v>8600</v>
      </c>
      <c r="C3436" t="s">
        <v>8601</v>
      </c>
    </row>
    <row r="3437" spans="1:3">
      <c r="A3437" t="s">
        <v>8602</v>
      </c>
      <c r="B3437" t="s">
        <v>8603</v>
      </c>
      <c r="C3437" t="s">
        <v>8604</v>
      </c>
    </row>
    <row r="3438" spans="1:3">
      <c r="A3438" t="s">
        <v>8605</v>
      </c>
      <c r="B3438" t="s">
        <v>8606</v>
      </c>
      <c r="C3438" t="s">
        <v>8607</v>
      </c>
    </row>
    <row r="3439" spans="1:3">
      <c r="A3439" t="s">
        <v>8608</v>
      </c>
      <c r="B3439" t="s">
        <v>8609</v>
      </c>
      <c r="C3439" t="s">
        <v>8610</v>
      </c>
    </row>
    <row r="3440" spans="1:3">
      <c r="A3440" t="s">
        <v>8611</v>
      </c>
      <c r="B3440" t="s">
        <v>8612</v>
      </c>
      <c r="C3440" t="s">
        <v>8613</v>
      </c>
    </row>
    <row r="3441" spans="1:3">
      <c r="A3441" s="50" t="s">
        <v>8614</v>
      </c>
      <c r="B3441" s="50"/>
      <c r="C3441" s="257" t="s">
        <v>8589</v>
      </c>
    </row>
    <row r="3442" spans="1:3">
      <c r="A3442" t="s">
        <v>8615</v>
      </c>
      <c r="B3442" t="s">
        <v>8616</v>
      </c>
      <c r="C3442" t="s">
        <v>8617</v>
      </c>
    </row>
    <row r="3443" spans="1:3">
      <c r="A3443" t="s">
        <v>8618</v>
      </c>
      <c r="B3443" t="s">
        <v>8619</v>
      </c>
      <c r="C3443" t="s">
        <v>8620</v>
      </c>
    </row>
    <row r="3444" spans="1:3">
      <c r="A3444" t="s">
        <v>8621</v>
      </c>
      <c r="B3444" t="s">
        <v>8622</v>
      </c>
      <c r="C3444" t="s">
        <v>8623</v>
      </c>
    </row>
    <row r="3445" spans="1:3">
      <c r="A3445" t="s">
        <v>8624</v>
      </c>
      <c r="B3445" t="s">
        <v>8625</v>
      </c>
      <c r="C3445" t="s">
        <v>8626</v>
      </c>
    </row>
    <row r="3446" spans="1:3">
      <c r="A3446" t="s">
        <v>8627</v>
      </c>
      <c r="B3446" t="s">
        <v>8628</v>
      </c>
      <c r="C3446" t="s">
        <v>8629</v>
      </c>
    </row>
    <row r="3447" spans="1:3">
      <c r="A3447" t="s">
        <v>8630</v>
      </c>
      <c r="B3447" t="s">
        <v>8631</v>
      </c>
      <c r="C3447" t="s">
        <v>8632</v>
      </c>
    </row>
    <row r="3448" spans="1:3">
      <c r="A3448" t="s">
        <v>8633</v>
      </c>
      <c r="B3448" t="s">
        <v>8634</v>
      </c>
      <c r="C3448" t="s">
        <v>8635</v>
      </c>
    </row>
    <row r="3449" spans="1:3">
      <c r="A3449" t="s">
        <v>8636</v>
      </c>
      <c r="B3449" t="s">
        <v>8637</v>
      </c>
      <c r="C3449" t="s">
        <v>8638</v>
      </c>
    </row>
    <row r="3450" spans="1:3">
      <c r="A3450" t="s">
        <v>8639</v>
      </c>
      <c r="B3450" t="s">
        <v>8640</v>
      </c>
      <c r="C3450" t="s">
        <v>8641</v>
      </c>
    </row>
    <row r="3451" spans="1:3">
      <c r="A3451" t="s">
        <v>8642</v>
      </c>
      <c r="B3451" t="s">
        <v>8643</v>
      </c>
      <c r="C3451" t="s">
        <v>8644</v>
      </c>
    </row>
    <row r="3452" spans="1:3">
      <c r="A3452" t="s">
        <v>8645</v>
      </c>
      <c r="B3452" t="s">
        <v>8646</v>
      </c>
      <c r="C3452" t="s">
        <v>8647</v>
      </c>
    </row>
    <row r="3453" spans="1:3">
      <c r="A3453" t="s">
        <v>8648</v>
      </c>
      <c r="B3453" t="s">
        <v>8649</v>
      </c>
      <c r="C3453" t="s">
        <v>8650</v>
      </c>
    </row>
    <row r="3454" spans="1:3">
      <c r="A3454" t="s">
        <v>8651</v>
      </c>
      <c r="B3454" t="s">
        <v>8652</v>
      </c>
      <c r="C3454" t="s">
        <v>8653</v>
      </c>
    </row>
    <row r="3455" spans="1:3">
      <c r="A3455" t="s">
        <v>8654</v>
      </c>
      <c r="B3455" t="s">
        <v>8655</v>
      </c>
      <c r="C3455" t="s">
        <v>8656</v>
      </c>
    </row>
    <row r="3456" spans="1:3">
      <c r="A3456" t="s">
        <v>8657</v>
      </c>
      <c r="B3456" t="s">
        <v>8658</v>
      </c>
      <c r="C3456" t="s">
        <v>8659</v>
      </c>
    </row>
    <row r="3457" spans="1:3">
      <c r="A3457" t="s">
        <v>8660</v>
      </c>
      <c r="B3457" t="s">
        <v>8661</v>
      </c>
      <c r="C3457" t="s">
        <v>8662</v>
      </c>
    </row>
    <row r="3458" spans="1:3">
      <c r="A3458" t="s">
        <v>8663</v>
      </c>
      <c r="B3458" t="s">
        <v>8664</v>
      </c>
      <c r="C3458" t="s">
        <v>8665</v>
      </c>
    </row>
    <row r="3459" spans="1:3">
      <c r="A3459" t="s">
        <v>8666</v>
      </c>
      <c r="B3459" t="s">
        <v>8667</v>
      </c>
      <c r="C3459" s="74" t="s">
        <v>8668</v>
      </c>
    </row>
    <row r="3460" spans="1:3">
      <c r="A3460" t="s">
        <v>8669</v>
      </c>
      <c r="B3460" t="s">
        <v>8213</v>
      </c>
      <c r="C3460" t="s">
        <v>8670</v>
      </c>
    </row>
    <row r="3461" spans="1:3">
      <c r="A3461" t="s">
        <v>8671</v>
      </c>
      <c r="B3461" t="s">
        <v>8216</v>
      </c>
      <c r="C3461" t="s">
        <v>8672</v>
      </c>
    </row>
    <row r="3462" spans="1:3">
      <c r="A3462" t="s">
        <v>8673</v>
      </c>
      <c r="B3462" t="s">
        <v>8219</v>
      </c>
      <c r="C3462" t="s">
        <v>8674</v>
      </c>
    </row>
    <row r="3463" spans="1:3">
      <c r="A3463" t="s">
        <v>8675</v>
      </c>
      <c r="B3463" t="s">
        <v>8222</v>
      </c>
      <c r="C3463" t="s">
        <v>8676</v>
      </c>
    </row>
    <row r="3464" spans="1:3">
      <c r="A3464" t="s">
        <v>8677</v>
      </c>
      <c r="B3464" t="s">
        <v>8225</v>
      </c>
      <c r="C3464" t="s">
        <v>8678</v>
      </c>
    </row>
    <row r="3465" spans="1:3">
      <c r="A3465" t="s">
        <v>8679</v>
      </c>
      <c r="B3465" t="s">
        <v>8095</v>
      </c>
      <c r="C3465" t="s">
        <v>8680</v>
      </c>
    </row>
    <row r="3466" spans="1:3">
      <c r="A3466" t="s">
        <v>8681</v>
      </c>
      <c r="B3466" t="s">
        <v>8230</v>
      </c>
      <c r="C3466" t="s">
        <v>8682</v>
      </c>
    </row>
    <row r="3467" spans="1:3">
      <c r="A3467" t="s">
        <v>8683</v>
      </c>
      <c r="B3467" t="s">
        <v>8233</v>
      </c>
      <c r="C3467" t="s">
        <v>8684</v>
      </c>
    </row>
    <row r="3468" spans="1:3">
      <c r="A3468" t="s">
        <v>8685</v>
      </c>
      <c r="B3468" t="s">
        <v>8686</v>
      </c>
      <c r="C3468" t="s">
        <v>8687</v>
      </c>
    </row>
    <row r="3469" spans="1:3">
      <c r="A3469" t="s">
        <v>8688</v>
      </c>
      <c r="B3469" t="s">
        <v>8689</v>
      </c>
      <c r="C3469" t="s">
        <v>8690</v>
      </c>
    </row>
    <row r="3470" spans="1:3">
      <c r="A3470" t="s">
        <v>8691</v>
      </c>
      <c r="B3470" t="s">
        <v>8692</v>
      </c>
      <c r="C3470" t="s">
        <v>8693</v>
      </c>
    </row>
    <row r="3471" spans="1:3">
      <c r="A3471" t="s">
        <v>8694</v>
      </c>
      <c r="B3471" t="s">
        <v>8695</v>
      </c>
      <c r="C3471" t="s">
        <v>8696</v>
      </c>
    </row>
    <row r="3472" spans="1:3">
      <c r="A3472" t="s">
        <v>8697</v>
      </c>
      <c r="B3472" t="s">
        <v>8698</v>
      </c>
      <c r="C3472" t="s">
        <v>8699</v>
      </c>
    </row>
    <row r="3473" spans="1:3">
      <c r="A3473" t="s">
        <v>8700</v>
      </c>
      <c r="B3473" t="s">
        <v>8701</v>
      </c>
      <c r="C3473" s="74" t="s">
        <v>8702</v>
      </c>
    </row>
    <row r="3474" spans="1:3">
      <c r="A3474" t="s">
        <v>8703</v>
      </c>
      <c r="B3474" t="s">
        <v>8704</v>
      </c>
      <c r="C3474" s="74" t="s">
        <v>8705</v>
      </c>
    </row>
    <row r="3475" spans="1:3">
      <c r="A3475" t="s">
        <v>8706</v>
      </c>
      <c r="B3475" t="s">
        <v>8707</v>
      </c>
      <c r="C3475" s="74" t="s">
        <v>8708</v>
      </c>
    </row>
    <row r="3476" spans="1:3">
      <c r="A3476" t="s">
        <v>8709</v>
      </c>
      <c r="B3476" t="s">
        <v>8710</v>
      </c>
      <c r="C3476" t="s">
        <v>8711</v>
      </c>
    </row>
    <row r="3477" spans="1:3">
      <c r="A3477" t="s">
        <v>8712</v>
      </c>
      <c r="B3477" t="s">
        <v>8713</v>
      </c>
      <c r="C3477" s="74" t="s">
        <v>8714</v>
      </c>
    </row>
    <row r="3478" spans="1:3">
      <c r="A3478" t="s">
        <v>8715</v>
      </c>
      <c r="B3478" t="s">
        <v>8716</v>
      </c>
      <c r="C3478" s="74" t="s">
        <v>8717</v>
      </c>
    </row>
    <row r="3479" spans="1:3">
      <c r="A3479" s="50" t="s">
        <v>8718</v>
      </c>
      <c r="B3479" s="50"/>
      <c r="C3479" s="257" t="s">
        <v>8719</v>
      </c>
    </row>
    <row r="3480" spans="1:3">
      <c r="A3480" s="50" t="s">
        <v>8720</v>
      </c>
      <c r="B3480" s="50"/>
      <c r="C3480" s="257" t="s">
        <v>8721</v>
      </c>
    </row>
    <row r="3481" spans="1:3">
      <c r="A3481" s="50" t="s">
        <v>8722</v>
      </c>
      <c r="B3481" s="50"/>
      <c r="C3481" s="257" t="s">
        <v>8723</v>
      </c>
    </row>
    <row r="3482" spans="1:3">
      <c r="A3482" t="s">
        <v>8724</v>
      </c>
      <c r="B3482" t="s">
        <v>8725</v>
      </c>
      <c r="C3482" s="74" t="s">
        <v>8726</v>
      </c>
    </row>
    <row r="3483" spans="1:3">
      <c r="A3483" t="s">
        <v>8727</v>
      </c>
      <c r="B3483" t="s">
        <v>8728</v>
      </c>
      <c r="C3483" s="74" t="s">
        <v>8729</v>
      </c>
    </row>
    <row r="3484" spans="1:3">
      <c r="A3484" t="s">
        <v>8730</v>
      </c>
      <c r="B3484" t="s">
        <v>8731</v>
      </c>
      <c r="C3484" s="74" t="s">
        <v>8732</v>
      </c>
    </row>
    <row r="3485" spans="1:3">
      <c r="A3485" t="s">
        <v>8733</v>
      </c>
      <c r="B3485" t="s">
        <v>8734</v>
      </c>
      <c r="C3485" s="74" t="s">
        <v>8735</v>
      </c>
    </row>
    <row r="3486" spans="1:3">
      <c r="A3486" s="50" t="s">
        <v>8736</v>
      </c>
      <c r="B3486" s="50"/>
      <c r="C3486" s="257" t="s">
        <v>8737</v>
      </c>
    </row>
    <row r="3487" spans="1:3">
      <c r="A3487" t="s">
        <v>8738</v>
      </c>
      <c r="B3487" t="s">
        <v>8739</v>
      </c>
      <c r="C3487" s="74" t="s">
        <v>8740</v>
      </c>
    </row>
    <row r="3488" spans="1:3">
      <c r="A3488" t="s">
        <v>8741</v>
      </c>
      <c r="B3488" t="s">
        <v>8742</v>
      </c>
      <c r="C3488" t="s">
        <v>8743</v>
      </c>
    </row>
    <row r="3489" spans="1:3">
      <c r="A3489" t="s">
        <v>8744</v>
      </c>
      <c r="B3489" t="s">
        <v>8745</v>
      </c>
      <c r="C3489" t="s">
        <v>8746</v>
      </c>
    </row>
    <row r="3490" spans="1:3">
      <c r="A3490" s="50" t="s">
        <v>8747</v>
      </c>
      <c r="B3490" s="50"/>
      <c r="C3490" s="257" t="s">
        <v>8748</v>
      </c>
    </row>
    <row r="3491" spans="1:3">
      <c r="A3491" t="s">
        <v>8749</v>
      </c>
      <c r="B3491" t="s">
        <v>8750</v>
      </c>
      <c r="C3491" t="s">
        <v>8751</v>
      </c>
    </row>
    <row r="3492" spans="1:3">
      <c r="A3492" t="s">
        <v>8752</v>
      </c>
      <c r="B3492" t="s">
        <v>8753</v>
      </c>
      <c r="C3492" t="s">
        <v>8754</v>
      </c>
    </row>
    <row r="3493" spans="1:3">
      <c r="A3493" t="s">
        <v>8755</v>
      </c>
      <c r="B3493" t="s">
        <v>8756</v>
      </c>
      <c r="C3493" t="s">
        <v>8757</v>
      </c>
    </row>
    <row r="3494" spans="1:3">
      <c r="A3494" t="s">
        <v>8758</v>
      </c>
      <c r="B3494" t="s">
        <v>8759</v>
      </c>
      <c r="C3494" t="s">
        <v>8760</v>
      </c>
    </row>
    <row r="3495" spans="1:3">
      <c r="A3495" t="s">
        <v>8761</v>
      </c>
      <c r="B3495" t="s">
        <v>8762</v>
      </c>
      <c r="C3495" t="s">
        <v>8763</v>
      </c>
    </row>
    <row r="3496" spans="1:3">
      <c r="A3496" t="s">
        <v>8764</v>
      </c>
      <c r="B3496" t="s">
        <v>8765</v>
      </c>
      <c r="C3496" t="s">
        <v>8766</v>
      </c>
    </row>
    <row r="3497" spans="1:3">
      <c r="A3497" t="s">
        <v>8767</v>
      </c>
      <c r="B3497" t="s">
        <v>8768</v>
      </c>
      <c r="C3497" t="s">
        <v>8769</v>
      </c>
    </row>
    <row r="3498" spans="1:3">
      <c r="A3498" t="s">
        <v>8770</v>
      </c>
      <c r="B3498" t="s">
        <v>8771</v>
      </c>
      <c r="C3498" t="s">
        <v>8772</v>
      </c>
    </row>
    <row r="3499" spans="1:3">
      <c r="A3499" t="s">
        <v>8773</v>
      </c>
      <c r="B3499" t="s">
        <v>8774</v>
      </c>
      <c r="C3499" t="s">
        <v>8775</v>
      </c>
    </row>
    <row r="3500" spans="1:3">
      <c r="A3500" t="s">
        <v>8776</v>
      </c>
      <c r="B3500" t="s">
        <v>8777</v>
      </c>
      <c r="C3500" t="s">
        <v>8778</v>
      </c>
    </row>
    <row r="3501" spans="1:3">
      <c r="A3501" t="s">
        <v>8779</v>
      </c>
      <c r="B3501" t="s">
        <v>8780</v>
      </c>
      <c r="C3501" t="s">
        <v>8781</v>
      </c>
    </row>
    <row r="3502" spans="1:3">
      <c r="A3502" t="s">
        <v>8782</v>
      </c>
      <c r="B3502" t="s">
        <v>8783</v>
      </c>
      <c r="C3502" t="s">
        <v>8784</v>
      </c>
    </row>
    <row r="3503" spans="1:3">
      <c r="A3503" t="s">
        <v>8785</v>
      </c>
      <c r="B3503" t="s">
        <v>8786</v>
      </c>
      <c r="C3503" t="s">
        <v>8787</v>
      </c>
    </row>
    <row r="3504" spans="1:3">
      <c r="A3504" t="s">
        <v>8788</v>
      </c>
      <c r="B3504" t="s">
        <v>8789</v>
      </c>
      <c r="C3504" t="s">
        <v>8790</v>
      </c>
    </row>
    <row r="3505" spans="1:3">
      <c r="A3505" t="s">
        <v>8791</v>
      </c>
      <c r="B3505" t="s">
        <v>8792</v>
      </c>
      <c r="C3505" t="s">
        <v>8793</v>
      </c>
    </row>
    <row r="3506" spans="1:3">
      <c r="A3506" t="s">
        <v>8794</v>
      </c>
      <c r="B3506" t="s">
        <v>7675</v>
      </c>
      <c r="C3506" t="s">
        <v>8795</v>
      </c>
    </row>
    <row r="3507" spans="1:3">
      <c r="A3507" t="s">
        <v>8796</v>
      </c>
      <c r="B3507" t="s">
        <v>8797</v>
      </c>
      <c r="C3507" t="s">
        <v>8798</v>
      </c>
    </row>
    <row r="3508" spans="1:3">
      <c r="A3508" t="s">
        <v>8799</v>
      </c>
      <c r="B3508" t="s">
        <v>8800</v>
      </c>
      <c r="C3508" t="s">
        <v>8801</v>
      </c>
    </row>
    <row r="3509" spans="1:3">
      <c r="A3509" t="s">
        <v>8802</v>
      </c>
      <c r="B3509" t="s">
        <v>8803</v>
      </c>
      <c r="C3509" s="74" t="s">
        <v>8804</v>
      </c>
    </row>
    <row r="3510" spans="1:3">
      <c r="A3510" t="s">
        <v>8805</v>
      </c>
      <c r="B3510" t="s">
        <v>8806</v>
      </c>
      <c r="C3510" s="74" t="s">
        <v>8807</v>
      </c>
    </row>
    <row r="3511" spans="1:3">
      <c r="A3511" t="s">
        <v>8808</v>
      </c>
      <c r="B3511" t="s">
        <v>8809</v>
      </c>
      <c r="C3511" s="74" t="s">
        <v>8810</v>
      </c>
    </row>
    <row r="3512" spans="1:3">
      <c r="A3512" t="s">
        <v>8811</v>
      </c>
      <c r="B3512" t="s">
        <v>8812</v>
      </c>
      <c r="C3512" s="74" t="s">
        <v>8813</v>
      </c>
    </row>
    <row r="3513" spans="1:3">
      <c r="A3513" t="s">
        <v>8814</v>
      </c>
      <c r="B3513" t="s">
        <v>8815</v>
      </c>
      <c r="C3513" s="74" t="s">
        <v>8816</v>
      </c>
    </row>
    <row r="3514" spans="1:3">
      <c r="A3514" t="s">
        <v>8817</v>
      </c>
      <c r="B3514" t="s">
        <v>8818</v>
      </c>
      <c r="C3514" s="74" t="s">
        <v>8819</v>
      </c>
    </row>
    <row r="3515" spans="1:3">
      <c r="A3515" t="s">
        <v>8820</v>
      </c>
      <c r="B3515" t="s">
        <v>8821</v>
      </c>
      <c r="C3515" s="74" t="s">
        <v>8822</v>
      </c>
    </row>
    <row r="3516" spans="1:3">
      <c r="A3516" t="s">
        <v>8823</v>
      </c>
      <c r="B3516" t="s">
        <v>8824</v>
      </c>
      <c r="C3516" s="74" t="s">
        <v>8825</v>
      </c>
    </row>
    <row r="3517" spans="1:3">
      <c r="A3517" t="s">
        <v>8826</v>
      </c>
      <c r="B3517" t="s">
        <v>8827</v>
      </c>
      <c r="C3517" s="74" t="s">
        <v>8828</v>
      </c>
    </row>
    <row r="3518" spans="1:3">
      <c r="A3518" t="s">
        <v>8829</v>
      </c>
      <c r="B3518" t="s">
        <v>8830</v>
      </c>
      <c r="C3518" t="s">
        <v>8831</v>
      </c>
    </row>
    <row r="3519" spans="1:3">
      <c r="A3519" t="s">
        <v>8832</v>
      </c>
      <c r="B3519" t="s">
        <v>8833</v>
      </c>
      <c r="C3519" t="s">
        <v>8834</v>
      </c>
    </row>
    <row r="3520" spans="1:3">
      <c r="A3520" s="50" t="s">
        <v>8835</v>
      </c>
      <c r="B3520" s="50"/>
      <c r="C3520" s="257" t="s">
        <v>8836</v>
      </c>
    </row>
    <row r="3521" spans="1:3">
      <c r="A3521" s="50" t="s">
        <v>8837</v>
      </c>
      <c r="B3521" s="50"/>
      <c r="C3521" s="257" t="s">
        <v>8838</v>
      </c>
    </row>
    <row r="3522" spans="1:3">
      <c r="A3522" s="50" t="s">
        <v>8839</v>
      </c>
      <c r="B3522" s="50"/>
      <c r="C3522" s="257" t="s">
        <v>8840</v>
      </c>
    </row>
    <row r="3523" spans="1:3">
      <c r="A3523" s="50" t="s">
        <v>8841</v>
      </c>
      <c r="B3523" s="50"/>
      <c r="C3523" s="257" t="s">
        <v>8842</v>
      </c>
    </row>
    <row r="3524" spans="1:3">
      <c r="A3524" s="50" t="s">
        <v>8843</v>
      </c>
      <c r="B3524" s="50"/>
      <c r="C3524" s="257" t="s">
        <v>8844</v>
      </c>
    </row>
    <row r="3525" spans="1:3">
      <c r="A3525" s="50" t="s">
        <v>8845</v>
      </c>
      <c r="B3525" s="50"/>
      <c r="C3525" s="257" t="s">
        <v>8846</v>
      </c>
    </row>
    <row r="3526" spans="1:3">
      <c r="A3526" s="50" t="s">
        <v>8847</v>
      </c>
      <c r="B3526" s="50"/>
      <c r="C3526" s="257" t="s">
        <v>8848</v>
      </c>
    </row>
    <row r="3527" spans="1:3">
      <c r="A3527" t="s">
        <v>8849</v>
      </c>
      <c r="B3527" t="s">
        <v>8850</v>
      </c>
      <c r="C3527" t="s">
        <v>8851</v>
      </c>
    </row>
    <row r="3528" spans="1:3">
      <c r="A3528" t="s">
        <v>8852</v>
      </c>
      <c r="B3528" t="s">
        <v>8853</v>
      </c>
      <c r="C3528" t="s">
        <v>8854</v>
      </c>
    </row>
    <row r="3529" spans="1:3">
      <c r="A3529" t="s">
        <v>8855</v>
      </c>
      <c r="B3529" t="s">
        <v>8856</v>
      </c>
      <c r="C3529" t="s">
        <v>8857</v>
      </c>
    </row>
    <row r="3530" spans="1:3">
      <c r="A3530" t="s">
        <v>8858</v>
      </c>
      <c r="B3530" t="s">
        <v>8859</v>
      </c>
      <c r="C3530" t="s">
        <v>8860</v>
      </c>
    </row>
    <row r="3531" spans="1:3">
      <c r="A3531" t="s">
        <v>8861</v>
      </c>
      <c r="B3531" t="s">
        <v>8862</v>
      </c>
      <c r="C3531" t="s">
        <v>8863</v>
      </c>
    </row>
    <row r="3532" spans="1:3">
      <c r="A3532" t="s">
        <v>8864</v>
      </c>
      <c r="B3532" t="s">
        <v>8865</v>
      </c>
      <c r="C3532" t="s">
        <v>8866</v>
      </c>
    </row>
    <row r="3533" spans="1:3">
      <c r="A3533" t="s">
        <v>8867</v>
      </c>
      <c r="B3533" t="s">
        <v>8868</v>
      </c>
      <c r="C3533" t="s">
        <v>8869</v>
      </c>
    </row>
    <row r="3534" spans="1:3">
      <c r="A3534" t="s">
        <v>8870</v>
      </c>
      <c r="B3534" t="s">
        <v>8871</v>
      </c>
      <c r="C3534" t="s">
        <v>8872</v>
      </c>
    </row>
    <row r="3535" spans="1:3">
      <c r="A3535" t="s">
        <v>8873</v>
      </c>
      <c r="B3535" t="s">
        <v>8874</v>
      </c>
      <c r="C3535" t="s">
        <v>8875</v>
      </c>
    </row>
    <row r="3536" spans="1:3">
      <c r="A3536" t="s">
        <v>8876</v>
      </c>
      <c r="B3536" t="s">
        <v>8877</v>
      </c>
      <c r="C3536" t="s">
        <v>8878</v>
      </c>
    </row>
    <row r="3537" spans="1:3">
      <c r="A3537" t="s">
        <v>8879</v>
      </c>
      <c r="B3537" t="s">
        <v>8880</v>
      </c>
      <c r="C3537" t="s">
        <v>8881</v>
      </c>
    </row>
    <row r="3538" spans="1:3">
      <c r="A3538" t="s">
        <v>8882</v>
      </c>
      <c r="B3538" t="s">
        <v>8883</v>
      </c>
      <c r="C3538" t="s">
        <v>8884</v>
      </c>
    </row>
    <row r="3539" spans="1:3">
      <c r="A3539" t="s">
        <v>8885</v>
      </c>
      <c r="B3539" t="s">
        <v>8886</v>
      </c>
      <c r="C3539" t="s">
        <v>8887</v>
      </c>
    </row>
    <row r="3540" spans="1:3">
      <c r="A3540" t="s">
        <v>8888</v>
      </c>
      <c r="B3540" t="s">
        <v>8889</v>
      </c>
      <c r="C3540" t="s">
        <v>8890</v>
      </c>
    </row>
    <row r="3541" spans="1:3">
      <c r="A3541" t="s">
        <v>8891</v>
      </c>
      <c r="B3541" t="s">
        <v>8892</v>
      </c>
      <c r="C3541" t="s">
        <v>8893</v>
      </c>
    </row>
    <row r="3542" spans="1:3">
      <c r="A3542" t="s">
        <v>8894</v>
      </c>
      <c r="B3542" t="s">
        <v>8895</v>
      </c>
      <c r="C3542" t="s">
        <v>8896</v>
      </c>
    </row>
    <row r="3543" spans="1:3">
      <c r="A3543" t="s">
        <v>8897</v>
      </c>
      <c r="B3543" t="s">
        <v>8898</v>
      </c>
      <c r="C3543" t="s">
        <v>8899</v>
      </c>
    </row>
    <row r="3544" spans="1:3">
      <c r="A3544" t="s">
        <v>8900</v>
      </c>
      <c r="B3544" t="s">
        <v>8901</v>
      </c>
      <c r="C3544" t="s">
        <v>8902</v>
      </c>
    </row>
    <row r="3545" spans="1:3">
      <c r="A3545" t="s">
        <v>8903</v>
      </c>
      <c r="B3545" t="s">
        <v>8904</v>
      </c>
      <c r="C3545" t="s">
        <v>8905</v>
      </c>
    </row>
    <row r="3546" spans="1:3">
      <c r="A3546" t="s">
        <v>8906</v>
      </c>
      <c r="B3546" t="s">
        <v>8907</v>
      </c>
      <c r="C3546" t="s">
        <v>8908</v>
      </c>
    </row>
    <row r="3547" spans="1:3">
      <c r="A3547" t="s">
        <v>8909</v>
      </c>
      <c r="B3547" t="s">
        <v>8910</v>
      </c>
      <c r="C3547" t="s">
        <v>8911</v>
      </c>
    </row>
    <row r="3548" spans="1:3">
      <c r="A3548" t="s">
        <v>8912</v>
      </c>
      <c r="B3548" t="s">
        <v>8913</v>
      </c>
      <c r="C3548" t="s">
        <v>8914</v>
      </c>
    </row>
    <row r="3549" spans="1:3">
      <c r="A3549" t="s">
        <v>8915</v>
      </c>
      <c r="B3549" t="s">
        <v>8916</v>
      </c>
      <c r="C3549" t="s">
        <v>8917</v>
      </c>
    </row>
    <row r="3550" spans="1:3">
      <c r="A3550" t="s">
        <v>8918</v>
      </c>
      <c r="B3550" t="s">
        <v>8919</v>
      </c>
      <c r="C3550" t="s">
        <v>8920</v>
      </c>
    </row>
    <row r="3551" spans="1:3">
      <c r="A3551" t="s">
        <v>8921</v>
      </c>
      <c r="B3551" t="s">
        <v>8922</v>
      </c>
      <c r="C3551" t="s">
        <v>8923</v>
      </c>
    </row>
    <row r="3552" spans="1:3">
      <c r="A3552" t="s">
        <v>8924</v>
      </c>
      <c r="B3552" t="s">
        <v>8925</v>
      </c>
      <c r="C3552" t="s">
        <v>8926</v>
      </c>
    </row>
    <row r="3553" spans="1:3">
      <c r="A3553" t="s">
        <v>8927</v>
      </c>
      <c r="B3553" t="s">
        <v>8928</v>
      </c>
      <c r="C3553" t="s">
        <v>8929</v>
      </c>
    </row>
    <row r="3554" spans="1:3">
      <c r="A3554" t="s">
        <v>8930</v>
      </c>
      <c r="B3554" t="s">
        <v>8931</v>
      </c>
      <c r="C3554" t="s">
        <v>8932</v>
      </c>
    </row>
    <row r="3555" spans="1:3">
      <c r="A3555" t="s">
        <v>8933</v>
      </c>
      <c r="B3555" t="s">
        <v>8934</v>
      </c>
      <c r="C3555" t="s">
        <v>8935</v>
      </c>
    </row>
    <row r="3556" spans="1:3">
      <c r="A3556" t="s">
        <v>8936</v>
      </c>
      <c r="B3556" t="s">
        <v>8937</v>
      </c>
      <c r="C3556" t="s">
        <v>8938</v>
      </c>
    </row>
    <row r="3557" spans="1:3">
      <c r="A3557" t="s">
        <v>8939</v>
      </c>
      <c r="B3557" t="s">
        <v>8940</v>
      </c>
      <c r="C3557" t="s">
        <v>8941</v>
      </c>
    </row>
    <row r="3558" spans="1:3">
      <c r="A3558" t="s">
        <v>8942</v>
      </c>
      <c r="B3558" t="s">
        <v>8943</v>
      </c>
      <c r="C3558" t="s">
        <v>8944</v>
      </c>
    </row>
    <row r="3559" spans="1:3">
      <c r="A3559" t="s">
        <v>8945</v>
      </c>
      <c r="B3559" t="s">
        <v>8946</v>
      </c>
      <c r="C3559" t="s">
        <v>8947</v>
      </c>
    </row>
    <row r="3560" spans="1:3">
      <c r="A3560" t="s">
        <v>8948</v>
      </c>
      <c r="B3560" t="s">
        <v>8949</v>
      </c>
      <c r="C3560" t="s">
        <v>8950</v>
      </c>
    </row>
    <row r="3561" spans="1:3">
      <c r="A3561" t="s">
        <v>8951</v>
      </c>
      <c r="B3561" t="s">
        <v>8952</v>
      </c>
      <c r="C3561" t="s">
        <v>8953</v>
      </c>
    </row>
    <row r="3562" spans="1:3">
      <c r="A3562" t="s">
        <v>8954</v>
      </c>
      <c r="B3562" t="s">
        <v>8955</v>
      </c>
      <c r="C3562" t="s">
        <v>8956</v>
      </c>
    </row>
    <row r="3563" spans="1:3">
      <c r="A3563" t="s">
        <v>8957</v>
      </c>
      <c r="B3563" t="s">
        <v>8958</v>
      </c>
      <c r="C3563" t="s">
        <v>8959</v>
      </c>
    </row>
    <row r="3564" spans="1:3">
      <c r="A3564" t="s">
        <v>8960</v>
      </c>
      <c r="B3564" t="s">
        <v>8961</v>
      </c>
      <c r="C3564" t="s">
        <v>8962</v>
      </c>
    </row>
    <row r="3565" spans="1:3">
      <c r="A3565" t="s">
        <v>8963</v>
      </c>
      <c r="B3565" t="s">
        <v>8964</v>
      </c>
      <c r="C3565" t="s">
        <v>8965</v>
      </c>
    </row>
    <row r="3566" spans="1:3">
      <c r="A3566" t="s">
        <v>8966</v>
      </c>
      <c r="B3566" t="s">
        <v>8967</v>
      </c>
      <c r="C3566" t="s">
        <v>8968</v>
      </c>
    </row>
    <row r="3567" spans="1:3">
      <c r="A3567" t="s">
        <v>8969</v>
      </c>
      <c r="B3567" t="s">
        <v>8970</v>
      </c>
      <c r="C3567" t="s">
        <v>8971</v>
      </c>
    </row>
    <row r="3568" spans="1:3">
      <c r="A3568" t="s">
        <v>8972</v>
      </c>
      <c r="B3568" t="s">
        <v>8973</v>
      </c>
      <c r="C3568" t="s">
        <v>8974</v>
      </c>
    </row>
    <row r="3569" spans="1:3">
      <c r="A3569" t="s">
        <v>8975</v>
      </c>
      <c r="B3569" t="s">
        <v>8976</v>
      </c>
      <c r="C3569" t="s">
        <v>8977</v>
      </c>
    </row>
    <row r="3570" spans="1:3">
      <c r="A3570" t="s">
        <v>8978</v>
      </c>
      <c r="B3570" t="s">
        <v>8979</v>
      </c>
      <c r="C3570" t="s">
        <v>8980</v>
      </c>
    </row>
    <row r="3571" spans="1:3">
      <c r="A3571" t="s">
        <v>8981</v>
      </c>
      <c r="B3571" t="s">
        <v>8982</v>
      </c>
      <c r="C3571" t="s">
        <v>8983</v>
      </c>
    </row>
    <row r="3572" spans="1:3">
      <c r="A3572" t="s">
        <v>8984</v>
      </c>
      <c r="B3572" t="s">
        <v>8985</v>
      </c>
      <c r="C3572" t="s">
        <v>8986</v>
      </c>
    </row>
    <row r="3573" spans="1:3">
      <c r="A3573" t="s">
        <v>8987</v>
      </c>
      <c r="B3573" t="s">
        <v>8988</v>
      </c>
      <c r="C3573" t="s">
        <v>8989</v>
      </c>
    </row>
    <row r="3574" spans="1:3">
      <c r="A3574" t="s">
        <v>8990</v>
      </c>
      <c r="B3574" t="s">
        <v>8991</v>
      </c>
      <c r="C3574" t="s">
        <v>8992</v>
      </c>
    </row>
    <row r="3575" spans="1:3">
      <c r="A3575" t="s">
        <v>8993</v>
      </c>
      <c r="B3575" t="s">
        <v>8994</v>
      </c>
      <c r="C3575" t="s">
        <v>8995</v>
      </c>
    </row>
    <row r="3576" spans="1:3">
      <c r="A3576" t="s">
        <v>8996</v>
      </c>
      <c r="B3576" t="s">
        <v>8997</v>
      </c>
      <c r="C3576" t="s">
        <v>8998</v>
      </c>
    </row>
    <row r="3577" spans="1:3">
      <c r="A3577" t="s">
        <v>8999</v>
      </c>
      <c r="B3577" t="s">
        <v>9000</v>
      </c>
      <c r="C3577" t="s">
        <v>9001</v>
      </c>
    </row>
    <row r="3578" spans="1:3">
      <c r="A3578" t="s">
        <v>9002</v>
      </c>
      <c r="B3578" t="s">
        <v>9003</v>
      </c>
      <c r="C3578" t="s">
        <v>9004</v>
      </c>
    </row>
    <row r="3579" spans="1:3">
      <c r="A3579" t="s">
        <v>9005</v>
      </c>
      <c r="B3579" t="s">
        <v>9006</v>
      </c>
      <c r="C3579" t="s">
        <v>9007</v>
      </c>
    </row>
    <row r="3580" spans="1:3">
      <c r="A3580" t="s">
        <v>9008</v>
      </c>
      <c r="B3580" t="s">
        <v>9009</v>
      </c>
      <c r="C3580" t="s">
        <v>9010</v>
      </c>
    </row>
    <row r="3581" spans="1:3">
      <c r="A3581" t="s">
        <v>9011</v>
      </c>
      <c r="B3581" t="s">
        <v>9012</v>
      </c>
      <c r="C3581" t="s">
        <v>9013</v>
      </c>
    </row>
    <row r="3582" spans="1:3">
      <c r="A3582" t="s">
        <v>9014</v>
      </c>
      <c r="B3582" t="s">
        <v>9015</v>
      </c>
      <c r="C3582" t="s">
        <v>9016</v>
      </c>
    </row>
    <row r="3583" spans="1:3">
      <c r="A3583" t="s">
        <v>9017</v>
      </c>
      <c r="B3583" t="s">
        <v>9018</v>
      </c>
      <c r="C3583" t="s">
        <v>9019</v>
      </c>
    </row>
    <row r="3584" spans="1:3">
      <c r="A3584" t="s">
        <v>9020</v>
      </c>
      <c r="B3584" t="s">
        <v>9021</v>
      </c>
      <c r="C3584" t="s">
        <v>9022</v>
      </c>
    </row>
    <row r="3585" spans="1:3">
      <c r="A3585" t="s">
        <v>9023</v>
      </c>
      <c r="B3585" t="s">
        <v>9024</v>
      </c>
      <c r="C3585" t="s">
        <v>9025</v>
      </c>
    </row>
    <row r="3586" spans="1:3">
      <c r="A3586" s="50" t="s">
        <v>9026</v>
      </c>
      <c r="B3586" s="50"/>
      <c r="C3586" s="257" t="s">
        <v>9027</v>
      </c>
    </row>
    <row r="3587" spans="1:3">
      <c r="A3587" t="s">
        <v>9028</v>
      </c>
      <c r="B3587" t="s">
        <v>9029</v>
      </c>
      <c r="C3587" t="s">
        <v>9030</v>
      </c>
    </row>
    <row r="3588" spans="1:3">
      <c r="A3588" t="s">
        <v>9031</v>
      </c>
      <c r="B3588" t="s">
        <v>9032</v>
      </c>
      <c r="C3588" t="s">
        <v>9033</v>
      </c>
    </row>
    <row r="3589" spans="1:3">
      <c r="A3589" t="s">
        <v>9034</v>
      </c>
      <c r="B3589" t="s">
        <v>9035</v>
      </c>
      <c r="C3589" t="s">
        <v>9036</v>
      </c>
    </row>
    <row r="3590" spans="1:3">
      <c r="A3590" t="s">
        <v>9037</v>
      </c>
      <c r="B3590" t="s">
        <v>9038</v>
      </c>
      <c r="C3590" t="s">
        <v>9039</v>
      </c>
    </row>
    <row r="3591" spans="1:3">
      <c r="A3591" s="50" t="s">
        <v>9040</v>
      </c>
      <c r="B3591" s="50"/>
      <c r="C3591" s="257" t="s">
        <v>9041</v>
      </c>
    </row>
    <row r="3592" spans="1:3">
      <c r="A3592" s="50" t="s">
        <v>9042</v>
      </c>
      <c r="B3592" s="50"/>
      <c r="C3592" s="257" t="s">
        <v>9043</v>
      </c>
    </row>
    <row r="3593" spans="1:3">
      <c r="A3593" s="50" t="s">
        <v>9044</v>
      </c>
      <c r="B3593" s="50"/>
      <c r="C3593" s="257" t="s">
        <v>9045</v>
      </c>
    </row>
    <row r="3594" spans="1:3">
      <c r="A3594" t="s">
        <v>9046</v>
      </c>
      <c r="B3594" t="s">
        <v>9047</v>
      </c>
      <c r="C3594" t="s">
        <v>9048</v>
      </c>
    </row>
    <row r="3595" spans="1:3">
      <c r="A3595" t="s">
        <v>9049</v>
      </c>
      <c r="B3595" t="s">
        <v>9050</v>
      </c>
      <c r="C3595" t="s">
        <v>9051</v>
      </c>
    </row>
    <row r="3596" spans="1:3">
      <c r="A3596" t="s">
        <v>9052</v>
      </c>
      <c r="B3596" t="s">
        <v>9053</v>
      </c>
      <c r="C3596" t="s">
        <v>9054</v>
      </c>
    </row>
    <row r="3597" spans="1:3">
      <c r="A3597" t="s">
        <v>9055</v>
      </c>
      <c r="B3597" t="s">
        <v>9056</v>
      </c>
      <c r="C3597" t="s">
        <v>9057</v>
      </c>
    </row>
    <row r="3598" spans="1:3">
      <c r="A3598" t="s">
        <v>9058</v>
      </c>
      <c r="B3598" t="s">
        <v>9059</v>
      </c>
      <c r="C3598" t="s">
        <v>9060</v>
      </c>
    </row>
    <row r="3599" spans="1:3">
      <c r="A3599" t="s">
        <v>9061</v>
      </c>
      <c r="B3599" t="s">
        <v>9062</v>
      </c>
      <c r="C3599" t="s">
        <v>9063</v>
      </c>
    </row>
    <row r="3600" spans="1:3">
      <c r="A3600" t="s">
        <v>9064</v>
      </c>
      <c r="B3600" t="s">
        <v>9065</v>
      </c>
      <c r="C3600" t="s">
        <v>9066</v>
      </c>
    </row>
    <row r="3601" spans="1:3">
      <c r="A3601" t="s">
        <v>9067</v>
      </c>
      <c r="B3601" t="s">
        <v>8916</v>
      </c>
      <c r="C3601" t="s">
        <v>9068</v>
      </c>
    </row>
    <row r="3602" spans="1:3">
      <c r="A3602" t="s">
        <v>9069</v>
      </c>
      <c r="B3602" t="s">
        <v>8919</v>
      </c>
      <c r="C3602" t="s">
        <v>9070</v>
      </c>
    </row>
    <row r="3603" spans="1:3">
      <c r="A3603" t="s">
        <v>9071</v>
      </c>
      <c r="B3603" t="s">
        <v>8922</v>
      </c>
      <c r="C3603" t="s">
        <v>9072</v>
      </c>
    </row>
    <row r="3604" spans="1:3">
      <c r="A3604" t="s">
        <v>9073</v>
      </c>
      <c r="B3604" t="s">
        <v>8931</v>
      </c>
      <c r="C3604" t="s">
        <v>9074</v>
      </c>
    </row>
    <row r="3605" spans="1:3">
      <c r="A3605" t="s">
        <v>9075</v>
      </c>
      <c r="B3605" t="s">
        <v>8934</v>
      </c>
      <c r="C3605" t="s">
        <v>9076</v>
      </c>
    </row>
    <row r="3606" spans="1:3">
      <c r="A3606" t="s">
        <v>9077</v>
      </c>
      <c r="B3606" t="s">
        <v>8937</v>
      </c>
      <c r="C3606" t="s">
        <v>9078</v>
      </c>
    </row>
    <row r="3607" spans="1:3">
      <c r="A3607" t="s">
        <v>9079</v>
      </c>
      <c r="B3607" t="s">
        <v>8943</v>
      </c>
      <c r="C3607" t="s">
        <v>9080</v>
      </c>
    </row>
    <row r="3608" spans="1:3">
      <c r="A3608" t="s">
        <v>9081</v>
      </c>
      <c r="B3608" t="s">
        <v>8850</v>
      </c>
      <c r="C3608" t="s">
        <v>9082</v>
      </c>
    </row>
    <row r="3609" spans="1:3">
      <c r="A3609" t="s">
        <v>9083</v>
      </c>
      <c r="B3609" t="s">
        <v>8853</v>
      </c>
      <c r="C3609" t="s">
        <v>9084</v>
      </c>
    </row>
    <row r="3610" spans="1:3">
      <c r="A3610" t="s">
        <v>9085</v>
      </c>
      <c r="B3610" t="s">
        <v>9086</v>
      </c>
      <c r="C3610" t="s">
        <v>9087</v>
      </c>
    </row>
    <row r="3611" spans="1:3">
      <c r="A3611" t="s">
        <v>9088</v>
      </c>
      <c r="B3611" t="s">
        <v>8862</v>
      </c>
      <c r="C3611" t="s">
        <v>9089</v>
      </c>
    </row>
    <row r="3612" spans="1:3">
      <c r="A3612" t="s">
        <v>9090</v>
      </c>
      <c r="B3612" t="s">
        <v>8865</v>
      </c>
      <c r="C3612" t="s">
        <v>9091</v>
      </c>
    </row>
    <row r="3613" spans="1:3">
      <c r="A3613" t="s">
        <v>9092</v>
      </c>
      <c r="B3613" t="s">
        <v>9093</v>
      </c>
      <c r="C3613" t="s">
        <v>9094</v>
      </c>
    </row>
    <row r="3614" spans="1:3">
      <c r="A3614" t="s">
        <v>9095</v>
      </c>
      <c r="B3614" t="s">
        <v>9096</v>
      </c>
      <c r="C3614" t="s">
        <v>9097</v>
      </c>
    </row>
    <row r="3615" spans="1:3">
      <c r="A3615" t="s">
        <v>9098</v>
      </c>
      <c r="B3615" t="s">
        <v>8874</v>
      </c>
      <c r="C3615" t="s">
        <v>9099</v>
      </c>
    </row>
    <row r="3616" spans="1:3">
      <c r="A3616" t="s">
        <v>9100</v>
      </c>
      <c r="B3616" t="s">
        <v>8877</v>
      </c>
      <c r="C3616" t="s">
        <v>9101</v>
      </c>
    </row>
    <row r="3617" spans="1:3">
      <c r="A3617" t="s">
        <v>9102</v>
      </c>
      <c r="B3617" t="s">
        <v>9103</v>
      </c>
      <c r="C3617" t="s">
        <v>9104</v>
      </c>
    </row>
    <row r="3618" spans="1:3">
      <c r="A3618" t="s">
        <v>9105</v>
      </c>
      <c r="B3618" t="s">
        <v>8886</v>
      </c>
      <c r="C3618" t="s">
        <v>9106</v>
      </c>
    </row>
    <row r="3619" spans="1:3">
      <c r="A3619" t="s">
        <v>9107</v>
      </c>
      <c r="B3619" t="s">
        <v>8889</v>
      </c>
      <c r="C3619" t="s">
        <v>9108</v>
      </c>
    </row>
    <row r="3620" spans="1:3">
      <c r="A3620" t="s">
        <v>9109</v>
      </c>
      <c r="B3620" t="s">
        <v>8892</v>
      </c>
      <c r="C3620" t="s">
        <v>9110</v>
      </c>
    </row>
    <row r="3621" spans="1:3">
      <c r="A3621" t="s">
        <v>9111</v>
      </c>
      <c r="B3621" t="s">
        <v>8895</v>
      </c>
      <c r="C3621" t="s">
        <v>9112</v>
      </c>
    </row>
    <row r="3622" spans="1:3">
      <c r="A3622" t="s">
        <v>9113</v>
      </c>
      <c r="B3622" t="s">
        <v>8901</v>
      </c>
      <c r="C3622" t="s">
        <v>9114</v>
      </c>
    </row>
    <row r="3623" spans="1:3">
      <c r="A3623" t="s">
        <v>9115</v>
      </c>
      <c r="B3623" t="s">
        <v>8904</v>
      </c>
      <c r="C3623" t="s">
        <v>9116</v>
      </c>
    </row>
    <row r="3624" spans="1:3">
      <c r="A3624" t="s">
        <v>9117</v>
      </c>
      <c r="B3624" t="s">
        <v>8910</v>
      </c>
      <c r="C3624" t="s">
        <v>9118</v>
      </c>
    </row>
    <row r="3625" spans="1:3">
      <c r="A3625" t="s">
        <v>9119</v>
      </c>
      <c r="B3625" t="s">
        <v>8910</v>
      </c>
      <c r="C3625" t="s">
        <v>9120</v>
      </c>
    </row>
    <row r="3626" spans="1:3">
      <c r="A3626" t="s">
        <v>9121</v>
      </c>
      <c r="B3626" t="s">
        <v>8958</v>
      </c>
      <c r="C3626" t="s">
        <v>9122</v>
      </c>
    </row>
    <row r="3627" spans="1:3">
      <c r="A3627" t="s">
        <v>9123</v>
      </c>
      <c r="B3627" t="s">
        <v>9124</v>
      </c>
      <c r="C3627" t="s">
        <v>9125</v>
      </c>
    </row>
    <row r="3628" spans="1:3">
      <c r="A3628" t="s">
        <v>9126</v>
      </c>
      <c r="B3628" t="s">
        <v>8964</v>
      </c>
      <c r="C3628" t="s">
        <v>9127</v>
      </c>
    </row>
    <row r="3629" spans="1:3">
      <c r="A3629" t="s">
        <v>9128</v>
      </c>
      <c r="B3629" t="s">
        <v>9129</v>
      </c>
      <c r="C3629" t="s">
        <v>9130</v>
      </c>
    </row>
    <row r="3630" spans="1:3">
      <c r="A3630" t="s">
        <v>9131</v>
      </c>
      <c r="B3630" t="s">
        <v>9132</v>
      </c>
      <c r="C3630" t="s">
        <v>9133</v>
      </c>
    </row>
    <row r="3631" spans="1:3">
      <c r="A3631" t="s">
        <v>9134</v>
      </c>
      <c r="B3631" t="s">
        <v>8979</v>
      </c>
      <c r="C3631" t="s">
        <v>9135</v>
      </c>
    </row>
    <row r="3632" spans="1:3">
      <c r="A3632" t="s">
        <v>9136</v>
      </c>
      <c r="B3632" t="s">
        <v>9137</v>
      </c>
      <c r="C3632" t="s">
        <v>9138</v>
      </c>
    </row>
    <row r="3633" spans="1:3">
      <c r="A3633" t="s">
        <v>9139</v>
      </c>
      <c r="B3633" t="s">
        <v>9140</v>
      </c>
      <c r="C3633" t="s">
        <v>9141</v>
      </c>
    </row>
    <row r="3634" spans="1:3">
      <c r="A3634" t="s">
        <v>9142</v>
      </c>
      <c r="B3634" t="s">
        <v>9143</v>
      </c>
      <c r="C3634" t="s">
        <v>9144</v>
      </c>
    </row>
    <row r="3635" spans="1:3">
      <c r="A3635" t="s">
        <v>9145</v>
      </c>
      <c r="B3635" t="s">
        <v>9146</v>
      </c>
      <c r="C3635" t="s">
        <v>9147</v>
      </c>
    </row>
    <row r="3636" spans="1:3">
      <c r="A3636" s="50" t="s">
        <v>9148</v>
      </c>
      <c r="B3636" s="50"/>
      <c r="C3636" s="257" t="s">
        <v>9149</v>
      </c>
    </row>
    <row r="3637" spans="1:3">
      <c r="A3637" t="s">
        <v>9150</v>
      </c>
      <c r="B3637" t="s">
        <v>9151</v>
      </c>
      <c r="C3637" t="s">
        <v>9152</v>
      </c>
    </row>
    <row r="3638" spans="1:3">
      <c r="A3638" t="s">
        <v>9153</v>
      </c>
      <c r="B3638" t="s">
        <v>9154</v>
      </c>
      <c r="C3638" t="s">
        <v>9155</v>
      </c>
    </row>
    <row r="3639" spans="1:3">
      <c r="A3639" t="s">
        <v>9156</v>
      </c>
      <c r="B3639" t="s">
        <v>9157</v>
      </c>
      <c r="C3639" t="s">
        <v>9158</v>
      </c>
    </row>
    <row r="3640" spans="1:3">
      <c r="A3640" t="s">
        <v>9159</v>
      </c>
      <c r="B3640" t="s">
        <v>9160</v>
      </c>
      <c r="C3640" t="s">
        <v>9161</v>
      </c>
    </row>
    <row r="3641" spans="1:3">
      <c r="A3641" t="s">
        <v>9162</v>
      </c>
      <c r="B3641" t="s">
        <v>9163</v>
      </c>
      <c r="C3641" t="s">
        <v>9164</v>
      </c>
    </row>
    <row r="3642" spans="1:3">
      <c r="A3642" t="s">
        <v>9165</v>
      </c>
      <c r="B3642" t="s">
        <v>9166</v>
      </c>
      <c r="C3642" t="s">
        <v>9167</v>
      </c>
    </row>
    <row r="3643" spans="1:3">
      <c r="A3643" t="s">
        <v>9168</v>
      </c>
      <c r="B3643" t="s">
        <v>9169</v>
      </c>
      <c r="C3643" t="s">
        <v>9170</v>
      </c>
    </row>
    <row r="3644" spans="1:3">
      <c r="A3644" t="s">
        <v>9171</v>
      </c>
      <c r="B3644" t="s">
        <v>9172</v>
      </c>
      <c r="C3644" t="s">
        <v>9173</v>
      </c>
    </row>
    <row r="3645" spans="1:3">
      <c r="A3645" t="s">
        <v>9174</v>
      </c>
      <c r="B3645" t="s">
        <v>9175</v>
      </c>
      <c r="C3645" t="s">
        <v>9176</v>
      </c>
    </row>
    <row r="3646" spans="1:3">
      <c r="A3646" t="s">
        <v>9177</v>
      </c>
      <c r="B3646" t="s">
        <v>9178</v>
      </c>
      <c r="C3646" t="s">
        <v>9179</v>
      </c>
    </row>
    <row r="3647" spans="1:3">
      <c r="A3647" t="s">
        <v>9180</v>
      </c>
      <c r="B3647" t="s">
        <v>9181</v>
      </c>
      <c r="C3647" t="s">
        <v>9182</v>
      </c>
    </row>
    <row r="3648" spans="1:3">
      <c r="A3648" t="s">
        <v>9183</v>
      </c>
      <c r="B3648" t="s">
        <v>9184</v>
      </c>
      <c r="C3648" t="s">
        <v>9185</v>
      </c>
    </row>
    <row r="3649" spans="1:3">
      <c r="A3649" t="s">
        <v>9186</v>
      </c>
      <c r="B3649" t="s">
        <v>9187</v>
      </c>
      <c r="C3649" t="s">
        <v>9188</v>
      </c>
    </row>
    <row r="3650" spans="1:3">
      <c r="A3650" t="s">
        <v>9189</v>
      </c>
      <c r="B3650" t="s">
        <v>9190</v>
      </c>
      <c r="C3650" t="s">
        <v>9191</v>
      </c>
    </row>
    <row r="3651" spans="1:3">
      <c r="A3651" t="s">
        <v>9192</v>
      </c>
      <c r="B3651" t="s">
        <v>9193</v>
      </c>
      <c r="C3651" t="s">
        <v>9194</v>
      </c>
    </row>
    <row r="3652" spans="1:3">
      <c r="A3652" t="s">
        <v>9195</v>
      </c>
      <c r="B3652" t="s">
        <v>9196</v>
      </c>
      <c r="C3652" t="s">
        <v>9197</v>
      </c>
    </row>
    <row r="3653" spans="1:3">
      <c r="A3653" t="s">
        <v>9198</v>
      </c>
      <c r="B3653" t="s">
        <v>9199</v>
      </c>
      <c r="C3653" t="s">
        <v>9200</v>
      </c>
    </row>
    <row r="3654" spans="1:3">
      <c r="A3654" t="s">
        <v>9201</v>
      </c>
      <c r="B3654" t="s">
        <v>9202</v>
      </c>
      <c r="C3654" s="74" t="s">
        <v>9203</v>
      </c>
    </row>
    <row r="3655" spans="1:3">
      <c r="A3655" t="s">
        <v>9204</v>
      </c>
      <c r="B3655" t="s">
        <v>9205</v>
      </c>
      <c r="C3655" s="74" t="s">
        <v>9206</v>
      </c>
    </row>
    <row r="3656" spans="1:3">
      <c r="A3656" t="s">
        <v>9207</v>
      </c>
      <c r="B3656" t="s">
        <v>9178</v>
      </c>
      <c r="C3656" t="s">
        <v>9208</v>
      </c>
    </row>
    <row r="3657" spans="1:3">
      <c r="A3657" t="s">
        <v>9209</v>
      </c>
      <c r="B3657" t="s">
        <v>9184</v>
      </c>
      <c r="C3657" t="s">
        <v>9210</v>
      </c>
    </row>
    <row r="3658" spans="1:3">
      <c r="A3658" t="s">
        <v>9211</v>
      </c>
      <c r="B3658" t="s">
        <v>9212</v>
      </c>
      <c r="C3658" t="s">
        <v>9213</v>
      </c>
    </row>
    <row r="3659" spans="1:3">
      <c r="A3659" t="s">
        <v>9214</v>
      </c>
      <c r="B3659" t="s">
        <v>9190</v>
      </c>
      <c r="C3659" t="s">
        <v>9215</v>
      </c>
    </row>
    <row r="3660" spans="1:3">
      <c r="A3660" t="s">
        <v>9216</v>
      </c>
      <c r="B3660" t="s">
        <v>9193</v>
      </c>
      <c r="C3660" t="s">
        <v>9217</v>
      </c>
    </row>
    <row r="3661" spans="1:3">
      <c r="A3661" t="s">
        <v>9218</v>
      </c>
      <c r="B3661" t="s">
        <v>9199</v>
      </c>
      <c r="C3661" t="s">
        <v>9219</v>
      </c>
    </row>
    <row r="3662" spans="1:3">
      <c r="A3662" t="s">
        <v>9220</v>
      </c>
      <c r="B3662" t="s">
        <v>9221</v>
      </c>
      <c r="C3662" s="74" t="s">
        <v>9222</v>
      </c>
    </row>
    <row r="3663" spans="1:3">
      <c r="A3663" t="s">
        <v>9223</v>
      </c>
      <c r="B3663" t="s">
        <v>9224</v>
      </c>
      <c r="C3663" s="74" t="s">
        <v>9225</v>
      </c>
    </row>
    <row r="3664" spans="1:3">
      <c r="A3664" t="s">
        <v>9226</v>
      </c>
      <c r="B3664" t="s">
        <v>9227</v>
      </c>
      <c r="C3664" t="s">
        <v>9228</v>
      </c>
    </row>
    <row r="3665" spans="1:3">
      <c r="A3665" t="s">
        <v>9229</v>
      </c>
      <c r="B3665" t="s">
        <v>9230</v>
      </c>
      <c r="C3665" t="s">
        <v>9231</v>
      </c>
    </row>
    <row r="3666" spans="1:3">
      <c r="A3666" t="s">
        <v>9232</v>
      </c>
      <c r="B3666" t="s">
        <v>9233</v>
      </c>
      <c r="C3666" t="s">
        <v>9234</v>
      </c>
    </row>
    <row r="3667" spans="1:3">
      <c r="A3667" t="s">
        <v>9235</v>
      </c>
      <c r="B3667" t="s">
        <v>9236</v>
      </c>
      <c r="C3667" t="s">
        <v>9237</v>
      </c>
    </row>
    <row r="3668" spans="1:3">
      <c r="A3668" t="s">
        <v>9238</v>
      </c>
      <c r="B3668" t="s">
        <v>9239</v>
      </c>
      <c r="C3668" t="s">
        <v>9240</v>
      </c>
    </row>
    <row r="3669" spans="1:3">
      <c r="A3669" t="s">
        <v>9241</v>
      </c>
      <c r="B3669" t="s">
        <v>9050</v>
      </c>
      <c r="C3669" t="s">
        <v>9242</v>
      </c>
    </row>
    <row r="3670" spans="1:3">
      <c r="A3670" t="s">
        <v>9243</v>
      </c>
      <c r="B3670" t="s">
        <v>9053</v>
      </c>
      <c r="C3670" t="s">
        <v>9244</v>
      </c>
    </row>
    <row r="3671" spans="1:3">
      <c r="A3671" t="s">
        <v>9245</v>
      </c>
      <c r="B3671" t="s">
        <v>9246</v>
      </c>
      <c r="C3671" t="s">
        <v>9247</v>
      </c>
    </row>
    <row r="3672" spans="1:3">
      <c r="A3672" t="s">
        <v>9248</v>
      </c>
      <c r="B3672" t="s">
        <v>9249</v>
      </c>
      <c r="C3672" t="s">
        <v>9250</v>
      </c>
    </row>
    <row r="3673" spans="1:3">
      <c r="A3673" t="s">
        <v>9251</v>
      </c>
      <c r="B3673" t="s">
        <v>9252</v>
      </c>
      <c r="C3673" t="s">
        <v>9253</v>
      </c>
    </row>
    <row r="3674" spans="1:3">
      <c r="A3674" t="s">
        <v>9254</v>
      </c>
      <c r="B3674" t="s">
        <v>9255</v>
      </c>
      <c r="C3674" t="s">
        <v>9256</v>
      </c>
    </row>
    <row r="3675" spans="1:3">
      <c r="A3675" t="s">
        <v>9257</v>
      </c>
      <c r="B3675" t="s">
        <v>9258</v>
      </c>
      <c r="C3675" t="s">
        <v>9259</v>
      </c>
    </row>
    <row r="3676" spans="1:3">
      <c r="A3676" t="s">
        <v>9260</v>
      </c>
      <c r="B3676" t="s">
        <v>9261</v>
      </c>
      <c r="C3676" t="s">
        <v>9262</v>
      </c>
    </row>
    <row r="3677" spans="1:3">
      <c r="A3677" t="s">
        <v>9263</v>
      </c>
      <c r="B3677" t="s">
        <v>9264</v>
      </c>
      <c r="C3677" t="s">
        <v>9265</v>
      </c>
    </row>
    <row r="3678" spans="1:3">
      <c r="A3678" t="s">
        <v>9266</v>
      </c>
      <c r="B3678" t="s">
        <v>9267</v>
      </c>
      <c r="C3678" t="s">
        <v>9268</v>
      </c>
    </row>
    <row r="3679" spans="1:3">
      <c r="A3679" t="s">
        <v>9269</v>
      </c>
      <c r="B3679" t="s">
        <v>9270</v>
      </c>
      <c r="C3679" t="s">
        <v>9271</v>
      </c>
    </row>
    <row r="3680" spans="1:3">
      <c r="A3680" t="s">
        <v>9272</v>
      </c>
      <c r="B3680" t="s">
        <v>9273</v>
      </c>
      <c r="C3680" t="s">
        <v>9274</v>
      </c>
    </row>
    <row r="3681" spans="1:3">
      <c r="A3681" s="50" t="s">
        <v>9275</v>
      </c>
      <c r="B3681" s="50"/>
      <c r="C3681" s="257" t="s">
        <v>9276</v>
      </c>
    </row>
    <row r="3682" spans="1:3">
      <c r="A3682" t="s">
        <v>9277</v>
      </c>
      <c r="B3682" t="s">
        <v>9278</v>
      </c>
      <c r="C3682" t="s">
        <v>9279</v>
      </c>
    </row>
    <row r="3683" spans="1:3">
      <c r="A3683" t="s">
        <v>9280</v>
      </c>
      <c r="B3683" t="s">
        <v>9281</v>
      </c>
      <c r="C3683" t="s">
        <v>9282</v>
      </c>
    </row>
    <row r="3684" spans="1:3">
      <c r="A3684" t="s">
        <v>9283</v>
      </c>
      <c r="B3684" t="s">
        <v>9284</v>
      </c>
      <c r="C3684" t="s">
        <v>9285</v>
      </c>
    </row>
    <row r="3685" spans="1:3">
      <c r="A3685" t="s">
        <v>9286</v>
      </c>
      <c r="B3685" t="s">
        <v>9287</v>
      </c>
      <c r="C3685" t="s">
        <v>9288</v>
      </c>
    </row>
    <row r="3686" spans="1:3">
      <c r="A3686" t="s">
        <v>9289</v>
      </c>
      <c r="B3686" t="s">
        <v>9278</v>
      </c>
      <c r="C3686" t="s">
        <v>9290</v>
      </c>
    </row>
    <row r="3687" spans="1:3">
      <c r="A3687" t="s">
        <v>9291</v>
      </c>
      <c r="B3687" t="s">
        <v>9281</v>
      </c>
      <c r="C3687" t="s">
        <v>9292</v>
      </c>
    </row>
    <row r="3688" spans="1:3">
      <c r="A3688" s="50" t="s">
        <v>9293</v>
      </c>
      <c r="B3688" s="50"/>
      <c r="C3688" s="258" t="s">
        <v>9294</v>
      </c>
    </row>
    <row r="3689" spans="1:3">
      <c r="A3689" s="50" t="s">
        <v>9293</v>
      </c>
      <c r="B3689" s="50"/>
      <c r="C3689" s="258" t="s">
        <v>9295</v>
      </c>
    </row>
    <row r="3690" spans="1:3">
      <c r="A3690" s="50" t="s">
        <v>9293</v>
      </c>
      <c r="B3690" s="50"/>
      <c r="C3690" s="258" t="s">
        <v>9296</v>
      </c>
    </row>
    <row r="3691" spans="1:3">
      <c r="A3691" s="50" t="s">
        <v>9293</v>
      </c>
      <c r="B3691" s="50"/>
      <c r="C3691" s="258" t="s">
        <v>9297</v>
      </c>
    </row>
    <row r="3692" spans="1:3">
      <c r="A3692" s="50" t="s">
        <v>9293</v>
      </c>
      <c r="B3692" s="50"/>
      <c r="C3692" s="258" t="s">
        <v>9298</v>
      </c>
    </row>
    <row r="3693" spans="1:3">
      <c r="A3693" s="50" t="s">
        <v>9293</v>
      </c>
      <c r="B3693" s="50"/>
      <c r="C3693" s="258" t="s">
        <v>9299</v>
      </c>
    </row>
    <row r="3694" spans="1:3">
      <c r="A3694" s="50" t="s">
        <v>9293</v>
      </c>
      <c r="B3694" s="50"/>
      <c r="C3694" s="258" t="s">
        <v>9300</v>
      </c>
    </row>
    <row r="3695" spans="1:3">
      <c r="A3695" s="50" t="s">
        <v>9293</v>
      </c>
      <c r="B3695" s="50"/>
      <c r="C3695" s="258" t="s">
        <v>9301</v>
      </c>
    </row>
    <row r="3696" spans="1:3">
      <c r="A3696" s="50" t="s">
        <v>9293</v>
      </c>
      <c r="B3696" s="50"/>
      <c r="C3696" s="258" t="s">
        <v>9302</v>
      </c>
    </row>
    <row r="3697" spans="1:3">
      <c r="A3697" s="50" t="s">
        <v>9293</v>
      </c>
      <c r="B3697" s="50"/>
      <c r="C3697" s="258" t="s">
        <v>9303</v>
      </c>
    </row>
    <row r="3698" spans="1:3">
      <c r="A3698" s="50" t="s">
        <v>9293</v>
      </c>
      <c r="B3698" s="50"/>
      <c r="C3698" s="258" t="s">
        <v>9304</v>
      </c>
    </row>
    <row r="3699" spans="1:3">
      <c r="A3699" s="50" t="s">
        <v>9293</v>
      </c>
      <c r="B3699" s="50"/>
      <c r="C3699" s="258" t="s">
        <v>9305</v>
      </c>
    </row>
    <row r="3700" spans="1:3">
      <c r="A3700" s="50" t="s">
        <v>9293</v>
      </c>
      <c r="B3700" s="50"/>
      <c r="C3700" s="258" t="s">
        <v>9306</v>
      </c>
    </row>
    <row r="3701" spans="1:3">
      <c r="A3701" s="50" t="s">
        <v>9293</v>
      </c>
      <c r="B3701" s="50"/>
      <c r="C3701" s="258" t="s">
        <v>9307</v>
      </c>
    </row>
    <row r="3702" spans="1:3">
      <c r="A3702" s="50" t="s">
        <v>9293</v>
      </c>
      <c r="B3702" s="50"/>
      <c r="C3702" s="258" t="s">
        <v>9308</v>
      </c>
    </row>
    <row r="3703" spans="1:3">
      <c r="A3703" s="50" t="s">
        <v>9293</v>
      </c>
      <c r="B3703" s="50"/>
      <c r="C3703" s="258" t="s">
        <v>9309</v>
      </c>
    </row>
    <row r="3704" spans="1:3">
      <c r="A3704" t="s">
        <v>9310</v>
      </c>
      <c r="B3704" t="s">
        <v>9311</v>
      </c>
      <c r="C3704" t="s">
        <v>9312</v>
      </c>
    </row>
    <row r="3705" spans="1:3">
      <c r="A3705" t="s">
        <v>9313</v>
      </c>
      <c r="B3705" t="s">
        <v>9230</v>
      </c>
      <c r="C3705" t="s">
        <v>9314</v>
      </c>
    </row>
    <row r="3706" spans="1:3">
      <c r="A3706" t="s">
        <v>9315</v>
      </c>
      <c r="B3706" t="s">
        <v>9233</v>
      </c>
      <c r="C3706" t="s">
        <v>9316</v>
      </c>
    </row>
    <row r="3707" spans="1:3">
      <c r="A3707" t="s">
        <v>9317</v>
      </c>
      <c r="B3707" t="s">
        <v>9318</v>
      </c>
      <c r="C3707" t="s">
        <v>9319</v>
      </c>
    </row>
    <row r="3708" spans="1:3">
      <c r="A3708" t="s">
        <v>9320</v>
      </c>
      <c r="B3708" t="s">
        <v>9321</v>
      </c>
      <c r="C3708" t="s">
        <v>9322</v>
      </c>
    </row>
    <row r="3709" spans="1:3">
      <c r="A3709" t="s">
        <v>9323</v>
      </c>
      <c r="B3709" t="s">
        <v>8104</v>
      </c>
      <c r="C3709" t="s">
        <v>9324</v>
      </c>
    </row>
    <row r="3710" spans="1:3">
      <c r="A3710" t="s">
        <v>9325</v>
      </c>
      <c r="B3710" t="s">
        <v>8101</v>
      </c>
      <c r="C3710" t="s">
        <v>9326</v>
      </c>
    </row>
    <row r="3711" spans="1:3">
      <c r="A3711" t="s">
        <v>9327</v>
      </c>
      <c r="B3711" t="s">
        <v>9328</v>
      </c>
      <c r="C3711" t="s">
        <v>9329</v>
      </c>
    </row>
    <row r="3712" spans="1:3">
      <c r="A3712" t="s">
        <v>9330</v>
      </c>
      <c r="B3712" t="s">
        <v>9331</v>
      </c>
      <c r="C3712" t="s">
        <v>9332</v>
      </c>
    </row>
    <row r="3713" spans="1:3">
      <c r="A3713" t="s">
        <v>9333</v>
      </c>
      <c r="B3713" t="s">
        <v>9334</v>
      </c>
      <c r="C3713" t="s">
        <v>9335</v>
      </c>
    </row>
    <row r="3714" spans="1:3">
      <c r="A3714" t="s">
        <v>9336</v>
      </c>
      <c r="B3714" t="s">
        <v>9264</v>
      </c>
      <c r="C3714" t="s">
        <v>9337</v>
      </c>
    </row>
    <row r="3715" spans="1:3">
      <c r="A3715" t="s">
        <v>9338</v>
      </c>
      <c r="B3715" t="s">
        <v>9339</v>
      </c>
      <c r="C3715" t="s">
        <v>9340</v>
      </c>
    </row>
    <row r="3716" spans="1:3">
      <c r="A3716" t="s">
        <v>9341</v>
      </c>
      <c r="B3716" t="s">
        <v>9270</v>
      </c>
      <c r="C3716" t="s">
        <v>9342</v>
      </c>
    </row>
    <row r="3717" spans="1:3">
      <c r="A3717" t="s">
        <v>9343</v>
      </c>
      <c r="B3717" t="s">
        <v>9273</v>
      </c>
      <c r="C3717" t="s">
        <v>9344</v>
      </c>
    </row>
    <row r="3718" spans="1:3">
      <c r="A3718" t="s">
        <v>9345</v>
      </c>
      <c r="B3718" t="s">
        <v>9346</v>
      </c>
      <c r="C3718" t="s">
        <v>9347</v>
      </c>
    </row>
    <row r="3719" spans="1:3">
      <c r="A3719" t="s">
        <v>9348</v>
      </c>
      <c r="B3719" t="s">
        <v>9349</v>
      </c>
      <c r="C3719" t="s">
        <v>9350</v>
      </c>
    </row>
    <row r="3720" spans="1:3">
      <c r="A3720" t="s">
        <v>9351</v>
      </c>
      <c r="B3720" t="s">
        <v>9352</v>
      </c>
      <c r="C3720" t="s">
        <v>9353</v>
      </c>
    </row>
    <row r="3721" spans="1:3">
      <c r="A3721" t="s">
        <v>9354</v>
      </c>
      <c r="B3721" t="s">
        <v>9355</v>
      </c>
      <c r="C3721" t="s">
        <v>9356</v>
      </c>
    </row>
    <row r="3722" spans="1:3">
      <c r="A3722" t="s">
        <v>9357</v>
      </c>
      <c r="B3722" t="s">
        <v>9358</v>
      </c>
      <c r="C3722" t="s">
        <v>9359</v>
      </c>
    </row>
    <row r="3723" spans="1:3">
      <c r="A3723" t="s">
        <v>9360</v>
      </c>
      <c r="B3723" t="s">
        <v>9361</v>
      </c>
      <c r="C3723" t="s">
        <v>9362</v>
      </c>
    </row>
    <row r="3724" spans="1:3">
      <c r="A3724" t="s">
        <v>9363</v>
      </c>
      <c r="B3724" t="s">
        <v>9364</v>
      </c>
      <c r="C3724" t="s">
        <v>9365</v>
      </c>
    </row>
    <row r="3725" spans="1:3">
      <c r="A3725" t="s">
        <v>9366</v>
      </c>
      <c r="B3725" t="s">
        <v>9367</v>
      </c>
      <c r="C3725" t="s">
        <v>9368</v>
      </c>
    </row>
    <row r="3726" spans="1:3">
      <c r="A3726" t="s">
        <v>9369</v>
      </c>
      <c r="B3726" t="s">
        <v>9370</v>
      </c>
      <c r="C3726" t="s">
        <v>9371</v>
      </c>
    </row>
    <row r="3727" spans="1:3">
      <c r="A3727" t="s">
        <v>9372</v>
      </c>
      <c r="B3727" t="s">
        <v>9373</v>
      </c>
      <c r="C3727" t="s">
        <v>9374</v>
      </c>
    </row>
    <row r="3728" spans="1:3">
      <c r="A3728" t="s">
        <v>9375</v>
      </c>
      <c r="B3728" t="s">
        <v>9376</v>
      </c>
      <c r="C3728" t="s">
        <v>9377</v>
      </c>
    </row>
    <row r="3729" spans="1:3">
      <c r="A3729" t="s">
        <v>9378</v>
      </c>
      <c r="B3729" t="s">
        <v>9379</v>
      </c>
      <c r="C3729" t="s">
        <v>9380</v>
      </c>
    </row>
    <row r="3730" spans="1:3">
      <c r="A3730" t="s">
        <v>9381</v>
      </c>
      <c r="B3730" t="s">
        <v>9382</v>
      </c>
      <c r="C3730" t="s">
        <v>9383</v>
      </c>
    </row>
    <row r="3731" spans="1:3">
      <c r="A3731" t="s">
        <v>9384</v>
      </c>
      <c r="B3731" t="s">
        <v>9385</v>
      </c>
      <c r="C3731" t="s">
        <v>9386</v>
      </c>
    </row>
    <row r="3732" spans="1:3">
      <c r="A3732" s="50" t="s">
        <v>9387</v>
      </c>
      <c r="B3732" s="50"/>
      <c r="C3732" s="257" t="s">
        <v>9388</v>
      </c>
    </row>
    <row r="3733" spans="1:3">
      <c r="A3733" s="50" t="s">
        <v>9389</v>
      </c>
      <c r="B3733" s="50"/>
      <c r="C3733" s="257" t="s">
        <v>9390</v>
      </c>
    </row>
    <row r="3734" spans="1:3">
      <c r="A3734" t="s">
        <v>9391</v>
      </c>
      <c r="B3734" t="s">
        <v>9392</v>
      </c>
      <c r="C3734" t="s">
        <v>9393</v>
      </c>
    </row>
    <row r="3735" spans="1:3">
      <c r="A3735" s="50" t="s">
        <v>9394</v>
      </c>
      <c r="B3735" s="50"/>
      <c r="C3735" s="257" t="s">
        <v>9395</v>
      </c>
    </row>
    <row r="3736" spans="1:3">
      <c r="A3736" t="s">
        <v>9396</v>
      </c>
      <c r="B3736" t="s">
        <v>9397</v>
      </c>
      <c r="C3736" t="s">
        <v>9398</v>
      </c>
    </row>
    <row r="3737" spans="1:3">
      <c r="A3737" t="s">
        <v>9399</v>
      </c>
      <c r="B3737" t="s">
        <v>9400</v>
      </c>
      <c r="C3737" t="s">
        <v>9401</v>
      </c>
    </row>
    <row r="3738" spans="1:3">
      <c r="A3738" t="s">
        <v>9402</v>
      </c>
      <c r="B3738" t="s">
        <v>9403</v>
      </c>
      <c r="C3738" t="s">
        <v>9404</v>
      </c>
    </row>
    <row r="3739" spans="1:3">
      <c r="A3739" t="s">
        <v>9405</v>
      </c>
      <c r="B3739" t="s">
        <v>9406</v>
      </c>
      <c r="C3739" t="s">
        <v>9407</v>
      </c>
    </row>
    <row r="3740" spans="1:3">
      <c r="A3740" t="s">
        <v>9408</v>
      </c>
      <c r="B3740" t="s">
        <v>9409</v>
      </c>
      <c r="C3740" t="s">
        <v>9410</v>
      </c>
    </row>
    <row r="3741" spans="1:3">
      <c r="A3741" t="s">
        <v>9411</v>
      </c>
      <c r="B3741" t="s">
        <v>9412</v>
      </c>
      <c r="C3741" t="s">
        <v>9413</v>
      </c>
    </row>
    <row r="3742" spans="1:3">
      <c r="A3742" t="s">
        <v>9414</v>
      </c>
      <c r="B3742" t="s">
        <v>9415</v>
      </c>
      <c r="C3742" t="s">
        <v>9416</v>
      </c>
    </row>
    <row r="3743" spans="1:3">
      <c r="A3743" t="s">
        <v>9417</v>
      </c>
      <c r="B3743" t="s">
        <v>9418</v>
      </c>
      <c r="C3743" t="s">
        <v>9419</v>
      </c>
    </row>
    <row r="3744" spans="1:3">
      <c r="A3744" t="s">
        <v>9420</v>
      </c>
      <c r="B3744" t="s">
        <v>9421</v>
      </c>
      <c r="C3744" t="s">
        <v>9422</v>
      </c>
    </row>
    <row r="3745" spans="1:3">
      <c r="A3745" t="s">
        <v>9423</v>
      </c>
      <c r="B3745" t="s">
        <v>9424</v>
      </c>
      <c r="C3745" t="s">
        <v>9425</v>
      </c>
    </row>
    <row r="3746" spans="1:3">
      <c r="A3746" t="s">
        <v>9426</v>
      </c>
      <c r="B3746" t="s">
        <v>9427</v>
      </c>
      <c r="C3746" t="s">
        <v>9428</v>
      </c>
    </row>
    <row r="3747" spans="1:3">
      <c r="A3747" t="s">
        <v>9429</v>
      </c>
      <c r="B3747" t="s">
        <v>9430</v>
      </c>
      <c r="C3747" t="s">
        <v>9431</v>
      </c>
    </row>
    <row r="3748" spans="1:3">
      <c r="A3748" t="s">
        <v>9432</v>
      </c>
      <c r="B3748" t="s">
        <v>9433</v>
      </c>
      <c r="C3748" t="s">
        <v>9434</v>
      </c>
    </row>
    <row r="3749" spans="1:3">
      <c r="A3749" t="s">
        <v>9435</v>
      </c>
      <c r="B3749" t="s">
        <v>9436</v>
      </c>
      <c r="C3749" t="s">
        <v>9437</v>
      </c>
    </row>
    <row r="3750" spans="1:3">
      <c r="A3750" t="s">
        <v>9438</v>
      </c>
      <c r="B3750" t="s">
        <v>9439</v>
      </c>
      <c r="C3750" t="s">
        <v>9440</v>
      </c>
    </row>
    <row r="3751" spans="1:3">
      <c r="A3751" t="s">
        <v>9441</v>
      </c>
      <c r="B3751" t="s">
        <v>9442</v>
      </c>
      <c r="C3751" t="s">
        <v>9443</v>
      </c>
    </row>
    <row r="3752" spans="1:3">
      <c r="A3752" t="s">
        <v>9444</v>
      </c>
      <c r="B3752" t="s">
        <v>9445</v>
      </c>
      <c r="C3752" t="s">
        <v>9446</v>
      </c>
    </row>
    <row r="3753" spans="1:3">
      <c r="A3753" t="s">
        <v>9447</v>
      </c>
      <c r="B3753" t="s">
        <v>9448</v>
      </c>
      <c r="C3753" t="s">
        <v>9449</v>
      </c>
    </row>
    <row r="3754" spans="1:3">
      <c r="A3754" t="s">
        <v>9450</v>
      </c>
      <c r="B3754" t="s">
        <v>9451</v>
      </c>
      <c r="C3754" t="s">
        <v>9452</v>
      </c>
    </row>
    <row r="3755" spans="1:3">
      <c r="A3755" t="s">
        <v>9453</v>
      </c>
      <c r="B3755" t="s">
        <v>9400</v>
      </c>
      <c r="C3755" t="s">
        <v>9454</v>
      </c>
    </row>
    <row r="3756" spans="1:3">
      <c r="A3756" t="s">
        <v>9455</v>
      </c>
      <c r="B3756" t="s">
        <v>9456</v>
      </c>
      <c r="C3756" t="s">
        <v>9457</v>
      </c>
    </row>
    <row r="3757" spans="1:3">
      <c r="A3757" t="s">
        <v>9458</v>
      </c>
      <c r="B3757" t="s">
        <v>9421</v>
      </c>
      <c r="C3757" t="s">
        <v>9459</v>
      </c>
    </row>
    <row r="3758" spans="1:3">
      <c r="A3758" t="s">
        <v>9460</v>
      </c>
      <c r="B3758" t="s">
        <v>9461</v>
      </c>
      <c r="C3758" t="s">
        <v>9462</v>
      </c>
    </row>
    <row r="3759" spans="1:3">
      <c r="A3759" t="s">
        <v>9463</v>
      </c>
      <c r="B3759" t="s">
        <v>9464</v>
      </c>
      <c r="C3759" t="s">
        <v>9465</v>
      </c>
    </row>
    <row r="3760" spans="1:3">
      <c r="A3760" t="s">
        <v>9466</v>
      </c>
      <c r="B3760" t="s">
        <v>9467</v>
      </c>
      <c r="C3760" t="s">
        <v>9468</v>
      </c>
    </row>
    <row r="3761" spans="1:3">
      <c r="A3761" t="s">
        <v>9469</v>
      </c>
      <c r="B3761" t="s">
        <v>9470</v>
      </c>
      <c r="C3761" t="s">
        <v>9471</v>
      </c>
    </row>
    <row r="3762" spans="1:3">
      <c r="A3762" t="s">
        <v>9472</v>
      </c>
      <c r="B3762" t="s">
        <v>9473</v>
      </c>
      <c r="C3762" t="s">
        <v>9474</v>
      </c>
    </row>
    <row r="3763" spans="1:3">
      <c r="A3763" t="s">
        <v>9475</v>
      </c>
      <c r="B3763" t="s">
        <v>9476</v>
      </c>
      <c r="C3763" t="s">
        <v>9477</v>
      </c>
    </row>
    <row r="3764" spans="1:3">
      <c r="A3764" t="s">
        <v>9478</v>
      </c>
      <c r="B3764" t="s">
        <v>9479</v>
      </c>
      <c r="C3764" t="s">
        <v>9480</v>
      </c>
    </row>
    <row r="3765" spans="1:3">
      <c r="A3765" t="s">
        <v>9481</v>
      </c>
      <c r="B3765" t="s">
        <v>9482</v>
      </c>
      <c r="C3765" t="s">
        <v>9483</v>
      </c>
    </row>
    <row r="3766" spans="1:3">
      <c r="A3766" t="s">
        <v>9484</v>
      </c>
      <c r="B3766" t="s">
        <v>9485</v>
      </c>
      <c r="C3766" t="s">
        <v>9486</v>
      </c>
    </row>
    <row r="3767" spans="1:3">
      <c r="A3767" t="s">
        <v>9487</v>
      </c>
      <c r="B3767" t="s">
        <v>8862</v>
      </c>
      <c r="C3767" t="s">
        <v>9488</v>
      </c>
    </row>
    <row r="3768" spans="1:3">
      <c r="A3768" t="s">
        <v>9489</v>
      </c>
      <c r="B3768" t="s">
        <v>9403</v>
      </c>
      <c r="C3768" t="s">
        <v>9490</v>
      </c>
    </row>
    <row r="3769" spans="1:3">
      <c r="A3769" t="s">
        <v>9491</v>
      </c>
      <c r="B3769" t="s">
        <v>9492</v>
      </c>
      <c r="C3769" t="s">
        <v>9493</v>
      </c>
    </row>
    <row r="3770" spans="1:3">
      <c r="A3770" t="s">
        <v>9494</v>
      </c>
      <c r="B3770" t="s">
        <v>9495</v>
      </c>
      <c r="C3770" t="s">
        <v>9496</v>
      </c>
    </row>
    <row r="3771" spans="1:3">
      <c r="A3771" t="s">
        <v>9497</v>
      </c>
      <c r="B3771" t="s">
        <v>9498</v>
      </c>
      <c r="C3771" t="s">
        <v>9499</v>
      </c>
    </row>
    <row r="3772" spans="1:3">
      <c r="A3772" t="s">
        <v>9500</v>
      </c>
      <c r="B3772" t="s">
        <v>9501</v>
      </c>
      <c r="C3772" t="s">
        <v>9502</v>
      </c>
    </row>
    <row r="3773" spans="1:3">
      <c r="A3773" t="s">
        <v>9503</v>
      </c>
      <c r="B3773" t="s">
        <v>9504</v>
      </c>
      <c r="C3773" t="s">
        <v>9505</v>
      </c>
    </row>
    <row r="3774" spans="1:3">
      <c r="A3774" t="s">
        <v>9506</v>
      </c>
      <c r="B3774" t="s">
        <v>9507</v>
      </c>
      <c r="C3774" t="s">
        <v>9508</v>
      </c>
    </row>
    <row r="3775" spans="1:3">
      <c r="A3775" t="s">
        <v>9509</v>
      </c>
      <c r="B3775" t="s">
        <v>9510</v>
      </c>
      <c r="C3775" t="s">
        <v>9511</v>
      </c>
    </row>
    <row r="3776" spans="1:3">
      <c r="A3776" t="s">
        <v>9512</v>
      </c>
      <c r="B3776" t="s">
        <v>9513</v>
      </c>
      <c r="C3776" t="s">
        <v>9514</v>
      </c>
    </row>
    <row r="3777" spans="1:3">
      <c r="A3777" t="s">
        <v>9515</v>
      </c>
      <c r="B3777" t="s">
        <v>9516</v>
      </c>
      <c r="C3777" t="s">
        <v>9517</v>
      </c>
    </row>
    <row r="3778" spans="1:3">
      <c r="A3778" t="s">
        <v>9518</v>
      </c>
      <c r="B3778" t="s">
        <v>9519</v>
      </c>
      <c r="C3778" t="s">
        <v>9520</v>
      </c>
    </row>
    <row r="3779" spans="1:3">
      <c r="A3779" t="s">
        <v>9521</v>
      </c>
      <c r="B3779" t="s">
        <v>9522</v>
      </c>
      <c r="C3779" t="s">
        <v>9523</v>
      </c>
    </row>
    <row r="3780" spans="1:3">
      <c r="A3780" t="s">
        <v>9524</v>
      </c>
      <c r="B3780" t="s">
        <v>9406</v>
      </c>
      <c r="C3780" t="s">
        <v>9525</v>
      </c>
    </row>
    <row r="3781" spans="1:3">
      <c r="A3781" t="s">
        <v>9526</v>
      </c>
      <c r="B3781" t="s">
        <v>9527</v>
      </c>
      <c r="C3781" t="s">
        <v>9528</v>
      </c>
    </row>
    <row r="3782" spans="1:3">
      <c r="A3782" t="s">
        <v>9529</v>
      </c>
      <c r="B3782" t="s">
        <v>9530</v>
      </c>
      <c r="C3782" t="s">
        <v>9531</v>
      </c>
    </row>
    <row r="3783" spans="1:3">
      <c r="A3783" t="s">
        <v>9532</v>
      </c>
      <c r="B3783" t="s">
        <v>9533</v>
      </c>
      <c r="C3783" t="s">
        <v>9534</v>
      </c>
    </row>
    <row r="3784" spans="1:3">
      <c r="A3784" t="s">
        <v>9535</v>
      </c>
      <c r="B3784" t="s">
        <v>9536</v>
      </c>
      <c r="C3784" t="s">
        <v>9537</v>
      </c>
    </row>
    <row r="3785" spans="1:3">
      <c r="A3785" t="s">
        <v>9538</v>
      </c>
      <c r="B3785" t="s">
        <v>9539</v>
      </c>
      <c r="C3785" t="s">
        <v>9540</v>
      </c>
    </row>
    <row r="3786" spans="1:3">
      <c r="A3786" t="s">
        <v>9541</v>
      </c>
      <c r="B3786" t="s">
        <v>9542</v>
      </c>
      <c r="C3786" t="s">
        <v>9543</v>
      </c>
    </row>
    <row r="3787" spans="1:3">
      <c r="A3787" t="s">
        <v>9544</v>
      </c>
      <c r="B3787" t="s">
        <v>9409</v>
      </c>
      <c r="C3787" t="s">
        <v>9545</v>
      </c>
    </row>
    <row r="3788" spans="1:3">
      <c r="A3788" t="s">
        <v>9546</v>
      </c>
      <c r="B3788" t="s">
        <v>8892</v>
      </c>
      <c r="C3788" t="s">
        <v>9547</v>
      </c>
    </row>
    <row r="3789" spans="1:3">
      <c r="A3789" t="s">
        <v>9548</v>
      </c>
      <c r="B3789" t="s">
        <v>9412</v>
      </c>
      <c r="C3789" t="s">
        <v>9549</v>
      </c>
    </row>
    <row r="3790" spans="1:3">
      <c r="A3790" t="s">
        <v>9550</v>
      </c>
      <c r="B3790" t="s">
        <v>9551</v>
      </c>
      <c r="C3790" t="s">
        <v>9552</v>
      </c>
    </row>
    <row r="3791" spans="1:3">
      <c r="A3791" t="s">
        <v>9553</v>
      </c>
      <c r="B3791" t="s">
        <v>9415</v>
      </c>
      <c r="C3791" t="s">
        <v>9554</v>
      </c>
    </row>
    <row r="3792" spans="1:3">
      <c r="A3792" t="s">
        <v>9555</v>
      </c>
      <c r="B3792" t="s">
        <v>9556</v>
      </c>
      <c r="C3792" t="s">
        <v>9557</v>
      </c>
    </row>
    <row r="3793" spans="1:3">
      <c r="A3793" t="s">
        <v>9558</v>
      </c>
      <c r="B3793" t="s">
        <v>9559</v>
      </c>
      <c r="C3793" t="s">
        <v>9560</v>
      </c>
    </row>
    <row r="3794" spans="1:3">
      <c r="A3794" t="s">
        <v>9561</v>
      </c>
      <c r="B3794" t="s">
        <v>9418</v>
      </c>
      <c r="C3794" t="s">
        <v>9562</v>
      </c>
    </row>
    <row r="3795" spans="1:3">
      <c r="A3795" t="s">
        <v>9563</v>
      </c>
      <c r="B3795" t="s">
        <v>9564</v>
      </c>
      <c r="C3795" t="s">
        <v>9565</v>
      </c>
    </row>
    <row r="3796" spans="1:3">
      <c r="A3796" t="s">
        <v>9566</v>
      </c>
      <c r="B3796" t="s">
        <v>9567</v>
      </c>
      <c r="C3796" t="s">
        <v>9568</v>
      </c>
    </row>
    <row r="3797" spans="1:3">
      <c r="A3797" t="s">
        <v>9569</v>
      </c>
      <c r="B3797" t="s">
        <v>9570</v>
      </c>
      <c r="C3797" t="s">
        <v>9571</v>
      </c>
    </row>
    <row r="3798" spans="1:3">
      <c r="A3798" t="s">
        <v>9572</v>
      </c>
      <c r="B3798" t="s">
        <v>9573</v>
      </c>
      <c r="C3798" t="s">
        <v>9574</v>
      </c>
    </row>
    <row r="3799" spans="1:3">
      <c r="A3799" t="s">
        <v>9575</v>
      </c>
      <c r="B3799" t="s">
        <v>9576</v>
      </c>
      <c r="C3799" t="s">
        <v>9577</v>
      </c>
    </row>
    <row r="3800" spans="1:3">
      <c r="A3800" t="s">
        <v>9578</v>
      </c>
      <c r="B3800" t="s">
        <v>9579</v>
      </c>
      <c r="C3800" t="s">
        <v>9580</v>
      </c>
    </row>
    <row r="3801" spans="1:3">
      <c r="A3801" t="s">
        <v>9581</v>
      </c>
      <c r="B3801" t="s">
        <v>9582</v>
      </c>
      <c r="C3801" t="s">
        <v>9583</v>
      </c>
    </row>
    <row r="3802" spans="1:3">
      <c r="A3802" t="s">
        <v>9584</v>
      </c>
      <c r="B3802" t="s">
        <v>9585</v>
      </c>
      <c r="C3802" t="s">
        <v>9586</v>
      </c>
    </row>
    <row r="3803" spans="1:3">
      <c r="A3803" t="s">
        <v>9587</v>
      </c>
      <c r="B3803" t="s">
        <v>9424</v>
      </c>
      <c r="C3803" t="s">
        <v>9588</v>
      </c>
    </row>
    <row r="3804" spans="1:3">
      <c r="A3804" t="s">
        <v>9589</v>
      </c>
      <c r="B3804" t="s">
        <v>9590</v>
      </c>
      <c r="C3804" t="s">
        <v>9591</v>
      </c>
    </row>
    <row r="3805" spans="1:3">
      <c r="A3805" t="s">
        <v>9592</v>
      </c>
      <c r="B3805" t="s">
        <v>9593</v>
      </c>
      <c r="C3805" t="s">
        <v>9594</v>
      </c>
    </row>
    <row r="3806" spans="1:3">
      <c r="A3806" t="s">
        <v>9595</v>
      </c>
      <c r="B3806" t="s">
        <v>9596</v>
      </c>
      <c r="C3806" t="s">
        <v>9597</v>
      </c>
    </row>
    <row r="3807" spans="1:3">
      <c r="A3807" t="s">
        <v>9598</v>
      </c>
      <c r="B3807" t="s">
        <v>8528</v>
      </c>
      <c r="C3807" t="s">
        <v>9599</v>
      </c>
    </row>
    <row r="3808" spans="1:3">
      <c r="A3808" t="s">
        <v>9600</v>
      </c>
      <c r="B3808" t="s">
        <v>8525</v>
      </c>
      <c r="C3808" t="s">
        <v>9601</v>
      </c>
    </row>
    <row r="3809" spans="1:3">
      <c r="A3809" t="s">
        <v>9602</v>
      </c>
      <c r="B3809" t="s">
        <v>9603</v>
      </c>
      <c r="C3809" t="s">
        <v>9604</v>
      </c>
    </row>
    <row r="3810" spans="1:3">
      <c r="A3810" t="s">
        <v>9605</v>
      </c>
      <c r="B3810" t="s">
        <v>9606</v>
      </c>
      <c r="C3810" t="s">
        <v>9607</v>
      </c>
    </row>
    <row r="3811" spans="1:3">
      <c r="A3811" t="s">
        <v>9608</v>
      </c>
      <c r="B3811" t="s">
        <v>8531</v>
      </c>
      <c r="C3811" t="s">
        <v>9609</v>
      </c>
    </row>
    <row r="3812" spans="1:3">
      <c r="A3812" t="s">
        <v>9610</v>
      </c>
      <c r="B3812" t="s">
        <v>9611</v>
      </c>
      <c r="C3812" t="s">
        <v>9612</v>
      </c>
    </row>
    <row r="3813" spans="1:3">
      <c r="A3813" t="s">
        <v>9613</v>
      </c>
      <c r="B3813" t="s">
        <v>9611</v>
      </c>
      <c r="C3813" t="s">
        <v>9614</v>
      </c>
    </row>
    <row r="3814" spans="1:3">
      <c r="A3814" t="s">
        <v>9615</v>
      </c>
      <c r="B3814" t="s">
        <v>9616</v>
      </c>
      <c r="C3814" t="s">
        <v>9617</v>
      </c>
    </row>
    <row r="3815" spans="1:3">
      <c r="A3815" t="s">
        <v>9618</v>
      </c>
      <c r="B3815" t="s">
        <v>9616</v>
      </c>
      <c r="C3815" t="s">
        <v>9619</v>
      </c>
    </row>
    <row r="3816" spans="1:3">
      <c r="A3816" t="s">
        <v>9620</v>
      </c>
      <c r="B3816" t="s">
        <v>9621</v>
      </c>
      <c r="C3816" t="s">
        <v>9622</v>
      </c>
    </row>
    <row r="3817" spans="1:3">
      <c r="A3817" t="s">
        <v>9623</v>
      </c>
      <c r="B3817" t="s">
        <v>8540</v>
      </c>
      <c r="C3817" t="s">
        <v>9624</v>
      </c>
    </row>
    <row r="3818" spans="1:3">
      <c r="A3818" t="s">
        <v>9625</v>
      </c>
      <c r="B3818" t="s">
        <v>8534</v>
      </c>
      <c r="C3818" t="s">
        <v>9626</v>
      </c>
    </row>
    <row r="3819" spans="1:3">
      <c r="A3819" t="s">
        <v>9627</v>
      </c>
      <c r="B3819" t="s">
        <v>8537</v>
      </c>
      <c r="C3819" t="s">
        <v>9628</v>
      </c>
    </row>
    <row r="3820" spans="1:3">
      <c r="A3820" t="s">
        <v>9629</v>
      </c>
      <c r="B3820" t="s">
        <v>9630</v>
      </c>
      <c r="C3820" t="s">
        <v>9631</v>
      </c>
    </row>
    <row r="3821" spans="1:3">
      <c r="A3821" t="s">
        <v>9632</v>
      </c>
      <c r="B3821" t="s">
        <v>9633</v>
      </c>
      <c r="C3821" t="s">
        <v>9634</v>
      </c>
    </row>
    <row r="3822" spans="1:3">
      <c r="A3822" t="s">
        <v>9635</v>
      </c>
      <c r="B3822" t="s">
        <v>9636</v>
      </c>
      <c r="C3822" t="s">
        <v>9637</v>
      </c>
    </row>
    <row r="3823" spans="1:3">
      <c r="A3823" t="s">
        <v>9638</v>
      </c>
      <c r="B3823" t="s">
        <v>9639</v>
      </c>
      <c r="C3823" t="s">
        <v>9640</v>
      </c>
    </row>
    <row r="3824" spans="1:3">
      <c r="A3824" t="s">
        <v>9641</v>
      </c>
      <c r="B3824" t="s">
        <v>9642</v>
      </c>
      <c r="C3824" t="s">
        <v>9643</v>
      </c>
    </row>
    <row r="3825" spans="1:3">
      <c r="A3825" t="s">
        <v>9644</v>
      </c>
      <c r="B3825" t="s">
        <v>9645</v>
      </c>
      <c r="C3825" t="s">
        <v>9646</v>
      </c>
    </row>
    <row r="3826" spans="1:3">
      <c r="A3826" t="s">
        <v>9647</v>
      </c>
      <c r="B3826" t="s">
        <v>9648</v>
      </c>
      <c r="C3826" t="s">
        <v>9649</v>
      </c>
    </row>
    <row r="3827" spans="1:3">
      <c r="A3827" t="s">
        <v>9650</v>
      </c>
      <c r="B3827" t="s">
        <v>9651</v>
      </c>
      <c r="C3827" t="s">
        <v>9652</v>
      </c>
    </row>
    <row r="3828" spans="1:3">
      <c r="A3828" t="s">
        <v>9653</v>
      </c>
      <c r="B3828" t="s">
        <v>9654</v>
      </c>
      <c r="C3828" t="s">
        <v>9655</v>
      </c>
    </row>
    <row r="3829" spans="1:3">
      <c r="A3829" t="s">
        <v>9656</v>
      </c>
      <c r="B3829" t="s">
        <v>9657</v>
      </c>
      <c r="C3829" t="s">
        <v>9658</v>
      </c>
    </row>
    <row r="3830" spans="1:3">
      <c r="A3830" t="s">
        <v>9659</v>
      </c>
      <c r="B3830" t="s">
        <v>9660</v>
      </c>
      <c r="C3830" t="s">
        <v>9661</v>
      </c>
    </row>
    <row r="3831" spans="1:3">
      <c r="A3831" t="s">
        <v>9662</v>
      </c>
      <c r="B3831" t="s">
        <v>9663</v>
      </c>
      <c r="C3831" t="s">
        <v>9664</v>
      </c>
    </row>
    <row r="3832" spans="1:3">
      <c r="A3832" t="s">
        <v>9665</v>
      </c>
      <c r="B3832" t="s">
        <v>9666</v>
      </c>
      <c r="C3832" t="s">
        <v>9667</v>
      </c>
    </row>
    <row r="3833" spans="1:3">
      <c r="A3833" t="s">
        <v>9668</v>
      </c>
      <c r="B3833" t="s">
        <v>9669</v>
      </c>
      <c r="C3833" t="s">
        <v>9670</v>
      </c>
    </row>
    <row r="3834" spans="1:3">
      <c r="A3834" t="s">
        <v>9671</v>
      </c>
      <c r="B3834" t="s">
        <v>9672</v>
      </c>
      <c r="C3834" t="s">
        <v>9673</v>
      </c>
    </row>
    <row r="3835" spans="1:3">
      <c r="A3835" t="s">
        <v>9674</v>
      </c>
      <c r="B3835" t="s">
        <v>9675</v>
      </c>
      <c r="C3835" t="s">
        <v>9676</v>
      </c>
    </row>
    <row r="3836" spans="1:3">
      <c r="A3836" t="s">
        <v>9677</v>
      </c>
      <c r="B3836" t="s">
        <v>9678</v>
      </c>
      <c r="C3836" t="s">
        <v>9679</v>
      </c>
    </row>
    <row r="3837" spans="1:3">
      <c r="A3837" t="s">
        <v>9680</v>
      </c>
      <c r="B3837" t="s">
        <v>9681</v>
      </c>
      <c r="C3837" t="s">
        <v>9682</v>
      </c>
    </row>
    <row r="3838" spans="1:3">
      <c r="A3838" t="s">
        <v>9683</v>
      </c>
      <c r="B3838" t="s">
        <v>9684</v>
      </c>
      <c r="C3838" t="s">
        <v>9685</v>
      </c>
    </row>
    <row r="3839" spans="1:3">
      <c r="A3839" t="s">
        <v>9686</v>
      </c>
      <c r="B3839" t="s">
        <v>9687</v>
      </c>
      <c r="C3839" t="s">
        <v>9688</v>
      </c>
    </row>
    <row r="3840" spans="1:3">
      <c r="A3840" t="s">
        <v>9689</v>
      </c>
      <c r="B3840" t="s">
        <v>9690</v>
      </c>
      <c r="C3840" t="s">
        <v>9691</v>
      </c>
    </row>
    <row r="3841" spans="1:3">
      <c r="A3841" t="s">
        <v>9692</v>
      </c>
      <c r="B3841" t="s">
        <v>9693</v>
      </c>
      <c r="C3841" t="s">
        <v>9694</v>
      </c>
    </row>
    <row r="3842" spans="1:3">
      <c r="A3842" t="s">
        <v>9695</v>
      </c>
      <c r="B3842" t="s">
        <v>9696</v>
      </c>
      <c r="C3842" t="s">
        <v>9697</v>
      </c>
    </row>
    <row r="3843" spans="1:3">
      <c r="A3843" t="s">
        <v>9698</v>
      </c>
      <c r="B3843" t="s">
        <v>9699</v>
      </c>
      <c r="C3843" t="s">
        <v>9700</v>
      </c>
    </row>
    <row r="3844" spans="1:3">
      <c r="A3844" t="s">
        <v>9701</v>
      </c>
      <c r="B3844" t="s">
        <v>9702</v>
      </c>
      <c r="C3844" t="s">
        <v>9703</v>
      </c>
    </row>
    <row r="3845" spans="1:3">
      <c r="A3845" t="s">
        <v>9704</v>
      </c>
      <c r="B3845" t="s">
        <v>8958</v>
      </c>
      <c r="C3845" t="s">
        <v>9705</v>
      </c>
    </row>
    <row r="3846" spans="1:3">
      <c r="A3846" t="s">
        <v>9706</v>
      </c>
      <c r="B3846" t="s">
        <v>9707</v>
      </c>
      <c r="C3846" t="s">
        <v>9708</v>
      </c>
    </row>
    <row r="3847" spans="1:3">
      <c r="A3847" t="s">
        <v>9709</v>
      </c>
      <c r="B3847" t="s">
        <v>9710</v>
      </c>
      <c r="C3847" t="s">
        <v>9711</v>
      </c>
    </row>
    <row r="3848" spans="1:3">
      <c r="A3848" t="s">
        <v>9712</v>
      </c>
      <c r="B3848" t="s">
        <v>9713</v>
      </c>
      <c r="C3848" t="s">
        <v>9714</v>
      </c>
    </row>
    <row r="3849" spans="1:3">
      <c r="A3849" s="50" t="s">
        <v>9715</v>
      </c>
      <c r="B3849" s="50"/>
      <c r="C3849" s="257" t="s">
        <v>9716</v>
      </c>
    </row>
    <row r="3850" spans="1:3">
      <c r="A3850" s="50" t="s">
        <v>9717</v>
      </c>
      <c r="B3850" s="50"/>
      <c r="C3850" s="257" t="s">
        <v>9718</v>
      </c>
    </row>
    <row r="3851" spans="1:3">
      <c r="A3851" s="50" t="s">
        <v>9719</v>
      </c>
      <c r="B3851" s="50"/>
      <c r="C3851" s="257" t="s">
        <v>9720</v>
      </c>
    </row>
    <row r="3852" spans="1:3">
      <c r="A3852" s="50" t="s">
        <v>9721</v>
      </c>
      <c r="B3852" s="50"/>
      <c r="C3852" s="257" t="s">
        <v>9722</v>
      </c>
    </row>
    <row r="3853" spans="1:3">
      <c r="A3853" t="s">
        <v>9723</v>
      </c>
      <c r="B3853" t="s">
        <v>9724</v>
      </c>
      <c r="C3853" s="74" t="s">
        <v>9725</v>
      </c>
    </row>
    <row r="3854" spans="1:3">
      <c r="A3854" t="s">
        <v>9726</v>
      </c>
      <c r="B3854" t="s">
        <v>9727</v>
      </c>
      <c r="C3854" s="74" t="s">
        <v>9728</v>
      </c>
    </row>
    <row r="3855" spans="1:3">
      <c r="A3855" t="s">
        <v>9729</v>
      </c>
      <c r="B3855" t="s">
        <v>9730</v>
      </c>
      <c r="C3855" s="74" t="s">
        <v>9731</v>
      </c>
    </row>
    <row r="3856" spans="1:3">
      <c r="A3856" t="s">
        <v>9732</v>
      </c>
      <c r="B3856" t="s">
        <v>9733</v>
      </c>
      <c r="C3856" s="74" t="s">
        <v>9734</v>
      </c>
    </row>
    <row r="3857" spans="1:3">
      <c r="A3857" s="50" t="s">
        <v>9735</v>
      </c>
      <c r="B3857" s="50"/>
      <c r="C3857" s="257" t="s">
        <v>9736</v>
      </c>
    </row>
    <row r="3858" spans="1:3">
      <c r="A3858" t="s">
        <v>9737</v>
      </c>
      <c r="B3858" t="s">
        <v>9400</v>
      </c>
      <c r="C3858" t="s">
        <v>9738</v>
      </c>
    </row>
    <row r="3859" spans="1:3">
      <c r="A3859" t="s">
        <v>9739</v>
      </c>
      <c r="B3859" t="s">
        <v>9409</v>
      </c>
      <c r="C3859" t="s">
        <v>9740</v>
      </c>
    </row>
    <row r="3860" spans="1:3">
      <c r="A3860" t="s">
        <v>9741</v>
      </c>
      <c r="B3860" t="s">
        <v>9412</v>
      </c>
      <c r="C3860" t="s">
        <v>9742</v>
      </c>
    </row>
    <row r="3861" spans="1:3">
      <c r="A3861" t="s">
        <v>9743</v>
      </c>
      <c r="B3861" t="s">
        <v>9415</v>
      </c>
      <c r="C3861" t="s">
        <v>9744</v>
      </c>
    </row>
    <row r="3862" spans="1:3">
      <c r="A3862" t="s">
        <v>9745</v>
      </c>
      <c r="B3862" t="s">
        <v>9424</v>
      </c>
      <c r="C3862" t="s">
        <v>9746</v>
      </c>
    </row>
    <row r="3863" spans="1:3">
      <c r="A3863" t="s">
        <v>9747</v>
      </c>
      <c r="B3863" t="s">
        <v>9748</v>
      </c>
      <c r="C3863" t="s">
        <v>9749</v>
      </c>
    </row>
    <row r="3864" spans="1:3">
      <c r="A3864" s="50" t="s">
        <v>9750</v>
      </c>
      <c r="B3864" s="50"/>
      <c r="C3864" s="257" t="s">
        <v>9751</v>
      </c>
    </row>
    <row r="3865" spans="1:3">
      <c r="A3865" s="50" t="s">
        <v>9752</v>
      </c>
      <c r="B3865" s="50"/>
      <c r="C3865" s="257" t="s">
        <v>9753</v>
      </c>
    </row>
    <row r="3866" spans="1:3">
      <c r="A3866" s="50" t="s">
        <v>9754</v>
      </c>
      <c r="B3866" s="50"/>
      <c r="C3866" s="257" t="s">
        <v>9755</v>
      </c>
    </row>
    <row r="3867" spans="1:3">
      <c r="A3867" s="50" t="s">
        <v>9756</v>
      </c>
      <c r="B3867" s="50"/>
      <c r="C3867" s="257" t="s">
        <v>9757</v>
      </c>
    </row>
    <row r="3868" spans="1:3">
      <c r="A3868" s="50" t="s">
        <v>9758</v>
      </c>
      <c r="B3868" s="50"/>
      <c r="C3868" s="257" t="s">
        <v>9759</v>
      </c>
    </row>
    <row r="3869" spans="1:3">
      <c r="A3869" s="50" t="s">
        <v>9760</v>
      </c>
      <c r="B3869" s="50"/>
      <c r="C3869" s="257" t="s">
        <v>9761</v>
      </c>
    </row>
    <row r="3870" spans="1:3">
      <c r="A3870" s="50" t="s">
        <v>9762</v>
      </c>
      <c r="B3870" s="50"/>
      <c r="C3870" s="257" t="s">
        <v>9763</v>
      </c>
    </row>
    <row r="3871" spans="1:3">
      <c r="A3871" s="50" t="s">
        <v>9764</v>
      </c>
      <c r="B3871" s="50"/>
      <c r="C3871" s="257" t="s">
        <v>9765</v>
      </c>
    </row>
    <row r="3872" spans="1:3">
      <c r="A3872" s="50" t="s">
        <v>9766</v>
      </c>
      <c r="B3872" s="50"/>
      <c r="C3872" s="257" t="s">
        <v>9767</v>
      </c>
    </row>
    <row r="3873" spans="1:3">
      <c r="A3873" s="50" t="s">
        <v>9768</v>
      </c>
      <c r="B3873" s="50"/>
      <c r="C3873" s="257" t="s">
        <v>9769</v>
      </c>
    </row>
    <row r="3874" spans="1:3">
      <c r="A3874" t="s">
        <v>9770</v>
      </c>
      <c r="B3874" t="s">
        <v>9771</v>
      </c>
      <c r="C3874" s="74" t="s">
        <v>9772</v>
      </c>
    </row>
    <row r="3875" spans="1:3">
      <c r="A3875" t="s">
        <v>9773</v>
      </c>
      <c r="B3875" t="s">
        <v>9774</v>
      </c>
      <c r="C3875" s="74" t="s">
        <v>9775</v>
      </c>
    </row>
    <row r="3876" spans="1:3">
      <c r="A3876" t="s">
        <v>9776</v>
      </c>
      <c r="B3876" t="s">
        <v>9777</v>
      </c>
      <c r="C3876" s="74" t="s">
        <v>9778</v>
      </c>
    </row>
    <row r="3877" spans="1:3">
      <c r="A3877" t="s">
        <v>9779</v>
      </c>
      <c r="B3877" t="s">
        <v>9780</v>
      </c>
      <c r="C3877" t="s">
        <v>9781</v>
      </c>
    </row>
    <row r="3878" spans="1:3">
      <c r="A3878" t="s">
        <v>9782</v>
      </c>
      <c r="B3878" t="s">
        <v>9783</v>
      </c>
      <c r="C3878" t="s">
        <v>9784</v>
      </c>
    </row>
    <row r="3879" spans="1:3">
      <c r="A3879" t="s">
        <v>9785</v>
      </c>
      <c r="B3879" t="s">
        <v>9786</v>
      </c>
      <c r="C3879" t="s">
        <v>9787</v>
      </c>
    </row>
    <row r="3880" spans="1:3">
      <c r="A3880" t="s">
        <v>9788</v>
      </c>
      <c r="B3880" t="s">
        <v>9789</v>
      </c>
      <c r="C3880" t="s">
        <v>9790</v>
      </c>
    </row>
    <row r="3881" spans="1:3">
      <c r="A3881" t="s">
        <v>9791</v>
      </c>
      <c r="B3881" t="s">
        <v>9792</v>
      </c>
      <c r="C3881" t="s">
        <v>9793</v>
      </c>
    </row>
    <row r="3882" spans="1:3">
      <c r="A3882" t="s">
        <v>9794</v>
      </c>
      <c r="B3882" t="s">
        <v>9795</v>
      </c>
      <c r="C3882" t="s">
        <v>9796</v>
      </c>
    </row>
    <row r="3883" spans="1:3">
      <c r="A3883" t="s">
        <v>9797</v>
      </c>
      <c r="B3883" t="s">
        <v>9798</v>
      </c>
      <c r="C3883" t="s">
        <v>9799</v>
      </c>
    </row>
    <row r="3884" spans="1:3">
      <c r="A3884" t="s">
        <v>9800</v>
      </c>
      <c r="B3884" t="s">
        <v>9801</v>
      </c>
      <c r="C3884" t="s">
        <v>9802</v>
      </c>
    </row>
    <row r="3885" spans="1:3">
      <c r="A3885" t="s">
        <v>9803</v>
      </c>
      <c r="B3885" t="s">
        <v>9804</v>
      </c>
      <c r="C3885" t="s">
        <v>9805</v>
      </c>
    </row>
    <row r="3886" spans="1:3">
      <c r="A3886" t="s">
        <v>9806</v>
      </c>
      <c r="B3886" t="s">
        <v>9807</v>
      </c>
      <c r="C3886" t="s">
        <v>9808</v>
      </c>
    </row>
    <row r="3887" spans="1:3">
      <c r="A3887" t="s">
        <v>9809</v>
      </c>
      <c r="B3887" t="s">
        <v>9810</v>
      </c>
      <c r="C3887" t="s">
        <v>9811</v>
      </c>
    </row>
    <row r="3888" spans="1:3">
      <c r="A3888" t="s">
        <v>9812</v>
      </c>
      <c r="B3888" t="s">
        <v>9813</v>
      </c>
      <c r="C3888" t="s">
        <v>9814</v>
      </c>
    </row>
    <row r="3889" spans="1:3">
      <c r="A3889" t="s">
        <v>9815</v>
      </c>
      <c r="B3889" t="s">
        <v>9816</v>
      </c>
      <c r="C3889" t="s">
        <v>9817</v>
      </c>
    </row>
    <row r="3890" spans="1:3">
      <c r="A3890" t="s">
        <v>9818</v>
      </c>
      <c r="B3890" t="s">
        <v>9819</v>
      </c>
      <c r="C3890" t="s">
        <v>9820</v>
      </c>
    </row>
    <row r="3891" spans="1:3">
      <c r="A3891" t="s">
        <v>9821</v>
      </c>
      <c r="B3891" t="s">
        <v>9822</v>
      </c>
      <c r="C3891" t="s">
        <v>9823</v>
      </c>
    </row>
    <row r="3892" spans="1:3">
      <c r="A3892" t="s">
        <v>9824</v>
      </c>
      <c r="B3892" t="s">
        <v>9825</v>
      </c>
      <c r="C3892" t="s">
        <v>9826</v>
      </c>
    </row>
    <row r="3893" spans="1:3">
      <c r="A3893" t="s">
        <v>9827</v>
      </c>
      <c r="B3893" t="s">
        <v>9828</v>
      </c>
      <c r="C3893" s="74" t="s">
        <v>9829</v>
      </c>
    </row>
    <row r="3894" spans="1:3">
      <c r="A3894" t="s">
        <v>9830</v>
      </c>
      <c r="B3894" t="s">
        <v>9831</v>
      </c>
      <c r="C3894" s="74" t="s">
        <v>9832</v>
      </c>
    </row>
    <row r="3895" spans="1:3">
      <c r="A3895" t="s">
        <v>9833</v>
      </c>
      <c r="B3895" t="s">
        <v>9834</v>
      </c>
      <c r="C3895" s="74" t="s">
        <v>9835</v>
      </c>
    </row>
    <row r="3896" spans="1:3">
      <c r="A3896" t="s">
        <v>9836</v>
      </c>
      <c r="B3896" t="s">
        <v>9837</v>
      </c>
      <c r="C3896" t="s">
        <v>9838</v>
      </c>
    </row>
    <row r="3897" spans="1:3">
      <c r="A3897" t="s">
        <v>9839</v>
      </c>
      <c r="B3897" t="s">
        <v>9840</v>
      </c>
      <c r="C3897" t="s">
        <v>9841</v>
      </c>
    </row>
    <row r="3898" spans="1:3">
      <c r="A3898" s="50" t="s">
        <v>9842</v>
      </c>
      <c r="B3898" s="50"/>
      <c r="C3898" s="257" t="s">
        <v>9843</v>
      </c>
    </row>
    <row r="3899" spans="1:3">
      <c r="A3899" s="50" t="s">
        <v>9844</v>
      </c>
      <c r="B3899" s="50"/>
      <c r="C3899" s="257" t="s">
        <v>9845</v>
      </c>
    </row>
    <row r="3900" spans="1:3">
      <c r="A3900" t="s">
        <v>9846</v>
      </c>
      <c r="B3900" t="s">
        <v>9847</v>
      </c>
      <c r="C3900" t="s">
        <v>9848</v>
      </c>
    </row>
    <row r="3901" spans="1:3">
      <c r="A3901" t="s">
        <v>9849</v>
      </c>
      <c r="B3901" t="s">
        <v>9850</v>
      </c>
      <c r="C3901" t="s">
        <v>9851</v>
      </c>
    </row>
    <row r="3902" spans="1:3">
      <c r="A3902" t="s">
        <v>9852</v>
      </c>
      <c r="B3902" t="s">
        <v>9853</v>
      </c>
      <c r="C3902" t="s">
        <v>9854</v>
      </c>
    </row>
    <row r="3903" spans="1:3">
      <c r="A3903" t="s">
        <v>9855</v>
      </c>
      <c r="B3903" t="s">
        <v>9856</v>
      </c>
      <c r="C3903" t="s">
        <v>9857</v>
      </c>
    </row>
    <row r="3904" spans="1:3">
      <c r="A3904" t="s">
        <v>9858</v>
      </c>
      <c r="B3904" t="s">
        <v>9859</v>
      </c>
      <c r="C3904" t="s">
        <v>9860</v>
      </c>
    </row>
    <row r="3905" spans="1:3">
      <c r="A3905" t="s">
        <v>9861</v>
      </c>
      <c r="B3905" t="s">
        <v>9862</v>
      </c>
      <c r="C3905" t="s">
        <v>9863</v>
      </c>
    </row>
    <row r="3906" spans="1:3">
      <c r="A3906" t="s">
        <v>9864</v>
      </c>
      <c r="B3906" t="s">
        <v>9865</v>
      </c>
      <c r="C3906" t="s">
        <v>9866</v>
      </c>
    </row>
    <row r="3907" spans="1:3">
      <c r="A3907" t="s">
        <v>9867</v>
      </c>
      <c r="B3907" t="s">
        <v>9868</v>
      </c>
      <c r="C3907" t="s">
        <v>9869</v>
      </c>
    </row>
    <row r="3908" spans="1:3">
      <c r="A3908" t="s">
        <v>9870</v>
      </c>
      <c r="B3908" t="s">
        <v>9871</v>
      </c>
      <c r="C3908" t="s">
        <v>9872</v>
      </c>
    </row>
    <row r="3909" spans="1:3">
      <c r="A3909" t="s">
        <v>9873</v>
      </c>
      <c r="B3909" t="s">
        <v>9874</v>
      </c>
      <c r="C3909" t="s">
        <v>9875</v>
      </c>
    </row>
    <row r="3910" spans="1:3">
      <c r="A3910" t="s">
        <v>9876</v>
      </c>
      <c r="B3910" t="s">
        <v>9877</v>
      </c>
      <c r="C3910" t="s">
        <v>9878</v>
      </c>
    </row>
    <row r="3911" spans="1:3">
      <c r="A3911" t="s">
        <v>9879</v>
      </c>
      <c r="B3911" t="s">
        <v>9880</v>
      </c>
      <c r="C3911" t="s">
        <v>9881</v>
      </c>
    </row>
    <row r="3912" spans="1:3">
      <c r="A3912" t="s">
        <v>9882</v>
      </c>
      <c r="B3912" t="s">
        <v>9883</v>
      </c>
      <c r="C3912" t="s">
        <v>9884</v>
      </c>
    </row>
    <row r="3913" spans="1:3">
      <c r="A3913" t="s">
        <v>9885</v>
      </c>
      <c r="B3913" t="s">
        <v>9886</v>
      </c>
      <c r="C3913" t="s">
        <v>9887</v>
      </c>
    </row>
    <row r="3914" spans="1:3">
      <c r="A3914" t="s">
        <v>9888</v>
      </c>
      <c r="B3914" t="s">
        <v>9889</v>
      </c>
      <c r="C3914" t="s">
        <v>9890</v>
      </c>
    </row>
    <row r="3915" spans="1:3">
      <c r="A3915" t="s">
        <v>9891</v>
      </c>
      <c r="B3915" t="s">
        <v>9892</v>
      </c>
      <c r="C3915" s="74" t="s">
        <v>9893</v>
      </c>
    </row>
    <row r="3916" spans="1:3">
      <c r="A3916" t="s">
        <v>9894</v>
      </c>
      <c r="B3916" t="s">
        <v>9895</v>
      </c>
      <c r="C3916" s="74" t="s">
        <v>9896</v>
      </c>
    </row>
    <row r="3917" spans="1:3">
      <c r="A3917" t="s">
        <v>9897</v>
      </c>
      <c r="B3917" t="s">
        <v>9898</v>
      </c>
      <c r="C3917" t="s">
        <v>9899</v>
      </c>
    </row>
    <row r="3918" spans="1:3">
      <c r="A3918" t="s">
        <v>9900</v>
      </c>
      <c r="B3918" t="s">
        <v>9901</v>
      </c>
      <c r="C3918" t="s">
        <v>9902</v>
      </c>
    </row>
    <row r="3919" spans="1:3">
      <c r="A3919" t="s">
        <v>9903</v>
      </c>
      <c r="B3919" t="s">
        <v>9904</v>
      </c>
      <c r="C3919" t="s">
        <v>9905</v>
      </c>
    </row>
    <row r="3920" spans="1:3">
      <c r="A3920" t="s">
        <v>9906</v>
      </c>
      <c r="B3920" t="s">
        <v>9907</v>
      </c>
      <c r="C3920" t="s">
        <v>9908</v>
      </c>
    </row>
    <row r="3921" spans="1:3">
      <c r="A3921" t="s">
        <v>9909</v>
      </c>
      <c r="B3921" t="s">
        <v>9910</v>
      </c>
      <c r="C3921" t="s">
        <v>9911</v>
      </c>
    </row>
    <row r="3922" spans="1:3">
      <c r="A3922" t="s">
        <v>9912</v>
      </c>
      <c r="B3922" t="s">
        <v>9913</v>
      </c>
      <c r="C3922" t="s">
        <v>9914</v>
      </c>
    </row>
    <row r="3923" spans="1:3">
      <c r="A3923" t="s">
        <v>9915</v>
      </c>
      <c r="B3923" t="s">
        <v>9916</v>
      </c>
      <c r="C3923" t="s">
        <v>9917</v>
      </c>
    </row>
    <row r="3924" spans="1:3">
      <c r="A3924" t="s">
        <v>9918</v>
      </c>
      <c r="B3924" t="s">
        <v>9919</v>
      </c>
      <c r="C3924" t="s">
        <v>9920</v>
      </c>
    </row>
    <row r="3925" spans="1:3">
      <c r="A3925" t="s">
        <v>9921</v>
      </c>
      <c r="B3925" t="s">
        <v>9922</v>
      </c>
      <c r="C3925" t="s">
        <v>9923</v>
      </c>
    </row>
    <row r="3926" spans="1:3">
      <c r="A3926" t="s">
        <v>9924</v>
      </c>
      <c r="B3926" t="s">
        <v>9925</v>
      </c>
      <c r="C3926" t="s">
        <v>9926</v>
      </c>
    </row>
    <row r="3927" spans="1:3">
      <c r="A3927" t="s">
        <v>9927</v>
      </c>
      <c r="B3927" t="s">
        <v>9928</v>
      </c>
      <c r="C3927" t="s">
        <v>9929</v>
      </c>
    </row>
    <row r="3928" spans="1:3">
      <c r="A3928" t="s">
        <v>9930</v>
      </c>
      <c r="B3928" t="s">
        <v>9931</v>
      </c>
      <c r="C3928" t="s">
        <v>9932</v>
      </c>
    </row>
    <row r="3929" spans="1:3">
      <c r="A3929" t="s">
        <v>9933</v>
      </c>
      <c r="B3929" t="s">
        <v>9934</v>
      </c>
      <c r="C3929" t="s">
        <v>9935</v>
      </c>
    </row>
    <row r="3930" spans="1:3">
      <c r="A3930" t="s">
        <v>9936</v>
      </c>
      <c r="B3930" t="s">
        <v>9937</v>
      </c>
      <c r="C3930" t="s">
        <v>9938</v>
      </c>
    </row>
    <row r="3931" spans="1:3">
      <c r="A3931" t="s">
        <v>9939</v>
      </c>
      <c r="B3931" t="s">
        <v>9940</v>
      </c>
      <c r="C3931" t="s">
        <v>9941</v>
      </c>
    </row>
    <row r="3932" spans="1:3">
      <c r="A3932" t="s">
        <v>9942</v>
      </c>
      <c r="B3932" t="s">
        <v>9943</v>
      </c>
      <c r="C3932" t="s">
        <v>9944</v>
      </c>
    </row>
    <row r="3933" spans="1:3">
      <c r="A3933" t="s">
        <v>9945</v>
      </c>
      <c r="B3933" t="s">
        <v>9946</v>
      </c>
      <c r="C3933" t="s">
        <v>9947</v>
      </c>
    </row>
    <row r="3934" spans="1:3">
      <c r="A3934" t="s">
        <v>9948</v>
      </c>
      <c r="B3934" t="s">
        <v>9949</v>
      </c>
      <c r="C3934" t="s">
        <v>9950</v>
      </c>
    </row>
    <row r="3935" spans="1:3">
      <c r="A3935" s="50" t="s">
        <v>9951</v>
      </c>
      <c r="B3935" s="50"/>
      <c r="C3935" s="257" t="s">
        <v>9952</v>
      </c>
    </row>
    <row r="3936" spans="1:3">
      <c r="A3936" t="s">
        <v>9953</v>
      </c>
      <c r="B3936" t="s">
        <v>9954</v>
      </c>
      <c r="C3936" t="s">
        <v>9955</v>
      </c>
    </row>
    <row r="3937" spans="1:3">
      <c r="A3937" s="50" t="s">
        <v>9956</v>
      </c>
      <c r="B3937" s="50"/>
      <c r="C3937" s="257" t="s">
        <v>9957</v>
      </c>
    </row>
    <row r="3938" spans="1:3">
      <c r="A3938" t="s">
        <v>9958</v>
      </c>
      <c r="B3938" t="s">
        <v>9959</v>
      </c>
      <c r="C3938" t="s">
        <v>9960</v>
      </c>
    </row>
    <row r="3939" spans="1:3">
      <c r="A3939" t="s">
        <v>9961</v>
      </c>
      <c r="B3939" t="s">
        <v>9962</v>
      </c>
      <c r="C3939" t="s">
        <v>9963</v>
      </c>
    </row>
    <row r="3940" spans="1:3">
      <c r="A3940" t="s">
        <v>9964</v>
      </c>
      <c r="B3940" t="s">
        <v>9965</v>
      </c>
      <c r="C3940" t="s">
        <v>9966</v>
      </c>
    </row>
    <row r="3941" spans="1:3">
      <c r="A3941" t="s">
        <v>9967</v>
      </c>
      <c r="B3941" t="s">
        <v>9968</v>
      </c>
      <c r="C3941" t="s">
        <v>9969</v>
      </c>
    </row>
    <row r="3942" spans="1:3">
      <c r="A3942" t="s">
        <v>9970</v>
      </c>
      <c r="B3942" t="s">
        <v>9971</v>
      </c>
      <c r="C3942" t="s">
        <v>9972</v>
      </c>
    </row>
    <row r="3943" spans="1:3">
      <c r="A3943" s="50" t="s">
        <v>9973</v>
      </c>
      <c r="B3943" s="50"/>
      <c r="C3943" s="257" t="s">
        <v>9974</v>
      </c>
    </row>
    <row r="3944" spans="1:3">
      <c r="A3944" t="s">
        <v>9975</v>
      </c>
      <c r="B3944" t="s">
        <v>9976</v>
      </c>
      <c r="C3944" t="s">
        <v>9977</v>
      </c>
    </row>
    <row r="3945" spans="1:3">
      <c r="A3945" t="s">
        <v>9978</v>
      </c>
      <c r="B3945" t="s">
        <v>9979</v>
      </c>
      <c r="C3945" t="s">
        <v>9980</v>
      </c>
    </row>
    <row r="3946" spans="1:3">
      <c r="A3946" t="s">
        <v>9981</v>
      </c>
      <c r="B3946" t="s">
        <v>9982</v>
      </c>
      <c r="C3946" t="s">
        <v>9983</v>
      </c>
    </row>
    <row r="3947" spans="1:3">
      <c r="A3947" s="50" t="s">
        <v>9984</v>
      </c>
      <c r="B3947" s="50"/>
      <c r="C3947" s="257" t="s">
        <v>9985</v>
      </c>
    </row>
    <row r="3948" spans="1:3">
      <c r="A3948" s="50" t="s">
        <v>9986</v>
      </c>
      <c r="B3948" s="50"/>
      <c r="C3948" s="257" t="s">
        <v>9987</v>
      </c>
    </row>
    <row r="3949" spans="1:3">
      <c r="A3949" t="s">
        <v>9988</v>
      </c>
      <c r="B3949" t="s">
        <v>9989</v>
      </c>
      <c r="C3949" t="s">
        <v>9990</v>
      </c>
    </row>
    <row r="3950" spans="1:3">
      <c r="A3950" s="50" t="s">
        <v>9991</v>
      </c>
      <c r="B3950" s="50"/>
      <c r="C3950" s="257" t="s">
        <v>9992</v>
      </c>
    </row>
    <row r="3951" spans="1:3">
      <c r="A3951" t="s">
        <v>9993</v>
      </c>
      <c r="B3951" t="s">
        <v>9994</v>
      </c>
      <c r="C3951" t="s">
        <v>9995</v>
      </c>
    </row>
    <row r="3952" spans="1:3">
      <c r="A3952" s="50" t="s">
        <v>9996</v>
      </c>
      <c r="B3952" s="50"/>
      <c r="C3952" s="257" t="s">
        <v>9997</v>
      </c>
    </row>
    <row r="3953" spans="1:3">
      <c r="A3953" s="50" t="s">
        <v>9998</v>
      </c>
      <c r="B3953" s="50"/>
      <c r="C3953" s="257" t="s">
        <v>9999</v>
      </c>
    </row>
    <row r="3954" spans="1:3">
      <c r="A3954" s="50" t="s">
        <v>10000</v>
      </c>
      <c r="B3954" s="50"/>
      <c r="C3954" s="257" t="s">
        <v>10001</v>
      </c>
    </row>
    <row r="3955" spans="1:3">
      <c r="A3955" s="50" t="s">
        <v>10002</v>
      </c>
      <c r="B3955" s="50"/>
      <c r="C3955" s="257" t="s">
        <v>10003</v>
      </c>
    </row>
    <row r="3956" spans="1:3">
      <c r="A3956" s="50" t="s">
        <v>10004</v>
      </c>
      <c r="B3956" s="50"/>
      <c r="C3956" s="257" t="s">
        <v>10005</v>
      </c>
    </row>
    <row r="3957" spans="1:3">
      <c r="A3957" s="50" t="s">
        <v>10006</v>
      </c>
      <c r="B3957" s="50"/>
      <c r="C3957" s="257" t="s">
        <v>10007</v>
      </c>
    </row>
    <row r="3958" spans="1:3">
      <c r="A3958" t="s">
        <v>10008</v>
      </c>
      <c r="B3958" t="s">
        <v>10009</v>
      </c>
      <c r="C3958" t="s">
        <v>10010</v>
      </c>
    </row>
    <row r="3959" spans="1:3">
      <c r="A3959" t="s">
        <v>10011</v>
      </c>
      <c r="B3959" t="s">
        <v>10012</v>
      </c>
      <c r="C3959" s="74" t="s">
        <v>10013</v>
      </c>
    </row>
    <row r="3960" spans="1:3">
      <c r="A3960" t="s">
        <v>10014</v>
      </c>
      <c r="B3960" t="s">
        <v>10015</v>
      </c>
      <c r="C3960" s="74" t="s">
        <v>10016</v>
      </c>
    </row>
    <row r="3961" spans="1:3">
      <c r="A3961" t="s">
        <v>10017</v>
      </c>
      <c r="B3961" t="s">
        <v>9850</v>
      </c>
      <c r="C3961" t="s">
        <v>10018</v>
      </c>
    </row>
    <row r="3962" spans="1:3">
      <c r="A3962" t="s">
        <v>10019</v>
      </c>
      <c r="B3962" t="s">
        <v>10020</v>
      </c>
      <c r="C3962" t="s">
        <v>10021</v>
      </c>
    </row>
    <row r="3963" spans="1:3">
      <c r="A3963" t="s">
        <v>10022</v>
      </c>
      <c r="B3963" t="s">
        <v>10023</v>
      </c>
      <c r="C3963" t="s">
        <v>10024</v>
      </c>
    </row>
    <row r="3964" spans="1:3">
      <c r="A3964" t="s">
        <v>10025</v>
      </c>
      <c r="B3964" t="s">
        <v>9865</v>
      </c>
      <c r="C3964" t="s">
        <v>10026</v>
      </c>
    </row>
    <row r="3965" spans="1:3">
      <c r="A3965" t="s">
        <v>10027</v>
      </c>
      <c r="B3965" t="s">
        <v>10028</v>
      </c>
      <c r="C3965" t="s">
        <v>10029</v>
      </c>
    </row>
    <row r="3966" spans="1:3">
      <c r="A3966" t="s">
        <v>10030</v>
      </c>
      <c r="B3966" t="s">
        <v>10031</v>
      </c>
      <c r="C3966" t="s">
        <v>10032</v>
      </c>
    </row>
    <row r="3967" spans="1:3">
      <c r="A3967" t="s">
        <v>10033</v>
      </c>
      <c r="B3967" t="s">
        <v>10034</v>
      </c>
      <c r="C3967" t="s">
        <v>10035</v>
      </c>
    </row>
    <row r="3968" spans="1:3">
      <c r="A3968" t="s">
        <v>10036</v>
      </c>
      <c r="B3968" t="s">
        <v>10037</v>
      </c>
      <c r="C3968" t="s">
        <v>10038</v>
      </c>
    </row>
    <row r="3969" spans="1:3">
      <c r="A3969" t="s">
        <v>10039</v>
      </c>
      <c r="B3969" t="s">
        <v>10040</v>
      </c>
      <c r="C3969" t="s">
        <v>10041</v>
      </c>
    </row>
    <row r="3970" spans="1:3">
      <c r="A3970" t="s">
        <v>10042</v>
      </c>
      <c r="B3970" t="s">
        <v>10043</v>
      </c>
      <c r="C3970" t="s">
        <v>10044</v>
      </c>
    </row>
    <row r="3971" spans="1:3">
      <c r="A3971" t="s">
        <v>10045</v>
      </c>
      <c r="B3971" t="s">
        <v>10046</v>
      </c>
      <c r="C3971" t="s">
        <v>10047</v>
      </c>
    </row>
    <row r="3972" spans="1:3">
      <c r="A3972" t="s">
        <v>10048</v>
      </c>
      <c r="B3972" t="s">
        <v>9943</v>
      </c>
      <c r="C3972" t="s">
        <v>10049</v>
      </c>
    </row>
    <row r="3973" spans="1:3">
      <c r="A3973" t="s">
        <v>10050</v>
      </c>
      <c r="B3973" t="s">
        <v>10051</v>
      </c>
      <c r="C3973" t="s">
        <v>10052</v>
      </c>
    </row>
    <row r="3974" spans="1:3">
      <c r="A3974" t="s">
        <v>10053</v>
      </c>
      <c r="B3974" t="s">
        <v>10054</v>
      </c>
      <c r="C3974" t="s">
        <v>10055</v>
      </c>
    </row>
    <row r="3975" spans="1:3">
      <c r="A3975" t="s">
        <v>10056</v>
      </c>
      <c r="B3975" t="s">
        <v>10057</v>
      </c>
      <c r="C3975" t="s">
        <v>10058</v>
      </c>
    </row>
    <row r="3976" spans="1:3">
      <c r="A3976" t="s">
        <v>10059</v>
      </c>
      <c r="B3976" t="s">
        <v>10060</v>
      </c>
      <c r="C3976" t="s">
        <v>10061</v>
      </c>
    </row>
    <row r="3977" spans="1:3">
      <c r="A3977" s="50" t="s">
        <v>10062</v>
      </c>
      <c r="B3977" s="50"/>
      <c r="C3977" s="257" t="s">
        <v>10063</v>
      </c>
    </row>
    <row r="3978" spans="1:3">
      <c r="A3978" s="50" t="s">
        <v>10064</v>
      </c>
      <c r="B3978" s="50"/>
      <c r="C3978" s="257" t="s">
        <v>10065</v>
      </c>
    </row>
    <row r="3979" spans="1:3">
      <c r="A3979" s="50" t="s">
        <v>10066</v>
      </c>
      <c r="B3979" s="50"/>
      <c r="C3979" s="258" t="s">
        <v>10067</v>
      </c>
    </row>
    <row r="3980" spans="1:3">
      <c r="A3980" s="50" t="s">
        <v>10066</v>
      </c>
      <c r="B3980" s="50"/>
      <c r="C3980" s="258" t="s">
        <v>10068</v>
      </c>
    </row>
    <row r="3981" spans="1:3">
      <c r="A3981" s="50" t="s">
        <v>10066</v>
      </c>
      <c r="B3981" s="50"/>
      <c r="C3981" s="258" t="s">
        <v>10069</v>
      </c>
    </row>
    <row r="3982" spans="1:3">
      <c r="A3982" s="50" t="s">
        <v>10066</v>
      </c>
      <c r="B3982" s="50"/>
      <c r="C3982" s="258" t="s">
        <v>10070</v>
      </c>
    </row>
    <row r="3983" spans="1:3">
      <c r="A3983" s="50" t="s">
        <v>10066</v>
      </c>
      <c r="B3983" s="50"/>
      <c r="C3983" s="258" t="s">
        <v>10071</v>
      </c>
    </row>
    <row r="3984" spans="1:3">
      <c r="A3984" s="50" t="s">
        <v>10066</v>
      </c>
      <c r="B3984" s="50"/>
      <c r="C3984" s="258" t="s">
        <v>10072</v>
      </c>
    </row>
    <row r="3985" spans="1:3">
      <c r="A3985" s="50" t="s">
        <v>10066</v>
      </c>
      <c r="B3985" s="50"/>
      <c r="C3985" s="258" t="s">
        <v>10073</v>
      </c>
    </row>
    <row r="3986" spans="1:3">
      <c r="A3986" s="50" t="s">
        <v>10066</v>
      </c>
      <c r="B3986" s="50"/>
      <c r="C3986" s="258" t="s">
        <v>10074</v>
      </c>
    </row>
    <row r="3987" spans="1:3">
      <c r="A3987" s="50" t="s">
        <v>10066</v>
      </c>
      <c r="B3987" s="50"/>
      <c r="C3987" s="258" t="s">
        <v>10075</v>
      </c>
    </row>
    <row r="3988" spans="1:3">
      <c r="A3988" s="50" t="s">
        <v>10066</v>
      </c>
      <c r="B3988" s="50"/>
      <c r="C3988" s="258" t="s">
        <v>10076</v>
      </c>
    </row>
    <row r="3989" spans="1:3">
      <c r="A3989" s="50" t="s">
        <v>10066</v>
      </c>
      <c r="B3989" s="50"/>
      <c r="C3989" s="258" t="s">
        <v>10077</v>
      </c>
    </row>
    <row r="3990" spans="1:3">
      <c r="A3990" s="50" t="s">
        <v>10066</v>
      </c>
      <c r="B3990" s="50"/>
      <c r="C3990" s="258" t="s">
        <v>10078</v>
      </c>
    </row>
    <row r="3991" spans="1:3">
      <c r="A3991" s="50" t="s">
        <v>10066</v>
      </c>
      <c r="B3991" s="50"/>
      <c r="C3991" s="258" t="s">
        <v>10079</v>
      </c>
    </row>
    <row r="3992" spans="1:3">
      <c r="A3992" s="50" t="s">
        <v>10066</v>
      </c>
      <c r="B3992" s="50"/>
      <c r="C3992" s="258" t="s">
        <v>10080</v>
      </c>
    </row>
    <row r="3993" spans="1:3">
      <c r="A3993" s="50" t="s">
        <v>10066</v>
      </c>
      <c r="B3993" s="50"/>
      <c r="C3993" s="258" t="s">
        <v>10081</v>
      </c>
    </row>
    <row r="3994" spans="1:3">
      <c r="A3994" s="50" t="s">
        <v>10066</v>
      </c>
      <c r="B3994" s="50"/>
      <c r="C3994" s="258" t="s">
        <v>10082</v>
      </c>
    </row>
    <row r="3995" spans="1:3">
      <c r="A3995" t="s">
        <v>10083</v>
      </c>
      <c r="B3995" t="s">
        <v>10084</v>
      </c>
      <c r="C3995" t="s">
        <v>10085</v>
      </c>
    </row>
    <row r="3996" spans="1:3">
      <c r="A3996" t="s">
        <v>10086</v>
      </c>
      <c r="B3996" t="s">
        <v>10084</v>
      </c>
      <c r="C3996" t="s">
        <v>10087</v>
      </c>
    </row>
    <row r="3997" spans="1:3">
      <c r="A3997" t="s">
        <v>10088</v>
      </c>
      <c r="B3997" t="s">
        <v>10089</v>
      </c>
      <c r="C3997" t="s">
        <v>10090</v>
      </c>
    </row>
    <row r="3998" spans="1:3">
      <c r="A3998" t="s">
        <v>10091</v>
      </c>
      <c r="B3998" t="s">
        <v>10092</v>
      </c>
      <c r="C3998" t="s">
        <v>10093</v>
      </c>
    </row>
    <row r="3999" spans="1:3">
      <c r="A3999" t="s">
        <v>10094</v>
      </c>
      <c r="B3999" t="s">
        <v>10095</v>
      </c>
      <c r="C3999" t="s">
        <v>10096</v>
      </c>
    </row>
    <row r="4000" spans="1:3">
      <c r="A4000" t="s">
        <v>10097</v>
      </c>
      <c r="B4000" t="s">
        <v>10098</v>
      </c>
      <c r="C4000" t="s">
        <v>10099</v>
      </c>
    </row>
    <row r="4001" spans="1:3">
      <c r="A4001" t="s">
        <v>10100</v>
      </c>
      <c r="B4001" t="s">
        <v>10101</v>
      </c>
      <c r="C4001" t="s">
        <v>10102</v>
      </c>
    </row>
    <row r="4002" spans="1:3">
      <c r="A4002" t="s">
        <v>10103</v>
      </c>
      <c r="B4002" t="s">
        <v>10104</v>
      </c>
      <c r="C4002" t="s">
        <v>10105</v>
      </c>
    </row>
    <row r="4003" spans="1:3">
      <c r="A4003" t="s">
        <v>10106</v>
      </c>
      <c r="B4003" t="s">
        <v>9212</v>
      </c>
      <c r="C4003" t="s">
        <v>10107</v>
      </c>
    </row>
    <row r="4004" spans="1:3">
      <c r="A4004" s="50" t="s">
        <v>10108</v>
      </c>
      <c r="B4004" s="50"/>
      <c r="C4004" s="257" t="s">
        <v>10109</v>
      </c>
    </row>
    <row r="4005" spans="1:3">
      <c r="A4005" s="50" t="s">
        <v>10110</v>
      </c>
      <c r="B4005" s="50"/>
      <c r="C4005" s="257" t="s">
        <v>10111</v>
      </c>
    </row>
    <row r="4006" spans="1:3">
      <c r="A4006" s="50" t="s">
        <v>10112</v>
      </c>
      <c r="B4006" s="50"/>
      <c r="C4006" s="257" t="s">
        <v>10113</v>
      </c>
    </row>
    <row r="4007" spans="1:3">
      <c r="A4007" s="50" t="s">
        <v>10114</v>
      </c>
      <c r="B4007" s="50"/>
      <c r="C4007" s="257" t="s">
        <v>10115</v>
      </c>
    </row>
    <row r="4008" spans="1:3">
      <c r="A4008" t="s">
        <v>10116</v>
      </c>
      <c r="B4008" t="s">
        <v>10095</v>
      </c>
      <c r="C4008" t="s">
        <v>10117</v>
      </c>
    </row>
    <row r="4009" spans="1:3">
      <c r="A4009" t="s">
        <v>10118</v>
      </c>
      <c r="B4009" t="s">
        <v>10098</v>
      </c>
      <c r="C4009" t="s">
        <v>10119</v>
      </c>
    </row>
    <row r="4010" spans="1:3">
      <c r="A4010" t="s">
        <v>10120</v>
      </c>
      <c r="B4010" t="s">
        <v>10104</v>
      </c>
      <c r="C4010" t="s">
        <v>10121</v>
      </c>
    </row>
    <row r="4011" spans="1:3">
      <c r="A4011" t="s">
        <v>10122</v>
      </c>
      <c r="B4011" t="s">
        <v>10123</v>
      </c>
      <c r="C4011" t="s">
        <v>10124</v>
      </c>
    </row>
    <row r="4012" spans="1:3">
      <c r="A4012" t="s">
        <v>10125</v>
      </c>
      <c r="B4012" t="s">
        <v>10126</v>
      </c>
      <c r="C4012" t="s">
        <v>10127</v>
      </c>
    </row>
    <row r="4013" spans="1:3">
      <c r="A4013" t="s">
        <v>10128</v>
      </c>
      <c r="B4013" t="s">
        <v>10129</v>
      </c>
      <c r="C4013" t="s">
        <v>10130</v>
      </c>
    </row>
    <row r="4014" spans="1:3">
      <c r="A4014" t="s">
        <v>10131</v>
      </c>
      <c r="B4014" t="s">
        <v>10132</v>
      </c>
      <c r="C4014" t="s">
        <v>10133</v>
      </c>
    </row>
    <row r="4015" spans="1:3">
      <c r="A4015" t="s">
        <v>10134</v>
      </c>
      <c r="B4015" t="s">
        <v>10135</v>
      </c>
      <c r="C4015" t="s">
        <v>10136</v>
      </c>
    </row>
    <row r="4016" spans="1:3">
      <c r="A4016" t="s">
        <v>10137</v>
      </c>
      <c r="B4016" t="s">
        <v>10138</v>
      </c>
      <c r="C4016" t="s">
        <v>10139</v>
      </c>
    </row>
    <row r="4017" spans="1:3">
      <c r="A4017" t="s">
        <v>10140</v>
      </c>
      <c r="B4017" t="s">
        <v>10141</v>
      </c>
      <c r="C4017" t="s">
        <v>10142</v>
      </c>
    </row>
    <row r="4018" spans="1:3">
      <c r="A4018" t="s">
        <v>10143</v>
      </c>
      <c r="B4018" t="s">
        <v>10144</v>
      </c>
      <c r="C4018" t="s">
        <v>10145</v>
      </c>
    </row>
    <row r="4019" spans="1:3">
      <c r="A4019" t="s">
        <v>10146</v>
      </c>
      <c r="B4019" t="s">
        <v>10147</v>
      </c>
      <c r="C4019" t="s">
        <v>10148</v>
      </c>
    </row>
    <row r="4020" spans="1:3">
      <c r="A4020" t="s">
        <v>10149</v>
      </c>
      <c r="B4020" t="s">
        <v>10150</v>
      </c>
      <c r="C4020" t="s">
        <v>10151</v>
      </c>
    </row>
    <row r="4021" spans="1:3">
      <c r="A4021" t="s">
        <v>10152</v>
      </c>
      <c r="B4021" t="s">
        <v>10153</v>
      </c>
      <c r="C4021" t="s">
        <v>10154</v>
      </c>
    </row>
    <row r="4022" spans="1:3">
      <c r="A4022" t="s">
        <v>10155</v>
      </c>
      <c r="B4022" t="s">
        <v>10156</v>
      </c>
      <c r="C4022" t="s">
        <v>10157</v>
      </c>
    </row>
    <row r="4023" spans="1:3">
      <c r="A4023" t="s">
        <v>10158</v>
      </c>
      <c r="B4023" t="s">
        <v>10159</v>
      </c>
      <c r="C4023" t="s">
        <v>10160</v>
      </c>
    </row>
    <row r="4024" spans="1:3">
      <c r="A4024" t="s">
        <v>10161</v>
      </c>
      <c r="B4024" t="s">
        <v>10162</v>
      </c>
      <c r="C4024" t="s">
        <v>10163</v>
      </c>
    </row>
    <row r="4025" spans="1:3">
      <c r="A4025" t="s">
        <v>10164</v>
      </c>
      <c r="B4025" t="s">
        <v>10165</v>
      </c>
      <c r="C4025" t="s">
        <v>10166</v>
      </c>
    </row>
    <row r="4026" spans="1:3">
      <c r="A4026" t="s">
        <v>10167</v>
      </c>
      <c r="B4026" t="s">
        <v>10040</v>
      </c>
      <c r="C4026" t="s">
        <v>10168</v>
      </c>
    </row>
    <row r="4027" spans="1:3">
      <c r="A4027" t="s">
        <v>10169</v>
      </c>
      <c r="B4027" t="s">
        <v>10170</v>
      </c>
      <c r="C4027" t="s">
        <v>10171</v>
      </c>
    </row>
    <row r="4028" spans="1:3">
      <c r="A4028" t="s">
        <v>10172</v>
      </c>
      <c r="B4028" t="s">
        <v>10173</v>
      </c>
      <c r="C4028" t="s">
        <v>10174</v>
      </c>
    </row>
    <row r="4029" spans="1:3">
      <c r="A4029" t="s">
        <v>10175</v>
      </c>
      <c r="B4029" t="s">
        <v>10176</v>
      </c>
      <c r="C4029" t="s">
        <v>10177</v>
      </c>
    </row>
    <row r="4030" spans="1:3">
      <c r="A4030" t="s">
        <v>10178</v>
      </c>
      <c r="B4030" t="s">
        <v>10179</v>
      </c>
      <c r="C4030" t="s">
        <v>10180</v>
      </c>
    </row>
    <row r="4031" spans="1:3">
      <c r="A4031" t="s">
        <v>10181</v>
      </c>
      <c r="B4031" t="s">
        <v>10182</v>
      </c>
      <c r="C4031" t="s">
        <v>10183</v>
      </c>
    </row>
    <row r="4032" spans="1:3">
      <c r="A4032" t="s">
        <v>10184</v>
      </c>
      <c r="B4032" t="s">
        <v>10185</v>
      </c>
      <c r="C4032" t="s">
        <v>10186</v>
      </c>
    </row>
    <row r="4033" spans="1:3">
      <c r="A4033" t="s">
        <v>10187</v>
      </c>
      <c r="B4033" t="s">
        <v>10020</v>
      </c>
      <c r="C4033" t="s">
        <v>10188</v>
      </c>
    </row>
    <row r="4034" spans="1:3">
      <c r="A4034" t="s">
        <v>10189</v>
      </c>
      <c r="B4034" t="s">
        <v>10190</v>
      </c>
      <c r="C4034" t="s">
        <v>10191</v>
      </c>
    </row>
    <row r="4035" spans="1:3">
      <c r="A4035" t="s">
        <v>10192</v>
      </c>
      <c r="B4035" t="s">
        <v>10193</v>
      </c>
      <c r="C4035" t="s">
        <v>10194</v>
      </c>
    </row>
    <row r="4036" spans="1:3">
      <c r="A4036" s="50" t="s">
        <v>10195</v>
      </c>
      <c r="B4036" s="50"/>
      <c r="C4036" s="257" t="s">
        <v>10196</v>
      </c>
    </row>
    <row r="4037" spans="1:3">
      <c r="A4037" s="50" t="s">
        <v>10197</v>
      </c>
      <c r="B4037" s="50"/>
      <c r="C4037" s="257" t="s">
        <v>10198</v>
      </c>
    </row>
    <row r="4038" spans="1:3">
      <c r="A4038" s="50" t="s">
        <v>10199</v>
      </c>
      <c r="B4038" s="50"/>
      <c r="C4038" s="257" t="s">
        <v>10200</v>
      </c>
    </row>
    <row r="4039" spans="1:3">
      <c r="A4039" s="50" t="s">
        <v>10201</v>
      </c>
      <c r="B4039" s="50"/>
      <c r="C4039" s="257" t="s">
        <v>10202</v>
      </c>
    </row>
    <row r="4040" spans="1:3">
      <c r="A4040" s="50" t="s">
        <v>10203</v>
      </c>
      <c r="B4040" s="50"/>
      <c r="C4040" s="257" t="s">
        <v>10204</v>
      </c>
    </row>
    <row r="4041" spans="1:3">
      <c r="A4041" t="s">
        <v>10205</v>
      </c>
      <c r="B4041" t="s">
        <v>10206</v>
      </c>
      <c r="C4041" t="s">
        <v>10207</v>
      </c>
    </row>
    <row r="4042" spans="1:3">
      <c r="A4042" t="s">
        <v>10208</v>
      </c>
      <c r="B4042" t="s">
        <v>10209</v>
      </c>
      <c r="C4042" t="s">
        <v>10210</v>
      </c>
    </row>
    <row r="4043" spans="1:3">
      <c r="A4043" t="s">
        <v>10211</v>
      </c>
      <c r="B4043" t="s">
        <v>10123</v>
      </c>
      <c r="C4043" t="s">
        <v>10212</v>
      </c>
    </row>
    <row r="4044" spans="1:3">
      <c r="A4044" t="s">
        <v>10213</v>
      </c>
      <c r="B4044" t="s">
        <v>10214</v>
      </c>
      <c r="C4044" t="s">
        <v>10215</v>
      </c>
    </row>
    <row r="4045" spans="1:3">
      <c r="A4045" t="s">
        <v>10216</v>
      </c>
      <c r="B4045" t="s">
        <v>10135</v>
      </c>
      <c r="C4045" t="s">
        <v>10217</v>
      </c>
    </row>
    <row r="4046" spans="1:3">
      <c r="A4046" t="s">
        <v>10218</v>
      </c>
      <c r="B4046" t="s">
        <v>10219</v>
      </c>
      <c r="C4046" t="s">
        <v>10220</v>
      </c>
    </row>
    <row r="4047" spans="1:3">
      <c r="A4047" t="s">
        <v>10221</v>
      </c>
      <c r="B4047" t="s">
        <v>10144</v>
      </c>
      <c r="C4047" t="s">
        <v>10222</v>
      </c>
    </row>
    <row r="4048" spans="1:3">
      <c r="A4048" t="s">
        <v>10223</v>
      </c>
      <c r="B4048" t="s">
        <v>8098</v>
      </c>
      <c r="C4048" t="s">
        <v>10224</v>
      </c>
    </row>
    <row r="4049" spans="1:3">
      <c r="A4049" t="s">
        <v>10225</v>
      </c>
      <c r="B4049" t="s">
        <v>10150</v>
      </c>
      <c r="C4049" t="s">
        <v>10226</v>
      </c>
    </row>
    <row r="4050" spans="1:3">
      <c r="A4050" t="s">
        <v>10227</v>
      </c>
      <c r="B4050" t="s">
        <v>10153</v>
      </c>
      <c r="C4050" t="s">
        <v>10228</v>
      </c>
    </row>
    <row r="4051" spans="1:3">
      <c r="A4051" t="s">
        <v>10229</v>
      </c>
      <c r="B4051" t="s">
        <v>10230</v>
      </c>
      <c r="C4051" t="s">
        <v>10231</v>
      </c>
    </row>
    <row r="4052" spans="1:3">
      <c r="A4052" t="s">
        <v>10232</v>
      </c>
      <c r="B4052" t="s">
        <v>10159</v>
      </c>
      <c r="C4052" t="s">
        <v>10233</v>
      </c>
    </row>
    <row r="4053" spans="1:3">
      <c r="A4053" t="s">
        <v>10234</v>
      </c>
      <c r="B4053" t="s">
        <v>10185</v>
      </c>
      <c r="C4053" t="s">
        <v>10235</v>
      </c>
    </row>
    <row r="4054" spans="1:3">
      <c r="A4054" t="s">
        <v>10236</v>
      </c>
      <c r="B4054" t="s">
        <v>10190</v>
      </c>
      <c r="C4054" t="s">
        <v>10237</v>
      </c>
    </row>
    <row r="4055" spans="1:3">
      <c r="A4055" t="s">
        <v>10238</v>
      </c>
      <c r="B4055" t="s">
        <v>10239</v>
      </c>
      <c r="C4055" s="74" t="s">
        <v>10240</v>
      </c>
    </row>
    <row r="4056" spans="1:3">
      <c r="A4056" t="s">
        <v>10241</v>
      </c>
      <c r="B4056" t="s">
        <v>10242</v>
      </c>
      <c r="C4056" s="74" t="s">
        <v>10243</v>
      </c>
    </row>
    <row r="4057" spans="1:3">
      <c r="A4057" t="s">
        <v>10244</v>
      </c>
      <c r="B4057" t="s">
        <v>10245</v>
      </c>
      <c r="C4057" s="74" t="s">
        <v>10246</v>
      </c>
    </row>
    <row r="4058" spans="1:3">
      <c r="A4058" t="s">
        <v>10247</v>
      </c>
      <c r="B4058" t="s">
        <v>10248</v>
      </c>
      <c r="C4058" s="74" t="s">
        <v>10249</v>
      </c>
    </row>
    <row r="4059" spans="1:3">
      <c r="A4059" s="50" t="s">
        <v>10250</v>
      </c>
      <c r="B4059" s="50"/>
      <c r="C4059" s="257" t="s">
        <v>10251</v>
      </c>
    </row>
    <row r="4060" spans="1:3">
      <c r="A4060" s="50" t="s">
        <v>10252</v>
      </c>
      <c r="B4060" s="50"/>
      <c r="C4060" s="257" t="s">
        <v>10253</v>
      </c>
    </row>
    <row r="4061" spans="1:3">
      <c r="A4061" t="s">
        <v>10254</v>
      </c>
      <c r="B4061" t="s">
        <v>10255</v>
      </c>
      <c r="C4061" t="s">
        <v>10256</v>
      </c>
    </row>
    <row r="4062" spans="1:3">
      <c r="A4062" t="s">
        <v>10257</v>
      </c>
      <c r="B4062" t="s">
        <v>10258</v>
      </c>
      <c r="C4062" t="s">
        <v>10259</v>
      </c>
    </row>
    <row r="4063" spans="1:3">
      <c r="A4063" t="s">
        <v>10260</v>
      </c>
      <c r="B4063" t="s">
        <v>10261</v>
      </c>
      <c r="C4063" t="s">
        <v>10262</v>
      </c>
    </row>
    <row r="4064" spans="1:3">
      <c r="A4064" t="s">
        <v>10263</v>
      </c>
      <c r="B4064" t="s">
        <v>10264</v>
      </c>
      <c r="C4064" t="s">
        <v>10265</v>
      </c>
    </row>
    <row r="4065" spans="1:3">
      <c r="A4065" t="s">
        <v>10266</v>
      </c>
      <c r="B4065" t="s">
        <v>10267</v>
      </c>
      <c r="C4065" t="s">
        <v>10268</v>
      </c>
    </row>
    <row r="4066" spans="1:3">
      <c r="A4066" t="s">
        <v>10269</v>
      </c>
      <c r="B4066" t="s">
        <v>10270</v>
      </c>
      <c r="C4066" t="s">
        <v>10271</v>
      </c>
    </row>
    <row r="4067" spans="1:3">
      <c r="A4067" t="s">
        <v>10272</v>
      </c>
      <c r="B4067" t="s">
        <v>10273</v>
      </c>
      <c r="C4067" t="s">
        <v>10274</v>
      </c>
    </row>
    <row r="4068" spans="1:3">
      <c r="A4068" t="s">
        <v>10275</v>
      </c>
      <c r="B4068" t="s">
        <v>10276</v>
      </c>
      <c r="C4068" t="s">
        <v>10277</v>
      </c>
    </row>
    <row r="4069" spans="1:3">
      <c r="A4069" t="s">
        <v>10278</v>
      </c>
      <c r="B4069" t="s">
        <v>10279</v>
      </c>
      <c r="C4069" t="s">
        <v>10280</v>
      </c>
    </row>
    <row r="4070" spans="1:3">
      <c r="A4070" t="s">
        <v>10281</v>
      </c>
      <c r="B4070" t="s">
        <v>10282</v>
      </c>
      <c r="C4070" t="s">
        <v>10283</v>
      </c>
    </row>
    <row r="4071" spans="1:3">
      <c r="A4071" t="s">
        <v>10284</v>
      </c>
      <c r="B4071" t="s">
        <v>10285</v>
      </c>
      <c r="C4071" t="s">
        <v>10286</v>
      </c>
    </row>
    <row r="4072" spans="1:3">
      <c r="A4072" t="s">
        <v>10287</v>
      </c>
      <c r="B4072" t="s">
        <v>10288</v>
      </c>
      <c r="C4072" t="s">
        <v>10289</v>
      </c>
    </row>
    <row r="4073" spans="1:3">
      <c r="A4073" t="s">
        <v>10290</v>
      </c>
      <c r="B4073" t="s">
        <v>10291</v>
      </c>
      <c r="C4073" t="s">
        <v>10292</v>
      </c>
    </row>
    <row r="4074" spans="1:3">
      <c r="A4074" t="s">
        <v>10293</v>
      </c>
      <c r="B4074" t="s">
        <v>10126</v>
      </c>
      <c r="C4074" t="s">
        <v>10294</v>
      </c>
    </row>
    <row r="4075" spans="1:3">
      <c r="A4075" t="s">
        <v>10295</v>
      </c>
      <c r="B4075" t="s">
        <v>10296</v>
      </c>
      <c r="C4075" t="s">
        <v>10297</v>
      </c>
    </row>
    <row r="4076" spans="1:3">
      <c r="A4076" t="s">
        <v>10298</v>
      </c>
      <c r="B4076" t="s">
        <v>10299</v>
      </c>
      <c r="C4076" t="s">
        <v>10300</v>
      </c>
    </row>
    <row r="4077" spans="1:3">
      <c r="A4077" t="s">
        <v>10301</v>
      </c>
      <c r="B4077" t="s">
        <v>10302</v>
      </c>
      <c r="C4077" t="s">
        <v>10303</v>
      </c>
    </row>
    <row r="4078" spans="1:3">
      <c r="A4078" t="s">
        <v>10304</v>
      </c>
      <c r="B4078" t="s">
        <v>10305</v>
      </c>
      <c r="C4078" t="s">
        <v>10306</v>
      </c>
    </row>
    <row r="4079" spans="1:3">
      <c r="A4079" t="s">
        <v>10307</v>
      </c>
      <c r="B4079" t="s">
        <v>10308</v>
      </c>
      <c r="C4079" t="s">
        <v>10309</v>
      </c>
    </row>
    <row r="4080" spans="1:3">
      <c r="A4080" t="s">
        <v>10310</v>
      </c>
      <c r="B4080" t="s">
        <v>10311</v>
      </c>
      <c r="C4080" t="s">
        <v>10312</v>
      </c>
    </row>
    <row r="4081" spans="1:3">
      <c r="A4081" t="s">
        <v>10313</v>
      </c>
      <c r="B4081" t="s">
        <v>10314</v>
      </c>
      <c r="C4081" t="s">
        <v>10315</v>
      </c>
    </row>
    <row r="4082" spans="1:3">
      <c r="A4082" t="s">
        <v>10316</v>
      </c>
      <c r="B4082" t="s">
        <v>10317</v>
      </c>
      <c r="C4082" t="s">
        <v>10318</v>
      </c>
    </row>
    <row r="4083" spans="1:3">
      <c r="A4083" t="s">
        <v>10319</v>
      </c>
      <c r="B4083" t="s">
        <v>10320</v>
      </c>
      <c r="C4083" t="s">
        <v>10321</v>
      </c>
    </row>
    <row r="4084" spans="1:3">
      <c r="A4084" t="s">
        <v>10322</v>
      </c>
      <c r="B4084" t="s">
        <v>10323</v>
      </c>
      <c r="C4084" t="s">
        <v>10324</v>
      </c>
    </row>
    <row r="4085" spans="1:3">
      <c r="A4085" t="s">
        <v>10325</v>
      </c>
      <c r="B4085" t="s">
        <v>10326</v>
      </c>
      <c r="C4085" t="s">
        <v>10327</v>
      </c>
    </row>
    <row r="4086" spans="1:3">
      <c r="A4086" t="s">
        <v>10328</v>
      </c>
      <c r="B4086" t="s">
        <v>10329</v>
      </c>
      <c r="C4086" t="s">
        <v>10330</v>
      </c>
    </row>
    <row r="4087" spans="1:3">
      <c r="A4087" t="s">
        <v>10331</v>
      </c>
      <c r="B4087" t="s">
        <v>10332</v>
      </c>
      <c r="C4087" t="s">
        <v>10333</v>
      </c>
    </row>
    <row r="4088" spans="1:3">
      <c r="A4088" t="s">
        <v>10334</v>
      </c>
      <c r="B4088" t="s">
        <v>10335</v>
      </c>
      <c r="C4088" t="s">
        <v>10336</v>
      </c>
    </row>
    <row r="4089" spans="1:3">
      <c r="A4089" t="s">
        <v>10337</v>
      </c>
      <c r="B4089" t="s">
        <v>10338</v>
      </c>
      <c r="C4089" t="s">
        <v>10339</v>
      </c>
    </row>
    <row r="4090" spans="1:3">
      <c r="A4090" t="s">
        <v>10340</v>
      </c>
      <c r="B4090" t="s">
        <v>10341</v>
      </c>
      <c r="C4090" t="s">
        <v>10342</v>
      </c>
    </row>
    <row r="4091" spans="1:3">
      <c r="A4091" t="s">
        <v>10343</v>
      </c>
      <c r="B4091" t="s">
        <v>10344</v>
      </c>
      <c r="C4091" t="s">
        <v>10345</v>
      </c>
    </row>
    <row r="4092" spans="1:3">
      <c r="A4092" t="s">
        <v>10346</v>
      </c>
      <c r="B4092" t="s">
        <v>10347</v>
      </c>
      <c r="C4092" t="s">
        <v>10348</v>
      </c>
    </row>
    <row r="4093" spans="1:3">
      <c r="A4093" t="s">
        <v>10349</v>
      </c>
      <c r="B4093" t="s">
        <v>10350</v>
      </c>
      <c r="C4093" t="s">
        <v>10351</v>
      </c>
    </row>
    <row r="4094" spans="1:3">
      <c r="A4094" t="s">
        <v>10352</v>
      </c>
      <c r="B4094" t="s">
        <v>10353</v>
      </c>
      <c r="C4094" t="s">
        <v>10354</v>
      </c>
    </row>
    <row r="4095" spans="1:3">
      <c r="A4095" t="s">
        <v>10355</v>
      </c>
      <c r="B4095" t="s">
        <v>10356</v>
      </c>
      <c r="C4095" t="s">
        <v>10357</v>
      </c>
    </row>
    <row r="4096" spans="1:3">
      <c r="A4096" t="s">
        <v>10358</v>
      </c>
      <c r="B4096" t="s">
        <v>10359</v>
      </c>
      <c r="C4096" t="s">
        <v>10360</v>
      </c>
    </row>
    <row r="4097" spans="1:3">
      <c r="A4097" t="s">
        <v>10361</v>
      </c>
      <c r="B4097" t="s">
        <v>10362</v>
      </c>
      <c r="C4097" t="s">
        <v>10363</v>
      </c>
    </row>
    <row r="4098" spans="1:3">
      <c r="A4098" t="s">
        <v>10364</v>
      </c>
      <c r="B4098" t="s">
        <v>10365</v>
      </c>
      <c r="C4098" t="s">
        <v>10366</v>
      </c>
    </row>
    <row r="4099" spans="1:3">
      <c r="A4099" t="s">
        <v>10367</v>
      </c>
      <c r="B4099" t="s">
        <v>10368</v>
      </c>
      <c r="C4099" t="s">
        <v>10369</v>
      </c>
    </row>
    <row r="4100" spans="1:3">
      <c r="A4100" t="s">
        <v>10370</v>
      </c>
      <c r="B4100" t="s">
        <v>10371</v>
      </c>
      <c r="C4100" t="s">
        <v>10372</v>
      </c>
    </row>
    <row r="4101" spans="1:3">
      <c r="A4101" t="s">
        <v>10373</v>
      </c>
      <c r="B4101" t="s">
        <v>10374</v>
      </c>
      <c r="C4101" t="s">
        <v>10375</v>
      </c>
    </row>
    <row r="4102" spans="1:3">
      <c r="A4102" t="s">
        <v>10376</v>
      </c>
      <c r="B4102" t="s">
        <v>10377</v>
      </c>
      <c r="C4102" t="s">
        <v>10378</v>
      </c>
    </row>
    <row r="4103" spans="1:3">
      <c r="A4103" t="s">
        <v>10379</v>
      </c>
      <c r="B4103" t="s">
        <v>10380</v>
      </c>
      <c r="C4103" t="s">
        <v>10381</v>
      </c>
    </row>
    <row r="4104" spans="1:3">
      <c r="A4104" t="s">
        <v>10382</v>
      </c>
      <c r="B4104" t="s">
        <v>10383</v>
      </c>
      <c r="C4104" t="s">
        <v>10384</v>
      </c>
    </row>
    <row r="4105" spans="1:3">
      <c r="A4105" t="s">
        <v>10385</v>
      </c>
      <c r="B4105" t="s">
        <v>10386</v>
      </c>
      <c r="C4105" t="s">
        <v>10387</v>
      </c>
    </row>
    <row r="4106" spans="1:3">
      <c r="A4106" t="s">
        <v>10388</v>
      </c>
      <c r="B4106" t="s">
        <v>10389</v>
      </c>
      <c r="C4106" t="s">
        <v>10390</v>
      </c>
    </row>
    <row r="4107" spans="1:3">
      <c r="A4107" t="s">
        <v>10391</v>
      </c>
      <c r="B4107" t="s">
        <v>10392</v>
      </c>
      <c r="C4107" t="s">
        <v>10393</v>
      </c>
    </row>
    <row r="4108" spans="1:3">
      <c r="A4108" t="s">
        <v>10394</v>
      </c>
      <c r="B4108" t="s">
        <v>10392</v>
      </c>
      <c r="C4108" t="s">
        <v>10395</v>
      </c>
    </row>
    <row r="4109" spans="1:3">
      <c r="A4109" t="s">
        <v>10396</v>
      </c>
      <c r="B4109" t="s">
        <v>10392</v>
      </c>
      <c r="C4109" t="s">
        <v>10397</v>
      </c>
    </row>
    <row r="4110" spans="1:3">
      <c r="A4110" t="s">
        <v>10398</v>
      </c>
      <c r="B4110" t="s">
        <v>10399</v>
      </c>
      <c r="C4110" t="s">
        <v>10400</v>
      </c>
    </row>
    <row r="4111" spans="1:3">
      <c r="A4111" t="s">
        <v>10401</v>
      </c>
      <c r="B4111" t="s">
        <v>10392</v>
      </c>
      <c r="C4111" t="s">
        <v>10402</v>
      </c>
    </row>
    <row r="4112" spans="1:3">
      <c r="A4112" t="s">
        <v>10403</v>
      </c>
      <c r="B4112" t="s">
        <v>10392</v>
      </c>
      <c r="C4112" t="s">
        <v>10404</v>
      </c>
    </row>
    <row r="4113" spans="1:3">
      <c r="A4113" t="s">
        <v>10405</v>
      </c>
      <c r="B4113" t="s">
        <v>10392</v>
      </c>
      <c r="C4113" t="s">
        <v>10406</v>
      </c>
    </row>
    <row r="4114" spans="1:3">
      <c r="A4114" t="s">
        <v>10407</v>
      </c>
      <c r="B4114" t="s">
        <v>10392</v>
      </c>
      <c r="C4114" t="s">
        <v>10408</v>
      </c>
    </row>
    <row r="4115" spans="1:3">
      <c r="A4115" t="s">
        <v>10409</v>
      </c>
      <c r="B4115" t="s">
        <v>10410</v>
      </c>
      <c r="C4115" t="s">
        <v>10411</v>
      </c>
    </row>
    <row r="4116" spans="1:3">
      <c r="A4116" t="s">
        <v>10412</v>
      </c>
      <c r="B4116" t="s">
        <v>10413</v>
      </c>
      <c r="C4116" t="s">
        <v>10414</v>
      </c>
    </row>
    <row r="4117" spans="1:3">
      <c r="A4117" t="s">
        <v>10415</v>
      </c>
      <c r="B4117" t="s">
        <v>10416</v>
      </c>
      <c r="C4117" t="s">
        <v>10417</v>
      </c>
    </row>
    <row r="4118" spans="1:3">
      <c r="A4118" t="s">
        <v>10418</v>
      </c>
      <c r="B4118" t="s">
        <v>10419</v>
      </c>
      <c r="C4118" t="s">
        <v>10420</v>
      </c>
    </row>
    <row r="4119" spans="1:3">
      <c r="A4119" t="s">
        <v>10421</v>
      </c>
      <c r="B4119" t="s">
        <v>10422</v>
      </c>
      <c r="C4119" t="s">
        <v>10423</v>
      </c>
    </row>
    <row r="4120" spans="1:3">
      <c r="A4120" t="s">
        <v>10424</v>
      </c>
      <c r="B4120" t="s">
        <v>10425</v>
      </c>
      <c r="C4120" t="s">
        <v>10426</v>
      </c>
    </row>
    <row r="4121" spans="1:3">
      <c r="A4121" t="s">
        <v>10427</v>
      </c>
      <c r="B4121" t="s">
        <v>10428</v>
      </c>
      <c r="C4121" t="s">
        <v>10429</v>
      </c>
    </row>
    <row r="4122" spans="1:3">
      <c r="A4122" t="s">
        <v>10430</v>
      </c>
      <c r="B4122" t="s">
        <v>10431</v>
      </c>
      <c r="C4122" t="s">
        <v>10432</v>
      </c>
    </row>
    <row r="4123" spans="1:3">
      <c r="A4123" t="s">
        <v>10433</v>
      </c>
      <c r="B4123" t="s">
        <v>10434</v>
      </c>
      <c r="C4123" t="s">
        <v>10435</v>
      </c>
    </row>
    <row r="4124" spans="1:3">
      <c r="A4124" t="s">
        <v>10436</v>
      </c>
      <c r="B4124" t="s">
        <v>10437</v>
      </c>
      <c r="C4124" t="s">
        <v>10438</v>
      </c>
    </row>
    <row r="4125" spans="1:3">
      <c r="A4125" t="s">
        <v>10439</v>
      </c>
      <c r="B4125" t="s">
        <v>10440</v>
      </c>
      <c r="C4125" t="s">
        <v>10441</v>
      </c>
    </row>
    <row r="4126" spans="1:3">
      <c r="A4126" t="s">
        <v>10442</v>
      </c>
      <c r="B4126" t="s">
        <v>10443</v>
      </c>
      <c r="C4126" t="s">
        <v>10444</v>
      </c>
    </row>
    <row r="4127" spans="1:3">
      <c r="A4127" t="s">
        <v>10445</v>
      </c>
      <c r="B4127" t="s">
        <v>10040</v>
      </c>
      <c r="C4127" t="s">
        <v>10446</v>
      </c>
    </row>
    <row r="4128" spans="1:3">
      <c r="A4128" t="s">
        <v>10447</v>
      </c>
      <c r="B4128" t="s">
        <v>10448</v>
      </c>
      <c r="C4128" t="s">
        <v>10449</v>
      </c>
    </row>
    <row r="4129" spans="1:3">
      <c r="A4129" t="s">
        <v>10450</v>
      </c>
      <c r="B4129" t="s">
        <v>10451</v>
      </c>
      <c r="C4129" t="s">
        <v>10452</v>
      </c>
    </row>
    <row r="4130" spans="1:3">
      <c r="A4130" t="s">
        <v>10453</v>
      </c>
      <c r="B4130" t="s">
        <v>10454</v>
      </c>
      <c r="C4130" t="s">
        <v>10455</v>
      </c>
    </row>
    <row r="4131" spans="1:3">
      <c r="A4131" t="s">
        <v>10456</v>
      </c>
      <c r="B4131" t="s">
        <v>10457</v>
      </c>
      <c r="C4131" t="s">
        <v>10458</v>
      </c>
    </row>
    <row r="4132" spans="1:3">
      <c r="A4132" t="s">
        <v>10459</v>
      </c>
      <c r="B4132" t="s">
        <v>10460</v>
      </c>
      <c r="C4132" t="s">
        <v>10461</v>
      </c>
    </row>
    <row r="4133" spans="1:3">
      <c r="A4133" t="s">
        <v>10462</v>
      </c>
      <c r="B4133" t="s">
        <v>10463</v>
      </c>
      <c r="C4133" t="s">
        <v>10464</v>
      </c>
    </row>
    <row r="4134" spans="1:3">
      <c r="A4134" t="s">
        <v>10465</v>
      </c>
      <c r="B4134" t="s">
        <v>10466</v>
      </c>
      <c r="C4134" t="s">
        <v>10467</v>
      </c>
    </row>
    <row r="4135" spans="1:3">
      <c r="A4135" t="s">
        <v>10468</v>
      </c>
      <c r="B4135" t="s">
        <v>10469</v>
      </c>
      <c r="C4135" t="s">
        <v>10470</v>
      </c>
    </row>
    <row r="4136" spans="1:3">
      <c r="A4136" t="s">
        <v>10471</v>
      </c>
      <c r="B4136" t="s">
        <v>10472</v>
      </c>
      <c r="C4136" t="s">
        <v>10473</v>
      </c>
    </row>
    <row r="4137" spans="1:3">
      <c r="A4137" t="s">
        <v>10474</v>
      </c>
      <c r="B4137" t="s">
        <v>10475</v>
      </c>
      <c r="C4137" t="s">
        <v>10476</v>
      </c>
    </row>
    <row r="4138" spans="1:3">
      <c r="A4138" t="s">
        <v>10477</v>
      </c>
      <c r="B4138" t="s">
        <v>10478</v>
      </c>
      <c r="C4138" t="s">
        <v>10479</v>
      </c>
    </row>
    <row r="4139" spans="1:3">
      <c r="A4139" t="s">
        <v>10480</v>
      </c>
      <c r="B4139" t="s">
        <v>10481</v>
      </c>
      <c r="C4139" t="s">
        <v>10482</v>
      </c>
    </row>
    <row r="4140" spans="1:3">
      <c r="A4140" t="s">
        <v>10483</v>
      </c>
      <c r="B4140" t="s">
        <v>10484</v>
      </c>
      <c r="C4140" t="s">
        <v>10485</v>
      </c>
    </row>
    <row r="4141" spans="1:3">
      <c r="A4141" t="s">
        <v>10486</v>
      </c>
      <c r="B4141" t="s">
        <v>10487</v>
      </c>
      <c r="C4141" t="s">
        <v>10488</v>
      </c>
    </row>
    <row r="4142" spans="1:3">
      <c r="A4142" t="s">
        <v>10489</v>
      </c>
      <c r="B4142" t="s">
        <v>10276</v>
      </c>
      <c r="C4142" t="s">
        <v>10490</v>
      </c>
    </row>
    <row r="4143" spans="1:3">
      <c r="A4143" t="s">
        <v>10491</v>
      </c>
      <c r="B4143" t="s">
        <v>10492</v>
      </c>
      <c r="C4143" t="s">
        <v>10493</v>
      </c>
    </row>
    <row r="4144" spans="1:3">
      <c r="A4144" t="s">
        <v>10494</v>
      </c>
      <c r="B4144" t="s">
        <v>10020</v>
      </c>
      <c r="C4144" t="s">
        <v>10495</v>
      </c>
    </row>
    <row r="4145" spans="1:3">
      <c r="A4145" t="s">
        <v>10496</v>
      </c>
      <c r="B4145" t="s">
        <v>10497</v>
      </c>
      <c r="C4145" t="s">
        <v>10498</v>
      </c>
    </row>
    <row r="4146" spans="1:3">
      <c r="A4146" t="s">
        <v>10499</v>
      </c>
      <c r="B4146" t="s">
        <v>10500</v>
      </c>
      <c r="C4146" t="s">
        <v>10501</v>
      </c>
    </row>
    <row r="4147" spans="1:3">
      <c r="A4147" t="s">
        <v>10502</v>
      </c>
      <c r="B4147" t="s">
        <v>10503</v>
      </c>
      <c r="C4147" t="s">
        <v>10504</v>
      </c>
    </row>
    <row r="4148" spans="1:3">
      <c r="A4148" t="s">
        <v>10505</v>
      </c>
      <c r="B4148" t="s">
        <v>9925</v>
      </c>
      <c r="C4148" t="s">
        <v>10506</v>
      </c>
    </row>
    <row r="4149" spans="1:3">
      <c r="A4149" t="s">
        <v>10507</v>
      </c>
      <c r="B4149" t="s">
        <v>10508</v>
      </c>
      <c r="C4149" t="s">
        <v>10509</v>
      </c>
    </row>
    <row r="4150" spans="1:3">
      <c r="A4150" t="s">
        <v>10510</v>
      </c>
      <c r="B4150" t="s">
        <v>10511</v>
      </c>
      <c r="C4150" t="s">
        <v>10512</v>
      </c>
    </row>
    <row r="4151" spans="1:3">
      <c r="A4151" t="s">
        <v>10513</v>
      </c>
      <c r="B4151" t="s">
        <v>10514</v>
      </c>
      <c r="C4151" t="s">
        <v>10515</v>
      </c>
    </row>
    <row r="4152" spans="1:3">
      <c r="A4152" t="s">
        <v>10516</v>
      </c>
      <c r="B4152" t="s">
        <v>10517</v>
      </c>
      <c r="C4152" t="s">
        <v>10518</v>
      </c>
    </row>
    <row r="4153" spans="1:3">
      <c r="A4153" t="s">
        <v>10519</v>
      </c>
      <c r="B4153" t="s">
        <v>10520</v>
      </c>
      <c r="C4153" t="s">
        <v>10521</v>
      </c>
    </row>
    <row r="4154" spans="1:3">
      <c r="A4154" t="s">
        <v>10522</v>
      </c>
      <c r="B4154" t="s">
        <v>10523</v>
      </c>
      <c r="C4154" t="s">
        <v>10524</v>
      </c>
    </row>
    <row r="4155" spans="1:3">
      <c r="A4155" t="s">
        <v>10525</v>
      </c>
      <c r="B4155" t="s">
        <v>10526</v>
      </c>
      <c r="C4155" t="s">
        <v>10527</v>
      </c>
    </row>
    <row r="4156" spans="1:3">
      <c r="A4156" t="s">
        <v>10528</v>
      </c>
      <c r="B4156" t="s">
        <v>10529</v>
      </c>
      <c r="C4156" t="s">
        <v>10530</v>
      </c>
    </row>
    <row r="4157" spans="1:3">
      <c r="A4157" t="s">
        <v>10531</v>
      </c>
      <c r="B4157" t="s">
        <v>10532</v>
      </c>
      <c r="C4157" t="s">
        <v>10533</v>
      </c>
    </row>
    <row r="4158" spans="1:3">
      <c r="A4158" t="s">
        <v>10534</v>
      </c>
      <c r="B4158" t="s">
        <v>10535</v>
      </c>
      <c r="C4158" t="s">
        <v>10536</v>
      </c>
    </row>
    <row r="4159" spans="1:3">
      <c r="A4159" t="s">
        <v>10537</v>
      </c>
      <c r="B4159" t="s">
        <v>10538</v>
      </c>
      <c r="C4159" t="s">
        <v>10539</v>
      </c>
    </row>
    <row r="4160" spans="1:3">
      <c r="A4160" t="s">
        <v>10540</v>
      </c>
      <c r="B4160" t="s">
        <v>10255</v>
      </c>
      <c r="C4160" t="s">
        <v>10541</v>
      </c>
    </row>
    <row r="4161" spans="1:3">
      <c r="A4161" t="s">
        <v>10542</v>
      </c>
      <c r="B4161" t="s">
        <v>10543</v>
      </c>
      <c r="C4161" t="s">
        <v>10544</v>
      </c>
    </row>
    <row r="4162" spans="1:3">
      <c r="A4162" t="s">
        <v>10545</v>
      </c>
      <c r="B4162" t="s">
        <v>10546</v>
      </c>
      <c r="C4162" t="s">
        <v>10547</v>
      </c>
    </row>
    <row r="4163" spans="1:3">
      <c r="A4163" t="s">
        <v>10548</v>
      </c>
      <c r="B4163" t="s">
        <v>10377</v>
      </c>
      <c r="C4163" t="s">
        <v>10549</v>
      </c>
    </row>
    <row r="4164" spans="1:3">
      <c r="A4164" t="s">
        <v>10550</v>
      </c>
      <c r="B4164" t="s">
        <v>10386</v>
      </c>
      <c r="C4164" s="74" t="s">
        <v>10551</v>
      </c>
    </row>
    <row r="4165" spans="1:3">
      <c r="A4165" t="s">
        <v>10552</v>
      </c>
      <c r="B4165" t="s">
        <v>10276</v>
      </c>
      <c r="C4165" t="s">
        <v>10553</v>
      </c>
    </row>
    <row r="4166" spans="1:3">
      <c r="A4166" s="50" t="s">
        <v>10554</v>
      </c>
      <c r="B4166" s="50"/>
      <c r="C4166" s="257" t="s">
        <v>10555</v>
      </c>
    </row>
    <row r="4167" spans="1:3">
      <c r="A4167" s="50" t="s">
        <v>10556</v>
      </c>
      <c r="B4167" s="50"/>
      <c r="C4167" s="257" t="s">
        <v>10557</v>
      </c>
    </row>
    <row r="4168" spans="1:3">
      <c r="A4168" s="50" t="s">
        <v>10558</v>
      </c>
      <c r="B4168" s="50"/>
      <c r="C4168" s="258" t="s">
        <v>10559</v>
      </c>
    </row>
    <row r="4169" spans="1:3">
      <c r="A4169" s="50" t="s">
        <v>10558</v>
      </c>
      <c r="B4169" s="50"/>
      <c r="C4169" s="258" t="s">
        <v>10560</v>
      </c>
    </row>
    <row r="4170" spans="1:3">
      <c r="A4170" s="50" t="s">
        <v>10558</v>
      </c>
      <c r="B4170" s="50"/>
      <c r="C4170" s="258" t="s">
        <v>10561</v>
      </c>
    </row>
    <row r="4171" spans="1:3">
      <c r="A4171" s="50" t="s">
        <v>10558</v>
      </c>
      <c r="B4171" s="50"/>
      <c r="C4171" s="258" t="s">
        <v>10562</v>
      </c>
    </row>
    <row r="4172" spans="1:3">
      <c r="A4172" s="50" t="s">
        <v>10558</v>
      </c>
      <c r="B4172" s="50"/>
      <c r="C4172" s="258" t="s">
        <v>10563</v>
      </c>
    </row>
    <row r="4173" spans="1:3">
      <c r="A4173" s="50" t="s">
        <v>10558</v>
      </c>
      <c r="B4173" s="50"/>
      <c r="C4173" s="258" t="s">
        <v>10564</v>
      </c>
    </row>
    <row r="4174" spans="1:3">
      <c r="A4174" s="50" t="s">
        <v>10558</v>
      </c>
      <c r="B4174" s="50"/>
      <c r="C4174" s="258" t="s">
        <v>10565</v>
      </c>
    </row>
    <row r="4175" spans="1:3">
      <c r="A4175" s="50" t="s">
        <v>10558</v>
      </c>
      <c r="B4175" s="50"/>
      <c r="C4175" s="258" t="s">
        <v>10566</v>
      </c>
    </row>
    <row r="4176" spans="1:3">
      <c r="A4176" s="50" t="s">
        <v>10558</v>
      </c>
      <c r="B4176" s="50"/>
      <c r="C4176" s="258" t="s">
        <v>10567</v>
      </c>
    </row>
    <row r="4177" spans="1:3">
      <c r="A4177" s="50" t="s">
        <v>10558</v>
      </c>
      <c r="B4177" s="50"/>
      <c r="C4177" s="258" t="s">
        <v>10568</v>
      </c>
    </row>
    <row r="4178" spans="1:3">
      <c r="A4178" s="50" t="s">
        <v>10558</v>
      </c>
      <c r="B4178" s="50"/>
      <c r="C4178" s="258" t="s">
        <v>10569</v>
      </c>
    </row>
    <row r="4179" spans="1:3">
      <c r="A4179" s="50" t="s">
        <v>10558</v>
      </c>
      <c r="B4179" s="50"/>
      <c r="C4179" s="258" t="s">
        <v>10570</v>
      </c>
    </row>
    <row r="4180" spans="1:3">
      <c r="A4180" s="50" t="s">
        <v>10558</v>
      </c>
      <c r="B4180" s="50"/>
      <c r="C4180" s="258" t="s">
        <v>10571</v>
      </c>
    </row>
    <row r="4181" spans="1:3">
      <c r="A4181" s="50" t="s">
        <v>10558</v>
      </c>
      <c r="B4181" s="50"/>
      <c r="C4181" s="258" t="s">
        <v>10572</v>
      </c>
    </row>
    <row r="4182" spans="1:3">
      <c r="A4182" s="50" t="s">
        <v>10558</v>
      </c>
      <c r="B4182" s="50"/>
      <c r="C4182" s="258" t="s">
        <v>10573</v>
      </c>
    </row>
    <row r="4183" spans="1:3">
      <c r="A4183" s="50" t="s">
        <v>10558</v>
      </c>
      <c r="B4183" s="50"/>
      <c r="C4183" s="258" t="s">
        <v>10574</v>
      </c>
    </row>
    <row r="4184" spans="1:3">
      <c r="A4184" t="s">
        <v>10575</v>
      </c>
      <c r="B4184" t="s">
        <v>10576</v>
      </c>
      <c r="C4184" s="74" t="s">
        <v>10577</v>
      </c>
    </row>
    <row r="4185" spans="1:3">
      <c r="A4185" t="s">
        <v>10578</v>
      </c>
      <c r="B4185" t="s">
        <v>10579</v>
      </c>
      <c r="C4185" s="74" t="s">
        <v>10580</v>
      </c>
    </row>
    <row r="4186" spans="1:3">
      <c r="A4186" t="s">
        <v>10581</v>
      </c>
      <c r="B4186" t="s">
        <v>10582</v>
      </c>
      <c r="C4186" s="74" t="s">
        <v>10583</v>
      </c>
    </row>
    <row r="4187" spans="1:3">
      <c r="A4187" t="s">
        <v>10584</v>
      </c>
      <c r="B4187" t="s">
        <v>10585</v>
      </c>
      <c r="C4187" s="74" t="s">
        <v>10586</v>
      </c>
    </row>
    <row r="4188" spans="1:3">
      <c r="A4188" t="s">
        <v>10587</v>
      </c>
      <c r="B4188" t="s">
        <v>10588</v>
      </c>
      <c r="C4188" s="74" t="s">
        <v>10589</v>
      </c>
    </row>
    <row r="4189" spans="1:3">
      <c r="A4189" t="s">
        <v>10590</v>
      </c>
      <c r="B4189" t="s">
        <v>10591</v>
      </c>
      <c r="C4189" s="74" t="s">
        <v>10592</v>
      </c>
    </row>
    <row r="4190" spans="1:3">
      <c r="A4190" t="s">
        <v>10593</v>
      </c>
      <c r="B4190" t="s">
        <v>10594</v>
      </c>
      <c r="C4190" t="s">
        <v>10595</v>
      </c>
    </row>
    <row r="4191" spans="1:3">
      <c r="A4191" t="s">
        <v>10596</v>
      </c>
      <c r="B4191" t="s">
        <v>10597</v>
      </c>
      <c r="C4191" t="s">
        <v>10598</v>
      </c>
    </row>
    <row r="4192" spans="1:3">
      <c r="A4192" t="s">
        <v>10599</v>
      </c>
      <c r="B4192" t="s">
        <v>10600</v>
      </c>
      <c r="C4192" t="s">
        <v>10601</v>
      </c>
    </row>
    <row r="4193" spans="1:3">
      <c r="A4193" t="s">
        <v>10602</v>
      </c>
      <c r="B4193" t="s">
        <v>10603</v>
      </c>
      <c r="C4193" t="s">
        <v>10604</v>
      </c>
    </row>
    <row r="4194" spans="1:3">
      <c r="A4194" t="s">
        <v>10605</v>
      </c>
      <c r="B4194" t="s">
        <v>10606</v>
      </c>
      <c r="C4194" t="s">
        <v>10607</v>
      </c>
    </row>
    <row r="4195" spans="1:3">
      <c r="A4195" t="s">
        <v>10608</v>
      </c>
      <c r="B4195" t="s">
        <v>10609</v>
      </c>
      <c r="C4195" t="s">
        <v>10610</v>
      </c>
    </row>
    <row r="4196" spans="1:3">
      <c r="A4196" t="s">
        <v>10611</v>
      </c>
      <c r="B4196" t="s">
        <v>10612</v>
      </c>
      <c r="C4196" t="s">
        <v>10613</v>
      </c>
    </row>
    <row r="4197" spans="1:3">
      <c r="A4197" t="s">
        <v>10614</v>
      </c>
      <c r="B4197" t="s">
        <v>10615</v>
      </c>
      <c r="C4197" t="s">
        <v>10616</v>
      </c>
    </row>
    <row r="4198" spans="1:3">
      <c r="A4198" t="s">
        <v>10617</v>
      </c>
      <c r="B4198" t="s">
        <v>10618</v>
      </c>
      <c r="C4198" t="s">
        <v>10619</v>
      </c>
    </row>
    <row r="4199" spans="1:3">
      <c r="A4199" t="s">
        <v>10620</v>
      </c>
      <c r="B4199" t="s">
        <v>10621</v>
      </c>
      <c r="C4199" t="s">
        <v>10622</v>
      </c>
    </row>
    <row r="4200" spans="1:3">
      <c r="A4200" t="s">
        <v>10623</v>
      </c>
      <c r="B4200" t="s">
        <v>10624</v>
      </c>
      <c r="C4200" t="s">
        <v>10625</v>
      </c>
    </row>
    <row r="4201" spans="1:3">
      <c r="A4201" s="50" t="s">
        <v>10626</v>
      </c>
      <c r="B4201" s="50"/>
      <c r="C4201" s="257" t="s">
        <v>10627</v>
      </c>
    </row>
    <row r="4202" spans="1:3">
      <c r="A4202" s="50" t="s">
        <v>10628</v>
      </c>
      <c r="B4202" s="50"/>
      <c r="C4202" s="257" t="s">
        <v>10629</v>
      </c>
    </row>
    <row r="4203" spans="1:3">
      <c r="A4203" s="50" t="s">
        <v>10630</v>
      </c>
      <c r="B4203" s="50"/>
      <c r="C4203" s="257" t="s">
        <v>10631</v>
      </c>
    </row>
    <row r="4204" spans="1:3">
      <c r="A4204" s="50" t="s">
        <v>10632</v>
      </c>
      <c r="B4204" s="50"/>
      <c r="C4204" s="257" t="s">
        <v>10633</v>
      </c>
    </row>
    <row r="4205" spans="1:3">
      <c r="A4205" s="50" t="s">
        <v>10634</v>
      </c>
      <c r="B4205" s="50"/>
      <c r="C4205" s="257" t="s">
        <v>10635</v>
      </c>
    </row>
    <row r="4206" spans="1:3">
      <c r="A4206" s="50" t="s">
        <v>10636</v>
      </c>
      <c r="B4206" s="50"/>
      <c r="C4206" s="257" t="s">
        <v>10637</v>
      </c>
    </row>
    <row r="4207" spans="1:3">
      <c r="A4207" s="50" t="s">
        <v>10638</v>
      </c>
      <c r="B4207" s="50"/>
      <c r="C4207" s="257" t="s">
        <v>10639</v>
      </c>
    </row>
    <row r="4208" spans="1:3">
      <c r="A4208" s="50" t="s">
        <v>10640</v>
      </c>
      <c r="B4208" t="s">
        <v>10641</v>
      </c>
      <c r="C4208" t="s">
        <v>10642</v>
      </c>
    </row>
    <row r="4209" spans="1:3">
      <c r="A4209" t="s">
        <v>10643</v>
      </c>
      <c r="B4209" t="s">
        <v>10644</v>
      </c>
      <c r="C4209" t="s">
        <v>10645</v>
      </c>
    </row>
    <row r="4210" spans="1:3">
      <c r="A4210" s="260" t="s">
        <v>10646</v>
      </c>
      <c r="B4210" t="s">
        <v>10647</v>
      </c>
      <c r="C4210" t="s">
        <v>10648</v>
      </c>
    </row>
    <row r="4211" spans="1:3">
      <c r="A4211" s="260" t="s">
        <v>10649</v>
      </c>
      <c r="B4211" t="s">
        <v>10650</v>
      </c>
      <c r="C4211" t="s">
        <v>10651</v>
      </c>
    </row>
    <row r="4212" spans="1:3">
      <c r="A4212" s="260" t="s">
        <v>10652</v>
      </c>
      <c r="B4212" t="s">
        <v>10653</v>
      </c>
      <c r="C4212" t="s">
        <v>10654</v>
      </c>
    </row>
    <row r="4213" spans="1:3">
      <c r="A4213" s="260" t="s">
        <v>10655</v>
      </c>
      <c r="B4213" t="s">
        <v>10656</v>
      </c>
      <c r="C4213" t="s">
        <v>10657</v>
      </c>
    </row>
    <row r="4214" spans="1:3">
      <c r="A4214" s="260" t="s">
        <v>10658</v>
      </c>
      <c r="B4214" t="s">
        <v>10659</v>
      </c>
      <c r="C4214" t="s">
        <v>10660</v>
      </c>
    </row>
    <row r="4215" spans="1:3">
      <c r="A4215" s="260" t="s">
        <v>10661</v>
      </c>
      <c r="B4215" t="s">
        <v>10662</v>
      </c>
      <c r="C4215" t="s">
        <v>10663</v>
      </c>
    </row>
    <row r="4216" spans="1:3">
      <c r="A4216" s="260" t="s">
        <v>10664</v>
      </c>
      <c r="B4216" t="s">
        <v>10665</v>
      </c>
      <c r="C4216" t="s">
        <v>10666</v>
      </c>
    </row>
    <row r="4217" spans="1:3">
      <c r="A4217" s="260" t="s">
        <v>10667</v>
      </c>
      <c r="B4217" t="s">
        <v>10668</v>
      </c>
      <c r="C4217" t="s">
        <v>10669</v>
      </c>
    </row>
    <row r="4218" spans="1:3">
      <c r="A4218" s="50" t="s">
        <v>10670</v>
      </c>
      <c r="B4218" t="s">
        <v>10671</v>
      </c>
      <c r="C4218" t="s">
        <v>10672</v>
      </c>
    </row>
    <row r="4219" spans="1:3">
      <c r="A4219" s="50" t="s">
        <v>10673</v>
      </c>
      <c r="B4219" t="s">
        <v>10674</v>
      </c>
      <c r="C4219" t="s">
        <v>10675</v>
      </c>
    </row>
    <row r="4220" spans="1:3">
      <c r="A4220" s="260" t="s">
        <v>10676</v>
      </c>
      <c r="B4220" t="s">
        <v>10677</v>
      </c>
      <c r="C4220" t="s">
        <v>10678</v>
      </c>
    </row>
    <row r="4221" spans="1:3">
      <c r="A4221" s="260" t="s">
        <v>10679</v>
      </c>
      <c r="B4221" t="s">
        <v>10680</v>
      </c>
      <c r="C4221" t="s">
        <v>10681</v>
      </c>
    </row>
    <row r="4222" spans="1:3">
      <c r="A4222" s="260" t="s">
        <v>10682</v>
      </c>
      <c r="B4222" t="s">
        <v>10683</v>
      </c>
      <c r="C4222" t="s">
        <v>10684</v>
      </c>
    </row>
    <row r="4223" spans="1:3">
      <c r="A4223" s="260" t="s">
        <v>10685</v>
      </c>
      <c r="B4223" t="s">
        <v>10686</v>
      </c>
      <c r="C4223" t="s">
        <v>10687</v>
      </c>
    </row>
    <row r="4224" spans="1:3">
      <c r="A4224" s="260" t="s">
        <v>10688</v>
      </c>
      <c r="B4224" t="s">
        <v>10689</v>
      </c>
      <c r="C4224" t="s">
        <v>10690</v>
      </c>
    </row>
    <row r="4225" spans="1:3">
      <c r="A4225" s="50" t="s">
        <v>10691</v>
      </c>
      <c r="B4225" t="s">
        <v>10689</v>
      </c>
      <c r="C4225" t="s">
        <v>10692</v>
      </c>
    </row>
    <row r="4226" spans="1:3">
      <c r="A4226" s="260" t="s">
        <v>10693</v>
      </c>
      <c r="B4226" t="s">
        <v>10694</v>
      </c>
      <c r="C4226" t="s">
        <v>10695</v>
      </c>
    </row>
    <row r="4227" spans="1:3">
      <c r="A4227" s="260" t="s">
        <v>10696</v>
      </c>
      <c r="B4227" t="s">
        <v>10697</v>
      </c>
      <c r="C4227" t="s">
        <v>10698</v>
      </c>
    </row>
    <row r="4228" spans="1:3">
      <c r="A4228" s="260" t="s">
        <v>10699</v>
      </c>
      <c r="B4228" t="s">
        <v>10697</v>
      </c>
      <c r="C4228" t="s">
        <v>10700</v>
      </c>
    </row>
    <row r="4229" spans="1:3">
      <c r="A4229" s="260" t="s">
        <v>10701</v>
      </c>
      <c r="B4229" t="s">
        <v>10702</v>
      </c>
      <c r="C4229" t="s">
        <v>10703</v>
      </c>
    </row>
    <row r="4230" spans="1:3">
      <c r="A4230" s="260" t="s">
        <v>10704</v>
      </c>
      <c r="B4230" t="s">
        <v>10705</v>
      </c>
      <c r="C4230" t="s">
        <v>10706</v>
      </c>
    </row>
    <row r="4231" spans="1:3">
      <c r="A4231" s="260" t="s">
        <v>10707</v>
      </c>
      <c r="B4231" t="s">
        <v>10708</v>
      </c>
      <c r="C4231" t="s">
        <v>10709</v>
      </c>
    </row>
    <row r="4232" spans="1:3">
      <c r="A4232" s="260" t="s">
        <v>10710</v>
      </c>
      <c r="B4232" t="s">
        <v>10711</v>
      </c>
      <c r="C4232" t="s">
        <v>10712</v>
      </c>
    </row>
    <row r="4233" spans="1:3">
      <c r="A4233" s="260" t="s">
        <v>10713</v>
      </c>
      <c r="B4233" t="s">
        <v>10714</v>
      </c>
      <c r="C4233" t="s">
        <v>10715</v>
      </c>
    </row>
    <row r="4234" spans="1:3">
      <c r="A4234" s="260" t="s">
        <v>10716</v>
      </c>
      <c r="B4234" t="s">
        <v>10714</v>
      </c>
      <c r="C4234" t="s">
        <v>10717</v>
      </c>
    </row>
    <row r="4235" spans="1:3">
      <c r="A4235" s="260" t="s">
        <v>10718</v>
      </c>
      <c r="B4235" t="s">
        <v>10719</v>
      </c>
      <c r="C4235" t="s">
        <v>10720</v>
      </c>
    </row>
    <row r="4236" spans="1:3">
      <c r="A4236" s="260" t="s">
        <v>10721</v>
      </c>
      <c r="B4236" t="s">
        <v>10722</v>
      </c>
      <c r="C4236" t="s">
        <v>10723</v>
      </c>
    </row>
    <row r="4237" spans="1:3">
      <c r="A4237" s="260" t="s">
        <v>10724</v>
      </c>
      <c r="B4237" t="s">
        <v>10722</v>
      </c>
      <c r="C4237" t="s">
        <v>10725</v>
      </c>
    </row>
    <row r="4238" spans="1:3">
      <c r="A4238" s="260" t="s">
        <v>10726</v>
      </c>
      <c r="B4238" t="s">
        <v>10727</v>
      </c>
      <c r="C4238" t="s">
        <v>10728</v>
      </c>
    </row>
    <row r="4239" spans="1:3">
      <c r="A4239" s="260" t="s">
        <v>10729</v>
      </c>
      <c r="B4239" t="s">
        <v>10730</v>
      </c>
      <c r="C4239" t="s">
        <v>10731</v>
      </c>
    </row>
    <row r="4240" spans="1:3">
      <c r="A4240" s="260" t="s">
        <v>10732</v>
      </c>
      <c r="B4240" t="s">
        <v>10730</v>
      </c>
      <c r="C4240" t="s">
        <v>10733</v>
      </c>
    </row>
    <row r="4241" spans="1:3">
      <c r="A4241" s="260" t="s">
        <v>10734</v>
      </c>
      <c r="B4241" t="s">
        <v>10735</v>
      </c>
      <c r="C4241" t="s">
        <v>10736</v>
      </c>
    </row>
    <row r="4242" spans="1:3">
      <c r="A4242" s="260" t="s">
        <v>10737</v>
      </c>
      <c r="B4242" t="s">
        <v>10738</v>
      </c>
      <c r="C4242" t="s">
        <v>10739</v>
      </c>
    </row>
    <row r="4243" spans="1:3">
      <c r="A4243" s="260" t="s">
        <v>10740</v>
      </c>
      <c r="B4243" t="s">
        <v>10738</v>
      </c>
      <c r="C4243" t="s">
        <v>10741</v>
      </c>
    </row>
    <row r="4244" spans="1:3">
      <c r="A4244" s="260" t="s">
        <v>10742</v>
      </c>
      <c r="B4244" t="s">
        <v>10597</v>
      </c>
      <c r="C4244" t="s">
        <v>10743</v>
      </c>
    </row>
    <row r="4245" spans="1:3">
      <c r="A4245" s="260" t="s">
        <v>10744</v>
      </c>
      <c r="B4245" t="s">
        <v>10745</v>
      </c>
      <c r="C4245" t="s">
        <v>10746</v>
      </c>
    </row>
    <row r="4246" spans="1:3">
      <c r="A4246" s="260" t="s">
        <v>10747</v>
      </c>
      <c r="B4246" t="s">
        <v>10748</v>
      </c>
      <c r="C4246" t="s">
        <v>10749</v>
      </c>
    </row>
    <row r="4247" spans="1:3">
      <c r="A4247" s="260" t="s">
        <v>10750</v>
      </c>
      <c r="B4247" t="s">
        <v>10748</v>
      </c>
      <c r="C4247" t="s">
        <v>10751</v>
      </c>
    </row>
    <row r="4248" spans="1:3">
      <c r="A4248" s="260" t="s">
        <v>10752</v>
      </c>
      <c r="B4248" t="s">
        <v>10612</v>
      </c>
      <c r="C4248" t="s">
        <v>10753</v>
      </c>
    </row>
    <row r="4249" spans="1:3">
      <c r="A4249" s="260" t="s">
        <v>10754</v>
      </c>
      <c r="B4249" t="s">
        <v>10755</v>
      </c>
      <c r="C4249" t="s">
        <v>10756</v>
      </c>
    </row>
    <row r="4250" spans="1:3">
      <c r="A4250" s="260" t="s">
        <v>10757</v>
      </c>
      <c r="B4250" t="s">
        <v>10758</v>
      </c>
      <c r="C4250" t="s">
        <v>10759</v>
      </c>
    </row>
    <row r="4251" spans="1:3">
      <c r="A4251" s="260" t="s">
        <v>10760</v>
      </c>
      <c r="B4251" t="s">
        <v>10761</v>
      </c>
      <c r="C4251" t="s">
        <v>10762</v>
      </c>
    </row>
    <row r="4252" spans="1:3">
      <c r="A4252" s="260" t="s">
        <v>10763</v>
      </c>
      <c r="B4252" t="s">
        <v>10764</v>
      </c>
      <c r="C4252" t="s">
        <v>10765</v>
      </c>
    </row>
    <row r="4253" spans="1:3">
      <c r="A4253" s="260" t="s">
        <v>10766</v>
      </c>
      <c r="B4253" t="s">
        <v>10767</v>
      </c>
      <c r="C4253" t="s">
        <v>10768</v>
      </c>
    </row>
    <row r="4254" spans="1:3">
      <c r="A4254" s="260" t="s">
        <v>10769</v>
      </c>
      <c r="B4254" t="s">
        <v>10770</v>
      </c>
      <c r="C4254" t="s">
        <v>10771</v>
      </c>
    </row>
    <row r="4255" spans="1:3">
      <c r="A4255" s="260" t="s">
        <v>10772</v>
      </c>
      <c r="B4255" t="s">
        <v>10773</v>
      </c>
      <c r="C4255" t="s">
        <v>10774</v>
      </c>
    </row>
    <row r="4256" spans="1:3">
      <c r="A4256" s="260" t="s">
        <v>10775</v>
      </c>
      <c r="B4256" t="s">
        <v>10776</v>
      </c>
      <c r="C4256" t="s">
        <v>10777</v>
      </c>
    </row>
    <row r="4257" spans="1:3">
      <c r="A4257" s="260" t="s">
        <v>10778</v>
      </c>
      <c r="B4257" t="s">
        <v>10779</v>
      </c>
      <c r="C4257" t="s">
        <v>10780</v>
      </c>
    </row>
    <row r="4258" spans="1:3">
      <c r="A4258" s="260" t="s">
        <v>10781</v>
      </c>
      <c r="B4258" t="s">
        <v>10782</v>
      </c>
      <c r="C4258" t="s">
        <v>10783</v>
      </c>
    </row>
    <row r="4259" spans="1:3">
      <c r="A4259" s="260" t="s">
        <v>10784</v>
      </c>
      <c r="B4259" t="s">
        <v>10785</v>
      </c>
      <c r="C4259" t="s">
        <v>10786</v>
      </c>
    </row>
    <row r="4260" spans="1:3">
      <c r="A4260" s="260" t="s">
        <v>10787</v>
      </c>
      <c r="B4260" t="s">
        <v>10788</v>
      </c>
      <c r="C4260" t="s">
        <v>10789</v>
      </c>
    </row>
    <row r="4261" spans="1:3">
      <c r="A4261" s="260" t="s">
        <v>10790</v>
      </c>
      <c r="B4261" t="s">
        <v>10791</v>
      </c>
      <c r="C4261" t="s">
        <v>10792</v>
      </c>
    </row>
    <row r="4262" spans="1:3">
      <c r="A4262" s="260" t="s">
        <v>10793</v>
      </c>
      <c r="B4262" t="s">
        <v>10794</v>
      </c>
      <c r="C4262" t="s">
        <v>10795</v>
      </c>
    </row>
    <row r="4263" spans="1:3">
      <c r="A4263" s="260" t="s">
        <v>10796</v>
      </c>
      <c r="B4263" t="s">
        <v>10797</v>
      </c>
      <c r="C4263" t="s">
        <v>10798</v>
      </c>
    </row>
    <row r="4264" spans="1:3">
      <c r="A4264" s="260" t="s">
        <v>10799</v>
      </c>
      <c r="B4264" t="s">
        <v>10800</v>
      </c>
      <c r="C4264" t="s">
        <v>10801</v>
      </c>
    </row>
    <row r="4265" spans="1:3">
      <c r="A4265" s="260" t="s">
        <v>10802</v>
      </c>
      <c r="B4265" t="s">
        <v>10803</v>
      </c>
      <c r="C4265" t="s">
        <v>10804</v>
      </c>
    </row>
    <row r="4266" spans="1:3">
      <c r="A4266" s="260" t="s">
        <v>10805</v>
      </c>
      <c r="B4266" t="s">
        <v>10806</v>
      </c>
      <c r="C4266" t="s">
        <v>10807</v>
      </c>
    </row>
    <row r="4267" spans="1:3">
      <c r="A4267" s="260" t="s">
        <v>10808</v>
      </c>
      <c r="B4267" t="s">
        <v>10809</v>
      </c>
      <c r="C4267" t="s">
        <v>10810</v>
      </c>
    </row>
    <row r="4268" spans="1:3">
      <c r="A4268" s="260" t="s">
        <v>10811</v>
      </c>
      <c r="B4268" t="s">
        <v>10812</v>
      </c>
      <c r="C4268" t="s">
        <v>10813</v>
      </c>
    </row>
    <row r="4269" spans="1:3">
      <c r="A4269" s="260" t="s">
        <v>10814</v>
      </c>
      <c r="B4269" t="s">
        <v>10815</v>
      </c>
      <c r="C4269" t="s">
        <v>10816</v>
      </c>
    </row>
    <row r="4270" spans="1:3">
      <c r="A4270" s="260" t="s">
        <v>10817</v>
      </c>
      <c r="B4270" s="50"/>
      <c r="C4270" s="257" t="s">
        <v>10818</v>
      </c>
    </row>
    <row r="4271" spans="1:3">
      <c r="A4271" t="s">
        <v>10819</v>
      </c>
      <c r="B4271" t="s">
        <v>10820</v>
      </c>
      <c r="C4271" t="s">
        <v>10821</v>
      </c>
    </row>
    <row r="4272" spans="1:3">
      <c r="A4272" s="260" t="s">
        <v>10822</v>
      </c>
      <c r="B4272" t="s">
        <v>10823</v>
      </c>
      <c r="C4272" t="s">
        <v>10824</v>
      </c>
    </row>
    <row r="4273" spans="1:3">
      <c r="A4273" s="260" t="s">
        <v>10825</v>
      </c>
      <c r="B4273" t="s">
        <v>10826</v>
      </c>
      <c r="C4273" t="s">
        <v>10827</v>
      </c>
    </row>
    <row r="4274" spans="1:3">
      <c r="A4274" s="260" t="s">
        <v>10828</v>
      </c>
      <c r="B4274" s="50"/>
      <c r="C4274" s="257" t="s">
        <v>10829</v>
      </c>
    </row>
    <row r="4275" spans="1:3">
      <c r="A4275" s="260" t="s">
        <v>10830</v>
      </c>
      <c r="B4275" t="s">
        <v>10831</v>
      </c>
      <c r="C4275" t="s">
        <v>10832</v>
      </c>
    </row>
    <row r="4276" spans="1:3">
      <c r="A4276" s="260" t="s">
        <v>10833</v>
      </c>
      <c r="B4276" t="s">
        <v>10834</v>
      </c>
      <c r="C4276" t="s">
        <v>10835</v>
      </c>
    </row>
    <row r="4277" spans="1:3">
      <c r="A4277" s="260" t="s">
        <v>10836</v>
      </c>
      <c r="B4277" t="s">
        <v>10837</v>
      </c>
      <c r="C4277" t="s">
        <v>10838</v>
      </c>
    </row>
    <row r="4278" spans="1:3">
      <c r="A4278" s="260" t="s">
        <v>10839</v>
      </c>
      <c r="B4278" t="s">
        <v>10840</v>
      </c>
      <c r="C4278" t="s">
        <v>10841</v>
      </c>
    </row>
    <row r="4279" spans="1:3">
      <c r="A4279" s="260" t="s">
        <v>10842</v>
      </c>
      <c r="B4279" t="s">
        <v>10843</v>
      </c>
      <c r="C4279" t="s">
        <v>10844</v>
      </c>
    </row>
    <row r="4280" spans="1:3">
      <c r="A4280" s="260" t="s">
        <v>10845</v>
      </c>
      <c r="B4280" t="s">
        <v>10846</v>
      </c>
      <c r="C4280" t="s">
        <v>10847</v>
      </c>
    </row>
    <row r="4281" spans="1:3">
      <c r="A4281" s="260" t="s">
        <v>10848</v>
      </c>
      <c r="B4281" t="s">
        <v>10849</v>
      </c>
      <c r="C4281" t="s">
        <v>10850</v>
      </c>
    </row>
    <row r="4282" spans="1:3">
      <c r="A4282" s="260" t="s">
        <v>10851</v>
      </c>
      <c r="B4282" t="s">
        <v>10852</v>
      </c>
      <c r="C4282" t="s">
        <v>10853</v>
      </c>
    </row>
    <row r="4283" spans="1:3">
      <c r="A4283" s="260" t="s">
        <v>10854</v>
      </c>
      <c r="B4283" t="s">
        <v>10855</v>
      </c>
      <c r="C4283" t="s">
        <v>10856</v>
      </c>
    </row>
    <row r="4284" spans="1:3">
      <c r="A4284" s="260" t="s">
        <v>10857</v>
      </c>
      <c r="B4284" t="s">
        <v>10858</v>
      </c>
      <c r="C4284" t="s">
        <v>10859</v>
      </c>
    </row>
    <row r="4285" spans="1:3">
      <c r="A4285" s="260" t="s">
        <v>10860</v>
      </c>
      <c r="B4285" t="s">
        <v>10861</v>
      </c>
      <c r="C4285" t="s">
        <v>10862</v>
      </c>
    </row>
    <row r="4286" spans="1:3">
      <c r="A4286" s="260" t="s">
        <v>10863</v>
      </c>
      <c r="B4286" t="s">
        <v>10864</v>
      </c>
      <c r="C4286" t="s">
        <v>10865</v>
      </c>
    </row>
    <row r="4287" spans="1:3">
      <c r="A4287" t="s">
        <v>10866</v>
      </c>
      <c r="B4287" t="s">
        <v>10867</v>
      </c>
      <c r="C4287" t="s">
        <v>10868</v>
      </c>
    </row>
    <row r="4288" spans="1:3">
      <c r="A4288" s="260" t="s">
        <v>10869</v>
      </c>
      <c r="B4288" t="s">
        <v>10870</v>
      </c>
      <c r="C4288" t="s">
        <v>10871</v>
      </c>
    </row>
    <row r="4289" spans="1:3">
      <c r="A4289" s="260" t="s">
        <v>10872</v>
      </c>
      <c r="B4289" t="s">
        <v>10873</v>
      </c>
      <c r="C4289" t="s">
        <v>10874</v>
      </c>
    </row>
    <row r="4290" spans="1:3">
      <c r="A4290" s="260" t="s">
        <v>10875</v>
      </c>
      <c r="B4290" t="s">
        <v>10876</v>
      </c>
      <c r="C4290" t="s">
        <v>10877</v>
      </c>
    </row>
    <row r="4291" spans="1:3">
      <c r="A4291" s="260" t="s">
        <v>10878</v>
      </c>
      <c r="B4291" t="s">
        <v>10879</v>
      </c>
      <c r="C4291" t="s">
        <v>10880</v>
      </c>
    </row>
    <row r="4292" spans="1:3">
      <c r="A4292" s="260" t="s">
        <v>10881</v>
      </c>
      <c r="B4292" t="s">
        <v>10882</v>
      </c>
      <c r="C4292" t="s">
        <v>10883</v>
      </c>
    </row>
    <row r="4293" spans="1:3">
      <c r="A4293" s="260" t="s">
        <v>10884</v>
      </c>
      <c r="B4293" t="s">
        <v>10882</v>
      </c>
      <c r="C4293" t="s">
        <v>10885</v>
      </c>
    </row>
    <row r="4294" spans="1:3">
      <c r="A4294" s="260" t="s">
        <v>10886</v>
      </c>
      <c r="B4294" s="50"/>
      <c r="C4294" s="257" t="s">
        <v>10887</v>
      </c>
    </row>
    <row r="4295" spans="1:3">
      <c r="A4295" s="260" t="s">
        <v>10888</v>
      </c>
      <c r="B4295" t="s">
        <v>10889</v>
      </c>
      <c r="C4295" t="s">
        <v>10890</v>
      </c>
    </row>
    <row r="4296" spans="1:3">
      <c r="A4296" s="260" t="s">
        <v>10891</v>
      </c>
      <c r="B4296" t="s">
        <v>10892</v>
      </c>
      <c r="C4296" t="s">
        <v>10893</v>
      </c>
    </row>
    <row r="4297" spans="1:3">
      <c r="A4297" s="260" t="s">
        <v>10894</v>
      </c>
      <c r="B4297" t="s">
        <v>10895</v>
      </c>
      <c r="C4297" t="s">
        <v>10896</v>
      </c>
    </row>
    <row r="4298" spans="1:3">
      <c r="A4298" s="260" t="s">
        <v>10897</v>
      </c>
      <c r="B4298" t="s">
        <v>10898</v>
      </c>
      <c r="C4298" t="s">
        <v>10899</v>
      </c>
    </row>
    <row r="4299" spans="1:3">
      <c r="A4299" s="260" t="s">
        <v>10900</v>
      </c>
      <c r="B4299" t="s">
        <v>10901</v>
      </c>
      <c r="C4299" t="s">
        <v>10902</v>
      </c>
    </row>
    <row r="4300" spans="1:3">
      <c r="A4300" s="260" t="s">
        <v>10903</v>
      </c>
      <c r="B4300" t="s">
        <v>10904</v>
      </c>
      <c r="C4300" t="s">
        <v>10905</v>
      </c>
    </row>
    <row r="4301" spans="1:3">
      <c r="A4301" s="260" t="s">
        <v>10906</v>
      </c>
      <c r="B4301" t="s">
        <v>10907</v>
      </c>
      <c r="C4301" t="s">
        <v>10908</v>
      </c>
    </row>
    <row r="4302" spans="1:3">
      <c r="A4302" s="260" t="s">
        <v>10909</v>
      </c>
      <c r="B4302" t="s">
        <v>10907</v>
      </c>
      <c r="C4302" t="s">
        <v>10910</v>
      </c>
    </row>
    <row r="4303" spans="1:3">
      <c r="A4303" s="260" t="s">
        <v>10911</v>
      </c>
      <c r="B4303" t="s">
        <v>10912</v>
      </c>
      <c r="C4303" t="s">
        <v>10913</v>
      </c>
    </row>
    <row r="4304" spans="1:3">
      <c r="A4304" t="s">
        <v>10914</v>
      </c>
      <c r="B4304" t="s">
        <v>10915</v>
      </c>
      <c r="C4304" t="s">
        <v>10916</v>
      </c>
    </row>
    <row r="4305" spans="1:3">
      <c r="A4305" s="260" t="s">
        <v>10917</v>
      </c>
      <c r="B4305" t="s">
        <v>10918</v>
      </c>
      <c r="C4305" t="s">
        <v>10919</v>
      </c>
    </row>
    <row r="4306" spans="1:3">
      <c r="A4306" s="260" t="s">
        <v>10920</v>
      </c>
      <c r="B4306" t="s">
        <v>10921</v>
      </c>
      <c r="C4306" t="s">
        <v>10922</v>
      </c>
    </row>
    <row r="4307" spans="1:3">
      <c r="A4307" s="260" t="s">
        <v>10923</v>
      </c>
      <c r="B4307" t="s">
        <v>10924</v>
      </c>
      <c r="C4307" t="s">
        <v>10925</v>
      </c>
    </row>
    <row r="4308" spans="1:3">
      <c r="A4308" s="260" t="s">
        <v>10926</v>
      </c>
      <c r="B4308" t="s">
        <v>10927</v>
      </c>
      <c r="C4308" t="s">
        <v>10928</v>
      </c>
    </row>
    <row r="4309" spans="1:3">
      <c r="A4309" s="260" t="s">
        <v>10929</v>
      </c>
      <c r="B4309" t="s">
        <v>10930</v>
      </c>
      <c r="C4309" t="s">
        <v>10931</v>
      </c>
    </row>
    <row r="4310" spans="1:3">
      <c r="A4310" s="260" t="s">
        <v>10932</v>
      </c>
      <c r="B4310" t="s">
        <v>10933</v>
      </c>
      <c r="C4310" t="s">
        <v>10934</v>
      </c>
    </row>
    <row r="4311" spans="1:3">
      <c r="A4311" s="260" t="s">
        <v>10935</v>
      </c>
      <c r="B4311" t="s">
        <v>10936</v>
      </c>
      <c r="C4311" t="s">
        <v>10937</v>
      </c>
    </row>
    <row r="4312" spans="1:3">
      <c r="A4312" s="260" t="s">
        <v>10938</v>
      </c>
      <c r="B4312" t="s">
        <v>10939</v>
      </c>
      <c r="C4312" t="s">
        <v>10940</v>
      </c>
    </row>
    <row r="4313" spans="1:3">
      <c r="A4313" s="260" t="s">
        <v>10941</v>
      </c>
      <c r="B4313" t="s">
        <v>10942</v>
      </c>
      <c r="C4313" t="s">
        <v>10943</v>
      </c>
    </row>
    <row r="4314" spans="1:3">
      <c r="A4314" s="260" t="s">
        <v>10944</v>
      </c>
      <c r="B4314" t="s">
        <v>10945</v>
      </c>
      <c r="C4314" t="s">
        <v>10946</v>
      </c>
    </row>
    <row r="4315" spans="1:3">
      <c r="A4315" s="260" t="s">
        <v>10947</v>
      </c>
      <c r="B4315" t="s">
        <v>10948</v>
      </c>
      <c r="C4315" t="s">
        <v>10949</v>
      </c>
    </row>
    <row r="4316" spans="1:3">
      <c r="A4316" s="260" t="s">
        <v>10950</v>
      </c>
      <c r="B4316" t="s">
        <v>10951</v>
      </c>
      <c r="C4316" t="s">
        <v>10952</v>
      </c>
    </row>
    <row r="4317" spans="1:3">
      <c r="A4317" s="260" t="s">
        <v>10953</v>
      </c>
      <c r="B4317" t="s">
        <v>10954</v>
      </c>
      <c r="C4317" t="s">
        <v>10955</v>
      </c>
    </row>
    <row r="4318" spans="1:3">
      <c r="A4318" s="260" t="s">
        <v>10956</v>
      </c>
      <c r="B4318" t="s">
        <v>10957</v>
      </c>
      <c r="C4318" t="s">
        <v>10958</v>
      </c>
    </row>
    <row r="4319" spans="1:3">
      <c r="A4319" s="260" t="s">
        <v>10959</v>
      </c>
      <c r="B4319" t="s">
        <v>10960</v>
      </c>
      <c r="C4319" t="s">
        <v>10961</v>
      </c>
    </row>
    <row r="4320" spans="1:3">
      <c r="A4320" s="260" t="s">
        <v>10962</v>
      </c>
      <c r="B4320" t="s">
        <v>10764</v>
      </c>
      <c r="C4320" t="s">
        <v>10963</v>
      </c>
    </row>
    <row r="4321" spans="1:3">
      <c r="A4321" s="50" t="s">
        <v>10964</v>
      </c>
      <c r="B4321" t="s">
        <v>10965</v>
      </c>
      <c r="C4321" t="s">
        <v>10966</v>
      </c>
    </row>
    <row r="4322" spans="1:3">
      <c r="A4322" s="260" t="s">
        <v>10967</v>
      </c>
      <c r="B4322" t="s">
        <v>10773</v>
      </c>
      <c r="C4322" t="s">
        <v>10968</v>
      </c>
    </row>
    <row r="4323" spans="1:3">
      <c r="A4323" s="260" t="s">
        <v>10969</v>
      </c>
      <c r="B4323" t="s">
        <v>10970</v>
      </c>
      <c r="C4323" t="s">
        <v>10971</v>
      </c>
    </row>
    <row r="4324" spans="1:3">
      <c r="A4324" s="260" t="s">
        <v>10972</v>
      </c>
      <c r="B4324" t="s">
        <v>10803</v>
      </c>
      <c r="C4324" t="s">
        <v>10973</v>
      </c>
    </row>
    <row r="4325" spans="1:3">
      <c r="A4325" s="260" t="s">
        <v>10974</v>
      </c>
      <c r="B4325" t="s">
        <v>10806</v>
      </c>
      <c r="C4325" t="s">
        <v>10975</v>
      </c>
    </row>
    <row r="4326" spans="1:3">
      <c r="A4326" s="260" t="s">
        <v>10976</v>
      </c>
      <c r="B4326" t="s">
        <v>10977</v>
      </c>
      <c r="C4326" t="s">
        <v>10978</v>
      </c>
    </row>
    <row r="4327" spans="1:3">
      <c r="A4327" s="260" t="s">
        <v>10979</v>
      </c>
      <c r="B4327" t="s">
        <v>10980</v>
      </c>
      <c r="C4327" t="s">
        <v>10981</v>
      </c>
    </row>
    <row r="4328" spans="1:3">
      <c r="A4328" s="260" t="s">
        <v>10982</v>
      </c>
      <c r="B4328" t="s">
        <v>10647</v>
      </c>
      <c r="C4328" t="s">
        <v>10983</v>
      </c>
    </row>
    <row r="4329" spans="1:3">
      <c r="A4329" s="260" t="s">
        <v>10984</v>
      </c>
      <c r="B4329" t="s">
        <v>10650</v>
      </c>
      <c r="C4329" t="s">
        <v>10985</v>
      </c>
    </row>
    <row r="4330" spans="1:3">
      <c r="A4330" s="260" t="s">
        <v>10986</v>
      </c>
      <c r="B4330" t="s">
        <v>10653</v>
      </c>
      <c r="C4330" t="s">
        <v>10987</v>
      </c>
    </row>
    <row r="4331" spans="1:3">
      <c r="A4331" s="260" t="s">
        <v>10988</v>
      </c>
      <c r="B4331" t="s">
        <v>10989</v>
      </c>
      <c r="C4331" t="s">
        <v>10990</v>
      </c>
    </row>
    <row r="4332" spans="1:3">
      <c r="A4332" s="260" t="s">
        <v>10991</v>
      </c>
      <c r="B4332" t="s">
        <v>10992</v>
      </c>
      <c r="C4332" t="s">
        <v>10993</v>
      </c>
    </row>
    <row r="4333" spans="1:3">
      <c r="A4333" s="260" t="s">
        <v>10994</v>
      </c>
      <c r="B4333" t="s">
        <v>10677</v>
      </c>
      <c r="C4333" t="s">
        <v>10995</v>
      </c>
    </row>
    <row r="4334" spans="1:3">
      <c r="A4334" s="260" t="s">
        <v>10996</v>
      </c>
      <c r="B4334" t="s">
        <v>10997</v>
      </c>
      <c r="C4334" t="s">
        <v>10998</v>
      </c>
    </row>
    <row r="4335" spans="1:3">
      <c r="A4335" s="260" t="s">
        <v>10999</v>
      </c>
      <c r="B4335" t="s">
        <v>10686</v>
      </c>
      <c r="C4335" t="s">
        <v>11000</v>
      </c>
    </row>
    <row r="4336" spans="1:3">
      <c r="A4336" s="260" t="s">
        <v>11001</v>
      </c>
      <c r="B4336" t="s">
        <v>10694</v>
      </c>
      <c r="C4336" t="s">
        <v>11002</v>
      </c>
    </row>
    <row r="4337" spans="1:3">
      <c r="A4337" s="260" t="s">
        <v>11003</v>
      </c>
      <c r="B4337" t="s">
        <v>10702</v>
      </c>
      <c r="C4337" t="s">
        <v>11004</v>
      </c>
    </row>
    <row r="4338" spans="1:3">
      <c r="A4338" s="260" t="s">
        <v>11005</v>
      </c>
      <c r="B4338" t="s">
        <v>10711</v>
      </c>
      <c r="C4338" t="s">
        <v>11006</v>
      </c>
    </row>
    <row r="4339" spans="1:3">
      <c r="A4339" s="50" t="s">
        <v>11007</v>
      </c>
      <c r="B4339" t="s">
        <v>10719</v>
      </c>
      <c r="C4339" t="s">
        <v>11008</v>
      </c>
    </row>
    <row r="4340" spans="1:3">
      <c r="A4340" s="260" t="s">
        <v>11009</v>
      </c>
      <c r="B4340" t="s">
        <v>10727</v>
      </c>
      <c r="C4340" t="s">
        <v>11010</v>
      </c>
    </row>
    <row r="4341" spans="1:3">
      <c r="A4341" s="260" t="s">
        <v>11011</v>
      </c>
      <c r="B4341" t="s">
        <v>10735</v>
      </c>
      <c r="C4341" t="s">
        <v>11012</v>
      </c>
    </row>
    <row r="4342" spans="1:3">
      <c r="A4342" s="260" t="s">
        <v>11013</v>
      </c>
      <c r="B4342" t="s">
        <v>10597</v>
      </c>
      <c r="C4342" t="s">
        <v>11014</v>
      </c>
    </row>
    <row r="4343" spans="1:3">
      <c r="A4343" s="260" t="s">
        <v>11015</v>
      </c>
      <c r="B4343" t="s">
        <v>10745</v>
      </c>
      <c r="C4343" t="s">
        <v>11016</v>
      </c>
    </row>
    <row r="4344" spans="1:3">
      <c r="A4344" s="260" t="s">
        <v>11017</v>
      </c>
      <c r="B4344" t="s">
        <v>10612</v>
      </c>
      <c r="C4344" t="s">
        <v>11018</v>
      </c>
    </row>
    <row r="4345" spans="1:3">
      <c r="A4345" s="260" t="s">
        <v>11019</v>
      </c>
      <c r="B4345" t="s">
        <v>10755</v>
      </c>
      <c r="C4345" t="s">
        <v>11020</v>
      </c>
    </row>
    <row r="4346" spans="1:3">
      <c r="A4346" s="260" t="s">
        <v>11021</v>
      </c>
      <c r="B4346" t="s">
        <v>10788</v>
      </c>
      <c r="C4346" t="s">
        <v>11022</v>
      </c>
    </row>
    <row r="4347" spans="1:3">
      <c r="A4347" s="260" t="s">
        <v>11023</v>
      </c>
      <c r="B4347" t="s">
        <v>10735</v>
      </c>
      <c r="C4347" t="s">
        <v>11024</v>
      </c>
    </row>
    <row r="4348" spans="1:3">
      <c r="A4348" s="260" t="s">
        <v>11025</v>
      </c>
      <c r="B4348" t="s">
        <v>10745</v>
      </c>
      <c r="C4348" t="s">
        <v>11026</v>
      </c>
    </row>
    <row r="4349" spans="1:3">
      <c r="A4349" s="260" t="s">
        <v>11027</v>
      </c>
      <c r="B4349" t="s">
        <v>10719</v>
      </c>
      <c r="C4349" t="s">
        <v>11028</v>
      </c>
    </row>
    <row r="4350" spans="1:3">
      <c r="A4350" s="260" t="s">
        <v>11029</v>
      </c>
      <c r="B4350" t="s">
        <v>10727</v>
      </c>
      <c r="C4350" t="s">
        <v>11030</v>
      </c>
    </row>
    <row r="4351" spans="1:3">
      <c r="A4351" s="260" t="s">
        <v>11031</v>
      </c>
      <c r="B4351" t="s">
        <v>11032</v>
      </c>
      <c r="C4351" t="s">
        <v>11033</v>
      </c>
    </row>
    <row r="4352" spans="1:3">
      <c r="A4352" s="260" t="s">
        <v>11034</v>
      </c>
      <c r="B4352" t="s">
        <v>11035</v>
      </c>
      <c r="C4352" t="s">
        <v>11036</v>
      </c>
    </row>
    <row r="4353" spans="1:3">
      <c r="A4353" s="260" t="s">
        <v>11037</v>
      </c>
      <c r="B4353" t="s">
        <v>10735</v>
      </c>
      <c r="C4353" t="s">
        <v>11038</v>
      </c>
    </row>
    <row r="4354" spans="1:3">
      <c r="A4354" s="260" t="s">
        <v>11039</v>
      </c>
      <c r="B4354" t="s">
        <v>10745</v>
      </c>
      <c r="C4354" t="s">
        <v>11040</v>
      </c>
    </row>
    <row r="4355" spans="1:3">
      <c r="A4355" s="260" t="s">
        <v>11041</v>
      </c>
      <c r="B4355" t="s">
        <v>11042</v>
      </c>
      <c r="C4355" t="s">
        <v>11043</v>
      </c>
    </row>
    <row r="4356" spans="1:3">
      <c r="A4356" s="50" t="s">
        <v>11044</v>
      </c>
      <c r="B4356" t="s">
        <v>11045</v>
      </c>
      <c r="C4356" t="s">
        <v>11046</v>
      </c>
    </row>
    <row r="4357" spans="1:3">
      <c r="A4357" s="260" t="s">
        <v>11047</v>
      </c>
      <c r="B4357" t="s">
        <v>11048</v>
      </c>
      <c r="C4357" t="s">
        <v>11049</v>
      </c>
    </row>
    <row r="4358" spans="1:3">
      <c r="A4358" s="260" t="s">
        <v>11050</v>
      </c>
      <c r="B4358" t="s">
        <v>11051</v>
      </c>
      <c r="C4358" t="s">
        <v>11052</v>
      </c>
    </row>
    <row r="4359" spans="1:3">
      <c r="A4359" s="260" t="s">
        <v>11053</v>
      </c>
      <c r="B4359" t="s">
        <v>11054</v>
      </c>
      <c r="C4359" t="s">
        <v>11055</v>
      </c>
    </row>
    <row r="4360" spans="1:3">
      <c r="A4360" s="260" t="s">
        <v>11056</v>
      </c>
      <c r="B4360" s="50"/>
      <c r="C4360" s="257" t="s">
        <v>11057</v>
      </c>
    </row>
    <row r="4361" spans="1:3">
      <c r="A4361" s="260" t="s">
        <v>11058</v>
      </c>
      <c r="B4361" t="s">
        <v>11059</v>
      </c>
      <c r="C4361" t="s">
        <v>11060</v>
      </c>
    </row>
    <row r="4362" spans="1:3">
      <c r="A4362" s="260" t="s">
        <v>11061</v>
      </c>
      <c r="B4362" t="s">
        <v>11062</v>
      </c>
      <c r="C4362" t="s">
        <v>11063</v>
      </c>
    </row>
    <row r="4363" spans="1:3">
      <c r="A4363" s="260" t="s">
        <v>11064</v>
      </c>
      <c r="B4363" t="s">
        <v>11065</v>
      </c>
      <c r="C4363" t="s">
        <v>11066</v>
      </c>
    </row>
    <row r="4364" spans="1:3">
      <c r="A4364" s="260" t="s">
        <v>11067</v>
      </c>
      <c r="B4364" t="s">
        <v>11068</v>
      </c>
      <c r="C4364" t="s">
        <v>11069</v>
      </c>
    </row>
    <row r="4365" spans="1:3">
      <c r="A4365" s="260" t="s">
        <v>11070</v>
      </c>
      <c r="B4365" t="s">
        <v>11071</v>
      </c>
      <c r="C4365" t="s">
        <v>11072</v>
      </c>
    </row>
    <row r="4366" spans="1:3">
      <c r="A4366" s="260" t="s">
        <v>11073</v>
      </c>
      <c r="B4366" t="s">
        <v>11074</v>
      </c>
      <c r="C4366" t="s">
        <v>11075</v>
      </c>
    </row>
    <row r="4367" spans="1:3">
      <c r="A4367" s="260" t="s">
        <v>11076</v>
      </c>
      <c r="B4367" t="s">
        <v>11077</v>
      </c>
      <c r="C4367" t="s">
        <v>11078</v>
      </c>
    </row>
    <row r="4368" spans="1:3">
      <c r="A4368" s="260" t="s">
        <v>11079</v>
      </c>
      <c r="B4368" t="s">
        <v>11080</v>
      </c>
      <c r="C4368" t="s">
        <v>11081</v>
      </c>
    </row>
    <row r="4369" spans="1:3">
      <c r="A4369" s="260" t="s">
        <v>11082</v>
      </c>
      <c r="B4369" t="s">
        <v>11083</v>
      </c>
      <c r="C4369" t="s">
        <v>11084</v>
      </c>
    </row>
    <row r="4370" spans="1:3">
      <c r="A4370" s="260" t="s">
        <v>11085</v>
      </c>
      <c r="B4370" t="s">
        <v>11086</v>
      </c>
      <c r="C4370" t="s">
        <v>11087</v>
      </c>
    </row>
    <row r="4371" spans="1:3">
      <c r="A4371" s="260" t="s">
        <v>11088</v>
      </c>
      <c r="B4371" t="s">
        <v>11089</v>
      </c>
      <c r="C4371" t="s">
        <v>11090</v>
      </c>
    </row>
    <row r="4372" spans="1:3">
      <c r="A4372" s="260" t="s">
        <v>11091</v>
      </c>
      <c r="B4372" t="s">
        <v>11092</v>
      </c>
      <c r="C4372" t="s">
        <v>11093</v>
      </c>
    </row>
    <row r="4373" spans="1:3">
      <c r="A4373" s="50" t="s">
        <v>11094</v>
      </c>
      <c r="B4373" t="s">
        <v>11095</v>
      </c>
      <c r="C4373" t="s">
        <v>11096</v>
      </c>
    </row>
    <row r="4374" spans="1:3">
      <c r="A4374" s="260" t="s">
        <v>11097</v>
      </c>
      <c r="B4374" t="s">
        <v>11098</v>
      </c>
      <c r="C4374" t="s">
        <v>11099</v>
      </c>
    </row>
    <row r="4375" spans="1:3">
      <c r="A4375" s="260" t="s">
        <v>11100</v>
      </c>
      <c r="B4375" t="s">
        <v>11071</v>
      </c>
      <c r="C4375" t="s">
        <v>11101</v>
      </c>
    </row>
    <row r="4376" spans="1:3">
      <c r="A4376" s="260" t="s">
        <v>11102</v>
      </c>
      <c r="B4376" t="s">
        <v>11103</v>
      </c>
      <c r="C4376" t="s">
        <v>11104</v>
      </c>
    </row>
    <row r="4377" spans="1:3">
      <c r="A4377" s="260" t="s">
        <v>11105</v>
      </c>
      <c r="B4377" t="s">
        <v>11106</v>
      </c>
      <c r="C4377" t="s">
        <v>11107</v>
      </c>
    </row>
    <row r="4378" spans="1:3">
      <c r="A4378" s="260" t="s">
        <v>11108</v>
      </c>
      <c r="B4378" t="s">
        <v>11109</v>
      </c>
      <c r="C4378" t="s">
        <v>11110</v>
      </c>
    </row>
    <row r="4379" spans="1:3">
      <c r="A4379" s="260" t="s">
        <v>11111</v>
      </c>
      <c r="B4379" t="s">
        <v>11112</v>
      </c>
      <c r="C4379" t="s">
        <v>11113</v>
      </c>
    </row>
    <row r="4380" spans="1:3">
      <c r="A4380" s="260" t="s">
        <v>11114</v>
      </c>
      <c r="B4380" t="s">
        <v>11115</v>
      </c>
      <c r="C4380" t="s">
        <v>11116</v>
      </c>
    </row>
    <row r="4381" spans="1:3">
      <c r="A4381" s="260" t="s">
        <v>11117</v>
      </c>
      <c r="B4381" t="s">
        <v>11118</v>
      </c>
      <c r="C4381" t="s">
        <v>11119</v>
      </c>
    </row>
    <row r="4382" spans="1:3">
      <c r="A4382" s="260" t="s">
        <v>11120</v>
      </c>
      <c r="B4382" t="s">
        <v>11121</v>
      </c>
      <c r="C4382" t="s">
        <v>11122</v>
      </c>
    </row>
    <row r="4383" spans="1:3">
      <c r="A4383" s="260" t="s">
        <v>11123</v>
      </c>
      <c r="B4383" t="s">
        <v>11124</v>
      </c>
      <c r="C4383" t="s">
        <v>11125</v>
      </c>
    </row>
    <row r="4384" spans="1:3">
      <c r="A4384" s="260" t="s">
        <v>11126</v>
      </c>
      <c r="B4384" t="s">
        <v>11127</v>
      </c>
      <c r="C4384" t="s">
        <v>11128</v>
      </c>
    </row>
    <row r="4385" spans="1:3">
      <c r="A4385" s="260" t="s">
        <v>11129</v>
      </c>
      <c r="B4385" t="s">
        <v>11130</v>
      </c>
      <c r="C4385" t="s">
        <v>11131</v>
      </c>
    </row>
    <row r="4386" spans="1:3">
      <c r="A4386" s="260" t="s">
        <v>11132</v>
      </c>
      <c r="B4386" t="s">
        <v>11133</v>
      </c>
      <c r="C4386" t="s">
        <v>11134</v>
      </c>
    </row>
    <row r="4387" spans="1:3">
      <c r="A4387" s="260" t="s">
        <v>11135</v>
      </c>
      <c r="B4387" t="s">
        <v>11136</v>
      </c>
      <c r="C4387" t="s">
        <v>11137</v>
      </c>
    </row>
    <row r="4388" spans="1:3">
      <c r="A4388" s="260" t="s">
        <v>11138</v>
      </c>
      <c r="B4388" t="s">
        <v>11139</v>
      </c>
      <c r="C4388" t="s">
        <v>11140</v>
      </c>
    </row>
    <row r="4389" spans="1:3">
      <c r="A4389" s="260" t="s">
        <v>11141</v>
      </c>
      <c r="B4389" t="s">
        <v>11142</v>
      </c>
      <c r="C4389" t="s">
        <v>11143</v>
      </c>
    </row>
    <row r="4390" spans="1:3">
      <c r="A4390" s="50" t="s">
        <v>11144</v>
      </c>
      <c r="B4390" t="s">
        <v>11065</v>
      </c>
      <c r="C4390" t="s">
        <v>11145</v>
      </c>
    </row>
    <row r="4391" spans="1:3">
      <c r="A4391" s="260" t="s">
        <v>11146</v>
      </c>
      <c r="B4391" t="s">
        <v>11071</v>
      </c>
      <c r="C4391" t="s">
        <v>11147</v>
      </c>
    </row>
    <row r="4392" spans="1:3">
      <c r="A4392" s="260" t="s">
        <v>11148</v>
      </c>
      <c r="B4392" t="s">
        <v>11080</v>
      </c>
      <c r="C4392" t="s">
        <v>11149</v>
      </c>
    </row>
    <row r="4393" spans="1:3">
      <c r="A4393" s="260" t="s">
        <v>11150</v>
      </c>
      <c r="B4393" t="s">
        <v>11106</v>
      </c>
      <c r="C4393" t="s">
        <v>11151</v>
      </c>
    </row>
    <row r="4394" spans="1:3">
      <c r="A4394" s="260" t="s">
        <v>11152</v>
      </c>
      <c r="B4394" t="s">
        <v>11112</v>
      </c>
      <c r="C4394" t="s">
        <v>11153</v>
      </c>
    </row>
    <row r="4395" spans="1:3">
      <c r="A4395" s="260" t="s">
        <v>11154</v>
      </c>
      <c r="B4395" t="s">
        <v>11155</v>
      </c>
      <c r="C4395" t="s">
        <v>11156</v>
      </c>
    </row>
    <row r="4396" spans="1:3">
      <c r="A4396" s="260" t="s">
        <v>11157</v>
      </c>
      <c r="B4396" t="s">
        <v>11124</v>
      </c>
      <c r="C4396" t="s">
        <v>11158</v>
      </c>
    </row>
    <row r="4397" spans="1:3">
      <c r="A4397" s="260" t="s">
        <v>11159</v>
      </c>
      <c r="B4397" t="s">
        <v>11133</v>
      </c>
      <c r="C4397" t="s">
        <v>11160</v>
      </c>
    </row>
    <row r="4398" spans="1:3">
      <c r="A4398" s="260" t="s">
        <v>11161</v>
      </c>
      <c r="B4398" t="s">
        <v>11162</v>
      </c>
      <c r="C4398" t="s">
        <v>11163</v>
      </c>
    </row>
    <row r="4399" spans="1:3">
      <c r="A4399" s="260" t="s">
        <v>11164</v>
      </c>
      <c r="B4399" t="s">
        <v>11165</v>
      </c>
      <c r="C4399" t="s">
        <v>11166</v>
      </c>
    </row>
    <row r="4400" spans="1:3">
      <c r="A4400" s="260" t="s">
        <v>11167</v>
      </c>
      <c r="B4400" t="s">
        <v>11168</v>
      </c>
      <c r="C4400" t="s">
        <v>11169</v>
      </c>
    </row>
    <row r="4401" spans="1:3">
      <c r="A4401" s="260" t="s">
        <v>11170</v>
      </c>
      <c r="B4401" t="s">
        <v>11171</v>
      </c>
      <c r="C4401" t="s">
        <v>11172</v>
      </c>
    </row>
    <row r="4402" spans="1:3">
      <c r="A4402" s="260" t="s">
        <v>11173</v>
      </c>
      <c r="B4402" t="s">
        <v>10671</v>
      </c>
      <c r="C4402" t="s">
        <v>11174</v>
      </c>
    </row>
    <row r="4403" spans="1:3">
      <c r="A4403" s="260" t="s">
        <v>11175</v>
      </c>
      <c r="B4403" t="s">
        <v>11176</v>
      </c>
      <c r="C4403" t="s">
        <v>11177</v>
      </c>
    </row>
    <row r="4404" spans="1:3">
      <c r="A4404" s="260" t="s">
        <v>11178</v>
      </c>
      <c r="B4404" t="s">
        <v>11179</v>
      </c>
      <c r="C4404" t="s">
        <v>11180</v>
      </c>
    </row>
    <row r="4405" spans="1:3">
      <c r="A4405" s="260" t="s">
        <v>11181</v>
      </c>
      <c r="B4405" t="s">
        <v>11182</v>
      </c>
      <c r="C4405" t="s">
        <v>11183</v>
      </c>
    </row>
    <row r="4406" spans="1:3">
      <c r="A4406" s="50" t="s">
        <v>11184</v>
      </c>
      <c r="B4406" t="s">
        <v>11185</v>
      </c>
      <c r="C4406" t="s">
        <v>11186</v>
      </c>
    </row>
    <row r="4407" spans="1:3">
      <c r="A4407" s="260" t="s">
        <v>11187</v>
      </c>
      <c r="B4407" t="s">
        <v>10779</v>
      </c>
      <c r="C4407" t="s">
        <v>11188</v>
      </c>
    </row>
    <row r="4408" spans="1:3">
      <c r="A4408" s="260" t="s">
        <v>11189</v>
      </c>
      <c r="B4408" t="s">
        <v>11190</v>
      </c>
      <c r="C4408" t="s">
        <v>11191</v>
      </c>
    </row>
    <row r="4409" spans="1:3">
      <c r="A4409" s="260" t="s">
        <v>11192</v>
      </c>
      <c r="B4409" t="s">
        <v>11193</v>
      </c>
      <c r="C4409" t="s">
        <v>11194</v>
      </c>
    </row>
    <row r="4410" spans="1:3">
      <c r="A4410" s="260" t="s">
        <v>11195</v>
      </c>
      <c r="B4410" t="s">
        <v>11196</v>
      </c>
      <c r="C4410" t="s">
        <v>11197</v>
      </c>
    </row>
    <row r="4411" spans="1:3">
      <c r="A4411" s="260" t="s">
        <v>11198</v>
      </c>
      <c r="B4411" s="50"/>
      <c r="C4411" s="257" t="s">
        <v>11199</v>
      </c>
    </row>
    <row r="4412" spans="1:3">
      <c r="A4412" s="260" t="s">
        <v>11200</v>
      </c>
      <c r="B4412" t="s">
        <v>11201</v>
      </c>
      <c r="C4412" t="s">
        <v>11202</v>
      </c>
    </row>
    <row r="4413" spans="1:3">
      <c r="A4413" s="260" t="s">
        <v>11203</v>
      </c>
      <c r="B4413" t="s">
        <v>11204</v>
      </c>
      <c r="C4413" t="s">
        <v>11205</v>
      </c>
    </row>
    <row r="4414" spans="1:3">
      <c r="A4414" s="260" t="s">
        <v>11206</v>
      </c>
      <c r="B4414" t="s">
        <v>11207</v>
      </c>
      <c r="C4414" t="s">
        <v>11208</v>
      </c>
    </row>
    <row r="4415" spans="1:3">
      <c r="A4415" s="260" t="s">
        <v>11209</v>
      </c>
      <c r="B4415" t="s">
        <v>11210</v>
      </c>
      <c r="C4415" t="s">
        <v>11211</v>
      </c>
    </row>
    <row r="4416" spans="1:3">
      <c r="A4416" s="260" t="s">
        <v>11212</v>
      </c>
      <c r="B4416" t="s">
        <v>11213</v>
      </c>
      <c r="C4416" t="s">
        <v>11214</v>
      </c>
    </row>
    <row r="4417" spans="1:3">
      <c r="A4417" s="260" t="s">
        <v>11215</v>
      </c>
      <c r="B4417" t="s">
        <v>11171</v>
      </c>
      <c r="C4417" t="s">
        <v>11216</v>
      </c>
    </row>
    <row r="4418" spans="1:3">
      <c r="A4418" s="260" t="s">
        <v>11217</v>
      </c>
      <c r="B4418" t="s">
        <v>11179</v>
      </c>
      <c r="C4418" t="s">
        <v>11218</v>
      </c>
    </row>
    <row r="4419" spans="1:3">
      <c r="A4419" s="260" t="s">
        <v>11219</v>
      </c>
      <c r="B4419" t="s">
        <v>11220</v>
      </c>
      <c r="C4419" t="s">
        <v>11221</v>
      </c>
    </row>
    <row r="4420" spans="1:3">
      <c r="A4420" s="260" t="s">
        <v>11222</v>
      </c>
      <c r="B4420" t="s">
        <v>11223</v>
      </c>
      <c r="C4420" t="s">
        <v>11224</v>
      </c>
    </row>
    <row r="4421" spans="1:3">
      <c r="A4421" s="260" t="s">
        <v>11225</v>
      </c>
      <c r="B4421" t="s">
        <v>11226</v>
      </c>
      <c r="C4421" t="s">
        <v>11227</v>
      </c>
    </row>
    <row r="4422" spans="1:3">
      <c r="A4422" s="261" t="s">
        <v>11228</v>
      </c>
      <c r="B4422" s="259" t="s">
        <v>11229</v>
      </c>
      <c r="C4422" s="259" t="s">
        <v>11230</v>
      </c>
    </row>
    <row r="4423" spans="1:3">
      <c r="A4423" s="50" t="s">
        <v>11231</v>
      </c>
      <c r="B4423" s="50"/>
      <c r="C4423" s="257" t="s">
        <v>11232</v>
      </c>
    </row>
    <row r="4424" spans="1:3">
      <c r="A4424" s="260" t="s">
        <v>11233</v>
      </c>
      <c r="B4424" t="s">
        <v>11234</v>
      </c>
      <c r="C4424" t="s">
        <v>11235</v>
      </c>
    </row>
    <row r="4425" spans="1:3">
      <c r="A4425" s="260" t="s">
        <v>11236</v>
      </c>
      <c r="B4425" t="s">
        <v>11237</v>
      </c>
      <c r="C4425" t="s">
        <v>11238</v>
      </c>
    </row>
    <row r="4426" spans="1:3">
      <c r="A4426" s="260" t="s">
        <v>11239</v>
      </c>
      <c r="B4426" t="s">
        <v>11240</v>
      </c>
      <c r="C4426" t="s">
        <v>11241</v>
      </c>
    </row>
    <row r="4427" spans="1:3">
      <c r="A4427" s="260" t="s">
        <v>11242</v>
      </c>
      <c r="B4427" t="s">
        <v>11243</v>
      </c>
      <c r="C4427" t="s">
        <v>11244</v>
      </c>
    </row>
    <row r="4428" spans="1:3">
      <c r="A4428" s="260" t="s">
        <v>11245</v>
      </c>
      <c r="B4428" t="s">
        <v>11246</v>
      </c>
      <c r="C4428" t="s">
        <v>11247</v>
      </c>
    </row>
    <row r="4429" spans="1:3">
      <c r="A4429" s="260" t="s">
        <v>11248</v>
      </c>
      <c r="B4429" t="s">
        <v>11249</v>
      </c>
      <c r="C4429" t="s">
        <v>11250</v>
      </c>
    </row>
    <row r="4430" spans="1:3">
      <c r="A4430" s="260" t="s">
        <v>11251</v>
      </c>
      <c r="B4430" s="50"/>
      <c r="C4430" s="257" t="s">
        <v>11252</v>
      </c>
    </row>
    <row r="4431" spans="1:3">
      <c r="A4431" s="260" t="s">
        <v>11253</v>
      </c>
      <c r="B4431" t="s">
        <v>11254</v>
      </c>
      <c r="C4431" t="s">
        <v>11255</v>
      </c>
    </row>
    <row r="4432" spans="1:3">
      <c r="A4432" s="260" t="s">
        <v>11256</v>
      </c>
      <c r="B4432" s="50"/>
      <c r="C4432" s="258" t="s">
        <v>11257</v>
      </c>
    </row>
    <row r="4433" spans="1:3">
      <c r="A4433" s="260" t="s">
        <v>11256</v>
      </c>
      <c r="B4433" s="50"/>
      <c r="C4433" s="258" t="s">
        <v>11258</v>
      </c>
    </row>
    <row r="4434" spans="1:3">
      <c r="A4434" s="260" t="s">
        <v>11256</v>
      </c>
      <c r="B4434" s="50"/>
      <c r="C4434" s="258" t="s">
        <v>11259</v>
      </c>
    </row>
    <row r="4435" spans="1:3">
      <c r="A4435" s="260" t="s">
        <v>11256</v>
      </c>
      <c r="B4435" s="50"/>
      <c r="C4435" s="258" t="s">
        <v>11260</v>
      </c>
    </row>
    <row r="4436" spans="1:3">
      <c r="A4436" s="260" t="s">
        <v>11256</v>
      </c>
      <c r="B4436" s="50"/>
      <c r="C4436" s="258" t="s">
        <v>11261</v>
      </c>
    </row>
    <row r="4437" spans="1:3">
      <c r="A4437" s="260" t="s">
        <v>11256</v>
      </c>
      <c r="B4437" s="50"/>
      <c r="C4437" s="258" t="s">
        <v>11262</v>
      </c>
    </row>
    <row r="4438" spans="1:3">
      <c r="A4438" s="50" t="s">
        <v>11256</v>
      </c>
      <c r="B4438" s="50"/>
      <c r="C4438" s="258" t="s">
        <v>11263</v>
      </c>
    </row>
    <row r="4439" spans="1:3">
      <c r="A4439" s="260" t="s">
        <v>11256</v>
      </c>
      <c r="B4439" s="50"/>
      <c r="C4439" s="258" t="s">
        <v>11264</v>
      </c>
    </row>
    <row r="4440" spans="1:3">
      <c r="A4440" s="260" t="s">
        <v>11256</v>
      </c>
      <c r="B4440" s="50"/>
      <c r="C4440" s="258" t="s">
        <v>11265</v>
      </c>
    </row>
    <row r="4441" spans="1:3">
      <c r="A4441" s="260" t="s">
        <v>11256</v>
      </c>
      <c r="B4441" s="50"/>
      <c r="C4441" s="258" t="s">
        <v>11266</v>
      </c>
    </row>
    <row r="4442" spans="1:3">
      <c r="A4442" s="260" t="s">
        <v>11256</v>
      </c>
      <c r="B4442" s="50"/>
      <c r="C4442" s="258" t="s">
        <v>11267</v>
      </c>
    </row>
    <row r="4443" spans="1:3">
      <c r="A4443" s="260" t="s">
        <v>11256</v>
      </c>
      <c r="B4443" s="50"/>
      <c r="C4443" s="258" t="s">
        <v>11268</v>
      </c>
    </row>
    <row r="4444" spans="1:3">
      <c r="A4444" s="260" t="s">
        <v>11256</v>
      </c>
      <c r="B4444" s="50"/>
      <c r="C4444" s="258" t="s">
        <v>11269</v>
      </c>
    </row>
    <row r="4445" spans="1:3">
      <c r="A4445" s="260" t="s">
        <v>11256</v>
      </c>
      <c r="B4445" s="50"/>
      <c r="C4445" s="258" t="s">
        <v>11270</v>
      </c>
    </row>
    <row r="4446" spans="1:3">
      <c r="A4446" s="260" t="s">
        <v>11256</v>
      </c>
      <c r="B4446" s="50"/>
      <c r="C4446" s="258" t="s">
        <v>11271</v>
      </c>
    </row>
    <row r="4447" spans="1:3">
      <c r="A4447" s="260" t="s">
        <v>11256</v>
      </c>
      <c r="B4447" s="50"/>
      <c r="C4447" s="258" t="s">
        <v>11272</v>
      </c>
    </row>
    <row r="4448" spans="1:3">
      <c r="A4448" s="260" t="s">
        <v>11273</v>
      </c>
      <c r="B4448" t="s">
        <v>11274</v>
      </c>
      <c r="C4448" t="s">
        <v>11275</v>
      </c>
    </row>
    <row r="4449" spans="1:3">
      <c r="A4449" s="260" t="s">
        <v>11276</v>
      </c>
      <c r="B4449" t="s">
        <v>11277</v>
      </c>
      <c r="C4449" t="s">
        <v>11278</v>
      </c>
    </row>
    <row r="4450" spans="1:3">
      <c r="A4450" s="260" t="s">
        <v>11279</v>
      </c>
      <c r="B4450" t="s">
        <v>11280</v>
      </c>
      <c r="C4450" t="s">
        <v>11281</v>
      </c>
    </row>
    <row r="4451" spans="1:3">
      <c r="A4451" s="260" t="s">
        <v>11282</v>
      </c>
      <c r="B4451" t="s">
        <v>11283</v>
      </c>
      <c r="C4451" t="s">
        <v>11284</v>
      </c>
    </row>
    <row r="4452" spans="1:3">
      <c r="A4452" s="260" t="s">
        <v>11285</v>
      </c>
      <c r="B4452" t="s">
        <v>11286</v>
      </c>
      <c r="C4452" t="s">
        <v>11287</v>
      </c>
    </row>
    <row r="4453" spans="1:3">
      <c r="A4453" s="260" t="s">
        <v>11288</v>
      </c>
      <c r="B4453" t="s">
        <v>10650</v>
      </c>
      <c r="C4453" t="s">
        <v>11289</v>
      </c>
    </row>
    <row r="4454" spans="1:3">
      <c r="A4454" s="50" t="s">
        <v>11290</v>
      </c>
      <c r="B4454" t="s">
        <v>11291</v>
      </c>
      <c r="C4454" t="s">
        <v>11292</v>
      </c>
    </row>
    <row r="4455" spans="1:3">
      <c r="A4455" s="260" t="s">
        <v>11293</v>
      </c>
      <c r="B4455" t="s">
        <v>11294</v>
      </c>
      <c r="C4455" t="s">
        <v>11295</v>
      </c>
    </row>
    <row r="4456" spans="1:3">
      <c r="A4456" s="260" t="s">
        <v>11296</v>
      </c>
      <c r="B4456" t="s">
        <v>11297</v>
      </c>
      <c r="C4456" t="s">
        <v>11298</v>
      </c>
    </row>
    <row r="4457" spans="1:3">
      <c r="A4457" s="260" t="s">
        <v>11299</v>
      </c>
      <c r="B4457" t="s">
        <v>11300</v>
      </c>
      <c r="C4457" t="s">
        <v>11301</v>
      </c>
    </row>
    <row r="4458" spans="1:3">
      <c r="A4458" s="260" t="s">
        <v>11302</v>
      </c>
      <c r="B4458" t="s">
        <v>11303</v>
      </c>
      <c r="C4458" t="s">
        <v>11304</v>
      </c>
    </row>
    <row r="4459" spans="1:3">
      <c r="A4459" s="260" t="s">
        <v>11305</v>
      </c>
      <c r="B4459" t="s">
        <v>11306</v>
      </c>
      <c r="C4459" t="s">
        <v>11307</v>
      </c>
    </row>
    <row r="4460" spans="1:3">
      <c r="A4460" s="260" t="s">
        <v>11308</v>
      </c>
      <c r="B4460" t="s">
        <v>11309</v>
      </c>
      <c r="C4460" t="s">
        <v>11310</v>
      </c>
    </row>
    <row r="4461" spans="1:3">
      <c r="A4461" s="260" t="s">
        <v>11311</v>
      </c>
      <c r="B4461" t="s">
        <v>11312</v>
      </c>
      <c r="C4461" t="s">
        <v>11313</v>
      </c>
    </row>
    <row r="4462" spans="1:3">
      <c r="A4462" s="260" t="s">
        <v>11314</v>
      </c>
      <c r="B4462" t="s">
        <v>11315</v>
      </c>
      <c r="C4462" t="s">
        <v>11316</v>
      </c>
    </row>
    <row r="4463" spans="1:3">
      <c r="A4463" s="260" t="s">
        <v>11317</v>
      </c>
      <c r="B4463" t="s">
        <v>11318</v>
      </c>
      <c r="C4463" t="s">
        <v>11319</v>
      </c>
    </row>
    <row r="4464" spans="1:3">
      <c r="A4464" s="260" t="s">
        <v>11320</v>
      </c>
      <c r="B4464" t="s">
        <v>10992</v>
      </c>
      <c r="C4464" t="s">
        <v>11321</v>
      </c>
    </row>
    <row r="4465" spans="1:3">
      <c r="A4465" s="260" t="s">
        <v>11322</v>
      </c>
      <c r="B4465" t="s">
        <v>11323</v>
      </c>
      <c r="C4465" t="s">
        <v>11324</v>
      </c>
    </row>
    <row r="4466" spans="1:3">
      <c r="A4466" s="260" t="s">
        <v>11325</v>
      </c>
      <c r="B4466" t="s">
        <v>11326</v>
      </c>
      <c r="C4466" t="s">
        <v>11327</v>
      </c>
    </row>
    <row r="4467" spans="1:3">
      <c r="A4467" s="260" t="s">
        <v>11328</v>
      </c>
      <c r="B4467" t="s">
        <v>11329</v>
      </c>
      <c r="C4467" t="s">
        <v>11330</v>
      </c>
    </row>
    <row r="4468" spans="1:3">
      <c r="A4468" s="260" t="s">
        <v>11331</v>
      </c>
      <c r="B4468" t="s">
        <v>11332</v>
      </c>
      <c r="C4468" t="s">
        <v>11333</v>
      </c>
    </row>
    <row r="4469" spans="1:3">
      <c r="A4469" s="260" t="s">
        <v>11334</v>
      </c>
      <c r="B4469" t="s">
        <v>11335</v>
      </c>
      <c r="C4469" t="s">
        <v>11336</v>
      </c>
    </row>
    <row r="4470" spans="1:3">
      <c r="A4470" s="260" t="s">
        <v>11337</v>
      </c>
      <c r="B4470" t="s">
        <v>10647</v>
      </c>
      <c r="C4470" t="s">
        <v>11338</v>
      </c>
    </row>
    <row r="4471" spans="1:3">
      <c r="A4471" s="260" t="s">
        <v>11339</v>
      </c>
      <c r="B4471" t="s">
        <v>11340</v>
      </c>
      <c r="C4471" t="s">
        <v>11341</v>
      </c>
    </row>
    <row r="4472" spans="1:3">
      <c r="A4472" s="260" t="s">
        <v>11342</v>
      </c>
      <c r="B4472" t="s">
        <v>11343</v>
      </c>
      <c r="C4472" t="s">
        <v>11344</v>
      </c>
    </row>
    <row r="4473" spans="1:3">
      <c r="A4473" s="260" t="s">
        <v>11345</v>
      </c>
      <c r="B4473" t="s">
        <v>11346</v>
      </c>
      <c r="C4473" t="s">
        <v>11347</v>
      </c>
    </row>
    <row r="4474" spans="1:3">
      <c r="A4474" s="260" t="s">
        <v>11348</v>
      </c>
      <c r="B4474" t="s">
        <v>11349</v>
      </c>
      <c r="C4474" t="s">
        <v>11350</v>
      </c>
    </row>
    <row r="4475" spans="1:3">
      <c r="A4475" s="260" t="s">
        <v>11351</v>
      </c>
      <c r="B4475" t="s">
        <v>10671</v>
      </c>
      <c r="C4475" t="s">
        <v>11352</v>
      </c>
    </row>
    <row r="4476" spans="1:3">
      <c r="A4476" s="260" t="s">
        <v>11353</v>
      </c>
      <c r="B4476" t="s">
        <v>11354</v>
      </c>
      <c r="C4476" t="s">
        <v>11355</v>
      </c>
    </row>
    <row r="4477" spans="1:3">
      <c r="A4477" s="260" t="s">
        <v>11356</v>
      </c>
      <c r="B4477" t="s">
        <v>11357</v>
      </c>
      <c r="C4477" t="s">
        <v>11358</v>
      </c>
    </row>
    <row r="4478" spans="1:3">
      <c r="A4478" s="260" t="s">
        <v>11359</v>
      </c>
      <c r="B4478" t="s">
        <v>10677</v>
      </c>
      <c r="C4478" t="s">
        <v>11360</v>
      </c>
    </row>
    <row r="4479" spans="1:3">
      <c r="A4479" s="50" t="s">
        <v>11361</v>
      </c>
      <c r="B4479" t="s">
        <v>11362</v>
      </c>
      <c r="C4479" t="s">
        <v>11363</v>
      </c>
    </row>
    <row r="4480" spans="1:3">
      <c r="A4480" s="260" t="s">
        <v>11364</v>
      </c>
      <c r="B4480" t="s">
        <v>11365</v>
      </c>
      <c r="C4480" t="s">
        <v>11366</v>
      </c>
    </row>
    <row r="4481" spans="1:3">
      <c r="A4481" s="260" t="s">
        <v>11367</v>
      </c>
      <c r="B4481" t="s">
        <v>11368</v>
      </c>
      <c r="C4481" t="s">
        <v>11369</v>
      </c>
    </row>
    <row r="4482" spans="1:3">
      <c r="A4482" s="260" t="s">
        <v>11370</v>
      </c>
      <c r="B4482" t="s">
        <v>11371</v>
      </c>
      <c r="C4482" t="s">
        <v>11372</v>
      </c>
    </row>
    <row r="4483" spans="1:3">
      <c r="A4483" s="260" t="s">
        <v>11373</v>
      </c>
      <c r="B4483" t="s">
        <v>11374</v>
      </c>
      <c r="C4483" t="s">
        <v>11375</v>
      </c>
    </row>
    <row r="4484" spans="1:3">
      <c r="A4484" s="260" t="s">
        <v>11376</v>
      </c>
      <c r="B4484" t="s">
        <v>11377</v>
      </c>
      <c r="C4484" t="s">
        <v>11378</v>
      </c>
    </row>
    <row r="4485" spans="1:3">
      <c r="A4485" s="260" t="s">
        <v>11379</v>
      </c>
      <c r="B4485" t="s">
        <v>11380</v>
      </c>
      <c r="C4485" t="s">
        <v>11381</v>
      </c>
    </row>
    <row r="4486" spans="1:3">
      <c r="A4486" s="260" t="s">
        <v>11382</v>
      </c>
      <c r="B4486" t="s">
        <v>11383</v>
      </c>
      <c r="C4486" t="s">
        <v>11384</v>
      </c>
    </row>
    <row r="4487" spans="1:3">
      <c r="A4487" s="260" t="s">
        <v>11385</v>
      </c>
      <c r="B4487" t="s">
        <v>11386</v>
      </c>
      <c r="C4487" t="s">
        <v>11387</v>
      </c>
    </row>
    <row r="4488" spans="1:3">
      <c r="A4488" s="260" t="s">
        <v>11388</v>
      </c>
      <c r="B4488" t="s">
        <v>11389</v>
      </c>
      <c r="C4488" t="s">
        <v>11390</v>
      </c>
    </row>
    <row r="4489" spans="1:3">
      <c r="A4489" s="260" t="s">
        <v>11391</v>
      </c>
      <c r="B4489" t="s">
        <v>11389</v>
      </c>
      <c r="C4489" t="s">
        <v>11392</v>
      </c>
    </row>
    <row r="4490" spans="1:3">
      <c r="A4490" s="260" t="s">
        <v>11393</v>
      </c>
      <c r="B4490" t="s">
        <v>11394</v>
      </c>
      <c r="C4490" t="s">
        <v>11395</v>
      </c>
    </row>
    <row r="4491" spans="1:3">
      <c r="A4491" s="260" t="s">
        <v>11396</v>
      </c>
      <c r="B4491" t="s">
        <v>11397</v>
      </c>
      <c r="C4491" t="s">
        <v>11398</v>
      </c>
    </row>
    <row r="4492" spans="1:3">
      <c r="A4492" s="260" t="s">
        <v>11399</v>
      </c>
      <c r="B4492" t="s">
        <v>11400</v>
      </c>
      <c r="C4492" t="s">
        <v>11401</v>
      </c>
    </row>
    <row r="4493" spans="1:3">
      <c r="A4493" s="260" t="s">
        <v>11402</v>
      </c>
      <c r="B4493" t="s">
        <v>11403</v>
      </c>
      <c r="C4493" t="s">
        <v>11404</v>
      </c>
    </row>
    <row r="4494" spans="1:3">
      <c r="A4494" s="260" t="s">
        <v>11405</v>
      </c>
      <c r="B4494" t="s">
        <v>11406</v>
      </c>
      <c r="C4494" t="s">
        <v>11407</v>
      </c>
    </row>
    <row r="4495" spans="1:3">
      <c r="A4495" s="50" t="s">
        <v>11408</v>
      </c>
      <c r="B4495" t="s">
        <v>11406</v>
      </c>
      <c r="C4495" t="s">
        <v>11409</v>
      </c>
    </row>
    <row r="4496" spans="1:3">
      <c r="A4496" s="260" t="s">
        <v>11410</v>
      </c>
      <c r="B4496" t="s">
        <v>11411</v>
      </c>
      <c r="C4496" t="s">
        <v>11412</v>
      </c>
    </row>
    <row r="4497" spans="1:3">
      <c r="A4497" s="260" t="s">
        <v>11413</v>
      </c>
      <c r="B4497" t="s">
        <v>11414</v>
      </c>
      <c r="C4497" t="s">
        <v>11415</v>
      </c>
    </row>
    <row r="4498" spans="1:3">
      <c r="A4498" s="260" t="s">
        <v>11416</v>
      </c>
      <c r="B4498" t="s">
        <v>11417</v>
      </c>
      <c r="C4498" t="s">
        <v>11418</v>
      </c>
    </row>
    <row r="4499" spans="1:3">
      <c r="A4499" s="260" t="s">
        <v>11419</v>
      </c>
      <c r="B4499" t="s">
        <v>11420</v>
      </c>
      <c r="C4499" t="s">
        <v>11421</v>
      </c>
    </row>
    <row r="4500" spans="1:3">
      <c r="A4500" s="260" t="s">
        <v>11422</v>
      </c>
      <c r="B4500" t="s">
        <v>11423</v>
      </c>
      <c r="C4500" t="s">
        <v>11424</v>
      </c>
    </row>
    <row r="4501" spans="1:3">
      <c r="A4501" s="260" t="s">
        <v>11425</v>
      </c>
      <c r="B4501" t="s">
        <v>11426</v>
      </c>
      <c r="C4501" t="s">
        <v>11427</v>
      </c>
    </row>
    <row r="4502" spans="1:3">
      <c r="A4502" s="260" t="s">
        <v>11428</v>
      </c>
      <c r="B4502" t="s">
        <v>11426</v>
      </c>
      <c r="C4502" t="s">
        <v>11429</v>
      </c>
    </row>
    <row r="4503" spans="1:3">
      <c r="A4503" s="260" t="s">
        <v>11430</v>
      </c>
      <c r="B4503" t="s">
        <v>11431</v>
      </c>
      <c r="C4503" t="s">
        <v>11432</v>
      </c>
    </row>
    <row r="4504" spans="1:3">
      <c r="A4504" s="260" t="s">
        <v>11433</v>
      </c>
      <c r="B4504" t="s">
        <v>11434</v>
      </c>
      <c r="C4504" t="s">
        <v>11435</v>
      </c>
    </row>
    <row r="4505" spans="1:3">
      <c r="A4505" s="260" t="s">
        <v>11436</v>
      </c>
      <c r="B4505" t="s">
        <v>11434</v>
      </c>
      <c r="C4505" t="s">
        <v>11437</v>
      </c>
    </row>
    <row r="4506" spans="1:3">
      <c r="A4506" s="260" t="s">
        <v>11438</v>
      </c>
      <c r="B4506" t="s">
        <v>11439</v>
      </c>
      <c r="C4506" t="s">
        <v>11440</v>
      </c>
    </row>
    <row r="4507" spans="1:3">
      <c r="A4507" s="260" t="s">
        <v>11441</v>
      </c>
      <c r="B4507" t="s">
        <v>11442</v>
      </c>
      <c r="C4507" t="s">
        <v>11443</v>
      </c>
    </row>
    <row r="4508" spans="1:3">
      <c r="A4508" s="260" t="s">
        <v>11444</v>
      </c>
      <c r="B4508" t="s">
        <v>11445</v>
      </c>
      <c r="C4508" t="s">
        <v>11446</v>
      </c>
    </row>
    <row r="4509" spans="1:3">
      <c r="A4509" s="260" t="s">
        <v>11447</v>
      </c>
      <c r="B4509" t="s">
        <v>11445</v>
      </c>
      <c r="C4509" t="s">
        <v>11448</v>
      </c>
    </row>
    <row r="4510" spans="1:3">
      <c r="A4510" s="260" t="s">
        <v>11449</v>
      </c>
      <c r="B4510" t="s">
        <v>11450</v>
      </c>
      <c r="C4510" t="s">
        <v>11451</v>
      </c>
    </row>
    <row r="4511" spans="1:3">
      <c r="A4511" s="260" t="s">
        <v>11452</v>
      </c>
      <c r="B4511" t="s">
        <v>11453</v>
      </c>
      <c r="C4511" t="s">
        <v>11454</v>
      </c>
    </row>
    <row r="4512" spans="1:3">
      <c r="A4512" s="50" t="s">
        <v>11455</v>
      </c>
      <c r="B4512" t="s">
        <v>11456</v>
      </c>
      <c r="C4512" t="s">
        <v>11457</v>
      </c>
    </row>
    <row r="4513" spans="1:3">
      <c r="A4513" s="260" t="s">
        <v>11458</v>
      </c>
      <c r="B4513" t="s">
        <v>11459</v>
      </c>
      <c r="C4513" t="s">
        <v>11460</v>
      </c>
    </row>
    <row r="4514" spans="1:3">
      <c r="A4514" s="260" t="s">
        <v>11461</v>
      </c>
      <c r="B4514" t="s">
        <v>11459</v>
      </c>
      <c r="C4514" t="s">
        <v>11462</v>
      </c>
    </row>
    <row r="4515" spans="1:3">
      <c r="A4515" s="260" t="s">
        <v>11463</v>
      </c>
      <c r="B4515" t="s">
        <v>11464</v>
      </c>
      <c r="C4515" t="s">
        <v>11465</v>
      </c>
    </row>
    <row r="4516" spans="1:3">
      <c r="A4516" s="260" t="s">
        <v>11466</v>
      </c>
      <c r="B4516" t="s">
        <v>11467</v>
      </c>
      <c r="C4516" t="s">
        <v>11468</v>
      </c>
    </row>
    <row r="4517" spans="1:3">
      <c r="A4517" s="260" t="s">
        <v>11469</v>
      </c>
      <c r="B4517" t="s">
        <v>11470</v>
      </c>
      <c r="C4517" t="s">
        <v>11471</v>
      </c>
    </row>
    <row r="4518" spans="1:3">
      <c r="A4518" s="260" t="s">
        <v>11472</v>
      </c>
      <c r="B4518" t="s">
        <v>11473</v>
      </c>
      <c r="C4518" t="s">
        <v>11474</v>
      </c>
    </row>
    <row r="4519" spans="1:3">
      <c r="A4519" s="260" t="s">
        <v>11475</v>
      </c>
      <c r="B4519" t="s">
        <v>11476</v>
      </c>
      <c r="C4519" t="s">
        <v>11477</v>
      </c>
    </row>
    <row r="4520" spans="1:3">
      <c r="A4520" s="260" t="s">
        <v>11478</v>
      </c>
      <c r="B4520" t="s">
        <v>11476</v>
      </c>
      <c r="C4520" t="s">
        <v>11479</v>
      </c>
    </row>
    <row r="4521" spans="1:3">
      <c r="A4521" s="260" t="s">
        <v>11480</v>
      </c>
      <c r="B4521" t="s">
        <v>11481</v>
      </c>
      <c r="C4521" t="s">
        <v>11482</v>
      </c>
    </row>
    <row r="4522" spans="1:3">
      <c r="A4522" s="260" t="s">
        <v>11483</v>
      </c>
      <c r="B4522" t="s">
        <v>11484</v>
      </c>
      <c r="C4522" t="s">
        <v>11485</v>
      </c>
    </row>
    <row r="4523" spans="1:3">
      <c r="A4523" s="260" t="s">
        <v>11486</v>
      </c>
      <c r="B4523" t="s">
        <v>11487</v>
      </c>
      <c r="C4523" t="s">
        <v>11488</v>
      </c>
    </row>
    <row r="4524" spans="1:3">
      <c r="A4524" s="260" t="s">
        <v>11489</v>
      </c>
      <c r="B4524" t="s">
        <v>11484</v>
      </c>
      <c r="C4524" t="s">
        <v>11490</v>
      </c>
    </row>
    <row r="4525" spans="1:3">
      <c r="A4525" s="260" t="s">
        <v>11491</v>
      </c>
      <c r="B4525" t="s">
        <v>11487</v>
      </c>
      <c r="C4525" t="s">
        <v>11492</v>
      </c>
    </row>
    <row r="4526" spans="1:3">
      <c r="A4526" s="260" t="s">
        <v>11493</v>
      </c>
      <c r="B4526" t="s">
        <v>11494</v>
      </c>
      <c r="C4526" t="s">
        <v>11495</v>
      </c>
    </row>
    <row r="4527" spans="1:3">
      <c r="A4527" s="260" t="s">
        <v>11496</v>
      </c>
      <c r="B4527" t="s">
        <v>11497</v>
      </c>
      <c r="C4527" t="s">
        <v>11498</v>
      </c>
    </row>
    <row r="4528" spans="1:3">
      <c r="A4528" s="260" t="s">
        <v>11499</v>
      </c>
      <c r="B4528" t="s">
        <v>11500</v>
      </c>
      <c r="C4528" t="s">
        <v>11501</v>
      </c>
    </row>
    <row r="4529" spans="1:3">
      <c r="A4529" s="50" t="s">
        <v>11502</v>
      </c>
      <c r="B4529" t="s">
        <v>11503</v>
      </c>
      <c r="C4529" t="s">
        <v>11504</v>
      </c>
    </row>
    <row r="4530" spans="1:3">
      <c r="A4530" s="260" t="s">
        <v>11505</v>
      </c>
      <c r="B4530" t="s">
        <v>11503</v>
      </c>
      <c r="C4530" t="s">
        <v>11506</v>
      </c>
    </row>
    <row r="4531" spans="1:3">
      <c r="A4531" s="260" t="s">
        <v>11507</v>
      </c>
      <c r="B4531" t="s">
        <v>11508</v>
      </c>
      <c r="C4531" t="s">
        <v>11509</v>
      </c>
    </row>
    <row r="4532" spans="1:3">
      <c r="A4532" s="260" t="s">
        <v>11510</v>
      </c>
      <c r="B4532" t="s">
        <v>11511</v>
      </c>
      <c r="C4532" t="s">
        <v>11512</v>
      </c>
    </row>
    <row r="4533" spans="1:3">
      <c r="A4533" s="260" t="s">
        <v>11513</v>
      </c>
      <c r="B4533" t="s">
        <v>11514</v>
      </c>
      <c r="C4533" t="s">
        <v>11515</v>
      </c>
    </row>
    <row r="4534" spans="1:3">
      <c r="A4534" s="260" t="s">
        <v>11516</v>
      </c>
      <c r="B4534" s="50"/>
      <c r="C4534" s="257" t="s">
        <v>11517</v>
      </c>
    </row>
    <row r="4535" spans="1:3">
      <c r="A4535" s="260" t="s">
        <v>11518</v>
      </c>
      <c r="B4535" s="50"/>
      <c r="C4535" s="257" t="s">
        <v>11519</v>
      </c>
    </row>
    <row r="4536" spans="1:3">
      <c r="A4536" s="260" t="s">
        <v>11520</v>
      </c>
      <c r="B4536" s="50"/>
      <c r="C4536" s="257" t="s">
        <v>11521</v>
      </c>
    </row>
    <row r="4537" spans="1:3">
      <c r="A4537" s="260" t="s">
        <v>11522</v>
      </c>
      <c r="B4537" s="50"/>
      <c r="C4537" s="257" t="s">
        <v>11523</v>
      </c>
    </row>
    <row r="4538" spans="1:3">
      <c r="A4538" s="260" t="s">
        <v>11524</v>
      </c>
      <c r="B4538" t="s">
        <v>11210</v>
      </c>
      <c r="C4538" t="s">
        <v>11525</v>
      </c>
    </row>
    <row r="4539" spans="1:3">
      <c r="A4539" s="260" t="s">
        <v>11526</v>
      </c>
      <c r="B4539" t="s">
        <v>11343</v>
      </c>
      <c r="C4539" t="s">
        <v>11527</v>
      </c>
    </row>
    <row r="4540" spans="1:3">
      <c r="A4540" s="260" t="s">
        <v>11528</v>
      </c>
      <c r="B4540" t="s">
        <v>11349</v>
      </c>
      <c r="C4540" t="s">
        <v>11529</v>
      </c>
    </row>
    <row r="4541" spans="1:3">
      <c r="A4541" s="260" t="s">
        <v>11530</v>
      </c>
      <c r="B4541" t="s">
        <v>11380</v>
      </c>
      <c r="C4541" t="s">
        <v>11531</v>
      </c>
    </row>
    <row r="4542" spans="1:3">
      <c r="A4542" s="260" t="s">
        <v>11532</v>
      </c>
      <c r="B4542" t="s">
        <v>11533</v>
      </c>
      <c r="C4542" t="s">
        <v>11534</v>
      </c>
    </row>
    <row r="4543" spans="1:3">
      <c r="A4543" s="260" t="s">
        <v>11535</v>
      </c>
      <c r="B4543" t="s">
        <v>11406</v>
      </c>
      <c r="C4543" t="s">
        <v>11536</v>
      </c>
    </row>
    <row r="4544" spans="1:3">
      <c r="A4544" s="260" t="s">
        <v>11537</v>
      </c>
      <c r="B4544" t="s">
        <v>11538</v>
      </c>
      <c r="C4544" t="s">
        <v>11539</v>
      </c>
    </row>
    <row r="4545" spans="1:3">
      <c r="A4545" s="260" t="s">
        <v>11540</v>
      </c>
      <c r="B4545" t="s">
        <v>11434</v>
      </c>
      <c r="C4545" t="s">
        <v>11541</v>
      </c>
    </row>
    <row r="4546" spans="1:3">
      <c r="A4546" s="262" t="s">
        <v>11542</v>
      </c>
      <c r="B4546" s="259" t="s">
        <v>11445</v>
      </c>
      <c r="C4546" s="259" t="s">
        <v>11543</v>
      </c>
    </row>
    <row r="4547" spans="1:3">
      <c r="A4547" s="260" t="s">
        <v>11544</v>
      </c>
      <c r="B4547" t="s">
        <v>11545</v>
      </c>
      <c r="C4547" t="s">
        <v>11546</v>
      </c>
    </row>
    <row r="4548" spans="1:3">
      <c r="A4548" s="260" t="s">
        <v>11547</v>
      </c>
      <c r="B4548" t="s">
        <v>11548</v>
      </c>
      <c r="C4548" t="s">
        <v>11549</v>
      </c>
    </row>
    <row r="4549" spans="1:3">
      <c r="A4549" s="260" t="s">
        <v>11550</v>
      </c>
      <c r="B4549" t="s">
        <v>11497</v>
      </c>
      <c r="C4549" t="s">
        <v>11551</v>
      </c>
    </row>
    <row r="4550" spans="1:3">
      <c r="A4550" s="260" t="s">
        <v>11552</v>
      </c>
      <c r="B4550" t="s">
        <v>11503</v>
      </c>
      <c r="C4550" t="s">
        <v>11553</v>
      </c>
    </row>
    <row r="4551" spans="1:3">
      <c r="A4551" s="260" t="s">
        <v>11554</v>
      </c>
      <c r="B4551" s="50"/>
      <c r="C4551" s="257" t="s">
        <v>11555</v>
      </c>
    </row>
    <row r="4552" spans="1:3">
      <c r="A4552" s="260" t="s">
        <v>11556</v>
      </c>
      <c r="B4552" s="50"/>
      <c r="C4552" s="257" t="s">
        <v>11557</v>
      </c>
    </row>
    <row r="4553" spans="1:3">
      <c r="A4553" s="260" t="s">
        <v>11558</v>
      </c>
      <c r="B4553" s="50"/>
      <c r="C4553" s="257" t="s">
        <v>11559</v>
      </c>
    </row>
    <row r="4554" spans="1:3">
      <c r="A4554" s="260" t="s">
        <v>11560</v>
      </c>
      <c r="B4554" s="50"/>
      <c r="C4554" s="257" t="s">
        <v>11561</v>
      </c>
    </row>
    <row r="4555" spans="1:3">
      <c r="A4555" s="260" t="s">
        <v>11562</v>
      </c>
      <c r="B4555" s="50"/>
      <c r="C4555" s="257" t="s">
        <v>11563</v>
      </c>
    </row>
    <row r="4556" spans="1:3">
      <c r="A4556" s="260" t="s">
        <v>11564</v>
      </c>
      <c r="B4556" s="50"/>
      <c r="C4556" s="257" t="s">
        <v>11565</v>
      </c>
    </row>
    <row r="4557" spans="1:3">
      <c r="A4557" s="260" t="s">
        <v>11566</v>
      </c>
      <c r="B4557" s="50"/>
      <c r="C4557" s="257" t="s">
        <v>11567</v>
      </c>
    </row>
    <row r="4558" spans="1:3">
      <c r="A4558" s="260" t="s">
        <v>11568</v>
      </c>
      <c r="B4558" s="50"/>
      <c r="C4558" s="257" t="s">
        <v>11569</v>
      </c>
    </row>
    <row r="4559" spans="1:3">
      <c r="A4559" s="260" t="s">
        <v>11570</v>
      </c>
      <c r="B4559" s="50"/>
      <c r="C4559" s="257" t="s">
        <v>11571</v>
      </c>
    </row>
    <row r="4560" spans="1:3">
      <c r="A4560" s="260" t="s">
        <v>11572</v>
      </c>
      <c r="B4560" s="50"/>
      <c r="C4560" s="257" t="s">
        <v>11573</v>
      </c>
    </row>
    <row r="4561" spans="1:3">
      <c r="A4561" s="260" t="s">
        <v>11574</v>
      </c>
      <c r="B4561" t="s">
        <v>11575</v>
      </c>
      <c r="C4561" t="s">
        <v>11576</v>
      </c>
    </row>
    <row r="4562" spans="1:3">
      <c r="A4562" s="260" t="s">
        <v>11577</v>
      </c>
      <c r="B4562" t="s">
        <v>11578</v>
      </c>
      <c r="C4562" t="s">
        <v>11579</v>
      </c>
    </row>
    <row r="4563" spans="1:3">
      <c r="A4563" s="50" t="s">
        <v>11580</v>
      </c>
      <c r="B4563" t="s">
        <v>11581</v>
      </c>
      <c r="C4563" t="s">
        <v>11582</v>
      </c>
    </row>
    <row r="4564" spans="1:3">
      <c r="A4564" s="260" t="s">
        <v>11583</v>
      </c>
      <c r="B4564" t="s">
        <v>11584</v>
      </c>
      <c r="C4564" t="s">
        <v>11585</v>
      </c>
    </row>
    <row r="4565" spans="1:3">
      <c r="A4565" s="260" t="s">
        <v>11586</v>
      </c>
      <c r="B4565" t="s">
        <v>11587</v>
      </c>
      <c r="C4565" t="s">
        <v>11588</v>
      </c>
    </row>
    <row r="4566" spans="1:3">
      <c r="A4566" s="260" t="s">
        <v>11589</v>
      </c>
      <c r="B4566" t="s">
        <v>7535</v>
      </c>
      <c r="C4566" t="s">
        <v>11590</v>
      </c>
    </row>
    <row r="4567" spans="1:3">
      <c r="A4567" s="260" t="s">
        <v>11591</v>
      </c>
      <c r="B4567" t="s">
        <v>11592</v>
      </c>
      <c r="C4567" t="s">
        <v>11593</v>
      </c>
    </row>
    <row r="4568" spans="1:3">
      <c r="A4568" s="50" t="s">
        <v>11594</v>
      </c>
      <c r="B4568" t="s">
        <v>11595</v>
      </c>
      <c r="C4568" t="s">
        <v>11596</v>
      </c>
    </row>
    <row r="4569" spans="1:3">
      <c r="A4569" s="50" t="s">
        <v>11597</v>
      </c>
      <c r="B4569" t="s">
        <v>7648</v>
      </c>
      <c r="C4569" t="s">
        <v>11598</v>
      </c>
    </row>
    <row r="4570" spans="1:3">
      <c r="A4570" s="50" t="s">
        <v>11599</v>
      </c>
      <c r="B4570" t="s">
        <v>1429</v>
      </c>
      <c r="C4570" t="s">
        <v>11600</v>
      </c>
    </row>
    <row r="4571" spans="1:3">
      <c r="A4571" s="50" t="s">
        <v>11601</v>
      </c>
      <c r="B4571" t="s">
        <v>7654</v>
      </c>
      <c r="C4571" t="s">
        <v>11602</v>
      </c>
    </row>
    <row r="4572" spans="1:3">
      <c r="A4572" t="s">
        <v>11603</v>
      </c>
      <c r="B4572" t="s">
        <v>7657</v>
      </c>
      <c r="C4572" t="s">
        <v>11604</v>
      </c>
    </row>
    <row r="4573" spans="1:3">
      <c r="A4573" s="50" t="s">
        <v>11605</v>
      </c>
      <c r="B4573" t="s">
        <v>8707</v>
      </c>
      <c r="C4573" t="s">
        <v>11606</v>
      </c>
    </row>
    <row r="4574" spans="1:3">
      <c r="A4574" s="50" t="s">
        <v>11607</v>
      </c>
      <c r="B4574" t="s">
        <v>8750</v>
      </c>
      <c r="C4574" t="s">
        <v>11608</v>
      </c>
    </row>
    <row r="4575" spans="1:3">
      <c r="A4575" s="50" t="s">
        <v>11609</v>
      </c>
      <c r="B4575" t="s">
        <v>8713</v>
      </c>
      <c r="C4575" t="s">
        <v>11610</v>
      </c>
    </row>
    <row r="4576" spans="1:3">
      <c r="A4576" s="50" t="s">
        <v>11611</v>
      </c>
      <c r="B4576" t="s">
        <v>11612</v>
      </c>
      <c r="C4576" t="s">
        <v>11613</v>
      </c>
    </row>
    <row r="4577" spans="1:3">
      <c r="A4577" s="50" t="s">
        <v>11614</v>
      </c>
      <c r="B4577" t="s">
        <v>8745</v>
      </c>
      <c r="C4577" t="s">
        <v>11615</v>
      </c>
    </row>
    <row r="4578" spans="1:3">
      <c r="A4578" s="50" t="s">
        <v>11616</v>
      </c>
      <c r="B4578" t="s">
        <v>10591</v>
      </c>
      <c r="C4578" t="s">
        <v>11617</v>
      </c>
    </row>
    <row r="4579" spans="1:3">
      <c r="A4579" s="50" t="s">
        <v>11618</v>
      </c>
      <c r="B4579" t="s">
        <v>8710</v>
      </c>
      <c r="C4579" t="s">
        <v>11619</v>
      </c>
    </row>
    <row r="4580" spans="1:3">
      <c r="A4580" s="50" t="s">
        <v>11620</v>
      </c>
      <c r="B4580" t="s">
        <v>10591</v>
      </c>
      <c r="C4580" t="s">
        <v>11621</v>
      </c>
    </row>
    <row r="4581" spans="1:3">
      <c r="A4581" s="50" t="s">
        <v>11622</v>
      </c>
      <c r="B4581" t="s">
        <v>11623</v>
      </c>
      <c r="C4581" t="s">
        <v>11624</v>
      </c>
    </row>
    <row r="4582" spans="1:3">
      <c r="A4582" s="50" t="s">
        <v>11625</v>
      </c>
      <c r="B4582" s="50"/>
      <c r="C4582" s="258" t="s">
        <v>11626</v>
      </c>
    </row>
    <row r="4583" spans="1:3">
      <c r="A4583" s="50" t="s">
        <v>11627</v>
      </c>
      <c r="B4583" s="50"/>
      <c r="C4583" s="257" t="s">
        <v>11628</v>
      </c>
    </row>
  </sheetData>
  <customSheetViews>
    <customSheetView guid="{3590B4C8-3408-4C22-A182-96D6E61B41FC}" state="hidden">
      <selection activeCell="A4604" sqref="A4604"/>
      <pageMargins left="0.75" right="0.75" top="1" bottom="1" header="0.5" footer="0.5"/>
      <headerFooter alignWithMargins="0">
        <oddHeader>&amp;C&amp;A</oddHeader>
        <oddFooter>&amp;CPage &amp;P</oddFooter>
      </headerFooter>
    </customSheetView>
    <customSheetView guid="{031350E9-2A5A-48A9-8BCD-85E50999C522}" state="hidden">
      <selection activeCell="A4604" sqref="A4604"/>
      <pageMargins left="0.75" right="0.75" top="1" bottom="1" header="0.5" footer="0.5"/>
      <headerFooter alignWithMargins="0">
        <oddHeader>&amp;C&amp;A</oddHeader>
        <oddFooter>&amp;CPage &amp;P</oddFooter>
      </headerFooter>
    </customSheetView>
    <customSheetView guid="{8BDDDDA7-D938-494A-80FC-9A81AD854C12}" state="hidden">
      <selection activeCell="A4604" sqref="A4604"/>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5931"/>
  <sheetViews>
    <sheetView workbookViewId="0">
      <selection activeCell="C17" sqref="C12:H17"/>
    </sheetView>
  </sheetViews>
  <sheetFormatPr defaultColWidth="9" defaultRowHeight="13.2"/>
  <cols>
    <col min="2" max="2" width="16" style="251" customWidth="1"/>
    <col min="3" max="3" width="15.8148148148148" customWidth="1"/>
    <col min="10" max="10" width="10.2685185185185" customWidth="1"/>
  </cols>
  <sheetData>
    <row r="1" spans="1:10">
      <c r="A1" s="252">
        <v>2</v>
      </c>
      <c r="B1" s="253">
        <v>32</v>
      </c>
      <c r="C1" s="252">
        <v>2</v>
      </c>
      <c r="D1" s="252">
        <v>7</v>
      </c>
      <c r="E1" s="252">
        <v>1</v>
      </c>
      <c r="F1" s="252">
        <v>17</v>
      </c>
      <c r="G1" s="252">
        <f>INDEX(G3:G23,F1)</f>
        <v>86400</v>
      </c>
      <c r="H1">
        <v>11</v>
      </c>
      <c r="I1">
        <v>4</v>
      </c>
      <c r="J1">
        <v>1</v>
      </c>
    </row>
    <row r="2" spans="1:8">
      <c r="A2" s="1" t="s">
        <v>11629</v>
      </c>
      <c r="B2" s="254">
        <f ca="1">IF(B1&gt;7,INDEX(B3:B376,B1)+INDEX(C3:C51,C1),INDEX(B3:B376,B1))</f>
        <v>44274</v>
      </c>
      <c r="C2" s="254" t="e">
        <f ca="1">IF(B1&gt;7,INDEX(B3:B376,D1)+INDEX(C3:C51,E1),INDEX(B3:B376,D1))</f>
        <v>#VALUE!</v>
      </c>
      <c r="H2" s="254"/>
    </row>
    <row r="3" spans="1:10">
      <c r="A3" s="1" t="s">
        <v>11630</v>
      </c>
      <c r="B3" s="32" t="s">
        <v>11631</v>
      </c>
      <c r="F3" t="s">
        <v>11632</v>
      </c>
      <c r="G3">
        <v>1</v>
      </c>
      <c r="H3">
        <v>100</v>
      </c>
      <c r="I3" t="s">
        <v>11633</v>
      </c>
      <c r="J3" t="s">
        <v>11634</v>
      </c>
    </row>
    <row r="4" spans="1:10">
      <c r="A4" s="1" t="s">
        <v>11635</v>
      </c>
      <c r="B4" s="32" t="s">
        <v>11636</v>
      </c>
      <c r="C4" s="255">
        <v>0</v>
      </c>
      <c r="F4" t="s">
        <v>11637</v>
      </c>
      <c r="G4">
        <v>2</v>
      </c>
      <c r="H4">
        <f>H3-10</f>
        <v>90</v>
      </c>
      <c r="I4">
        <v>-9999999</v>
      </c>
      <c r="J4" t="s">
        <v>11638</v>
      </c>
    </row>
    <row r="5" spans="2:9">
      <c r="B5" s="32" t="s">
        <v>11639</v>
      </c>
      <c r="C5" s="255">
        <f t="shared" ref="C5:C51" si="0">C4+TIMEVALUE("00:30")</f>
        <v>0.0208333333333333</v>
      </c>
      <c r="F5" t="s">
        <v>11640</v>
      </c>
      <c r="G5">
        <v>5</v>
      </c>
      <c r="H5">
        <f t="shared" ref="H5:H13" si="1">H4-10</f>
        <v>80</v>
      </c>
      <c r="I5" t="s">
        <v>11641</v>
      </c>
    </row>
    <row r="6" spans="2:9">
      <c r="B6" s="32" t="s">
        <v>11642</v>
      </c>
      <c r="C6" s="255">
        <f t="shared" si="0"/>
        <v>0.0416666666666667</v>
      </c>
      <c r="F6" t="s">
        <v>11643</v>
      </c>
      <c r="G6">
        <v>6</v>
      </c>
      <c r="H6">
        <f t="shared" si="1"/>
        <v>70</v>
      </c>
      <c r="I6" t="s">
        <v>11644</v>
      </c>
    </row>
    <row r="7" spans="2:9">
      <c r="B7" s="32" t="s">
        <v>11645</v>
      </c>
      <c r="C7" s="255">
        <f t="shared" si="0"/>
        <v>0.0625</v>
      </c>
      <c r="F7" t="s">
        <v>11646</v>
      </c>
      <c r="G7">
        <v>10</v>
      </c>
      <c r="H7">
        <f t="shared" si="1"/>
        <v>60</v>
      </c>
      <c r="I7" t="s">
        <v>11647</v>
      </c>
    </row>
    <row r="8" spans="2:9">
      <c r="B8" s="32" t="s">
        <v>11648</v>
      </c>
      <c r="C8" s="255">
        <f t="shared" si="0"/>
        <v>0.0833333333333333</v>
      </c>
      <c r="F8" t="s">
        <v>11649</v>
      </c>
      <c r="G8">
        <v>15</v>
      </c>
      <c r="H8">
        <f t="shared" si="1"/>
        <v>50</v>
      </c>
      <c r="I8" t="s">
        <v>11650</v>
      </c>
    </row>
    <row r="9" spans="2:9">
      <c r="B9" s="32" t="s">
        <v>11651</v>
      </c>
      <c r="C9" s="255">
        <f t="shared" si="0"/>
        <v>0.104166666666667</v>
      </c>
      <c r="F9" t="s">
        <v>11652</v>
      </c>
      <c r="G9">
        <v>20</v>
      </c>
      <c r="H9">
        <f t="shared" si="1"/>
        <v>40</v>
      </c>
      <c r="I9" t="s">
        <v>11653</v>
      </c>
    </row>
    <row r="10" spans="2:9">
      <c r="B10" s="251">
        <f ca="1">TODAY()</f>
        <v>44298</v>
      </c>
      <c r="C10" s="255">
        <f t="shared" si="0"/>
        <v>0.125</v>
      </c>
      <c r="F10" t="s">
        <v>11654</v>
      </c>
      <c r="G10">
        <v>30</v>
      </c>
      <c r="H10">
        <f t="shared" si="1"/>
        <v>30</v>
      </c>
      <c r="I10" t="s">
        <v>11655</v>
      </c>
    </row>
    <row r="11" spans="2:8">
      <c r="B11" s="251">
        <f ca="1">B10-1</f>
        <v>44297</v>
      </c>
      <c r="C11" s="255">
        <f t="shared" si="0"/>
        <v>0.145833333333333</v>
      </c>
      <c r="F11" t="s">
        <v>11656</v>
      </c>
      <c r="G11">
        <v>60</v>
      </c>
      <c r="H11">
        <f t="shared" si="1"/>
        <v>20</v>
      </c>
    </row>
    <row r="12" spans="2:8">
      <c r="B12" s="251">
        <f ca="1" t="shared" ref="B12:B27" si="2">B11-1</f>
        <v>44296</v>
      </c>
      <c r="C12" s="255">
        <f t="shared" si="0"/>
        <v>0.166666666666667</v>
      </c>
      <c r="F12" t="s">
        <v>11657</v>
      </c>
      <c r="G12">
        <v>120</v>
      </c>
      <c r="H12">
        <f t="shared" si="1"/>
        <v>10</v>
      </c>
    </row>
    <row r="13" spans="2:8">
      <c r="B13" s="251">
        <f ca="1" t="shared" si="2"/>
        <v>44295</v>
      </c>
      <c r="C13" s="255">
        <f t="shared" si="0"/>
        <v>0.1875</v>
      </c>
      <c r="F13" t="s">
        <v>11658</v>
      </c>
      <c r="G13">
        <v>300</v>
      </c>
      <c r="H13">
        <f t="shared" si="1"/>
        <v>0</v>
      </c>
    </row>
    <row r="14" spans="2:7">
      <c r="B14" s="251">
        <f ca="1" t="shared" si="2"/>
        <v>44294</v>
      </c>
      <c r="C14" s="255">
        <f t="shared" si="0"/>
        <v>0.208333333333333</v>
      </c>
      <c r="F14" t="s">
        <v>11659</v>
      </c>
      <c r="G14">
        <v>600</v>
      </c>
    </row>
    <row r="15" spans="2:7">
      <c r="B15" s="251">
        <f ca="1" t="shared" si="2"/>
        <v>44293</v>
      </c>
      <c r="C15" s="255">
        <f t="shared" si="0"/>
        <v>0.229166666666667</v>
      </c>
      <c r="F15" t="s">
        <v>11660</v>
      </c>
      <c r="G15">
        <v>3600</v>
      </c>
    </row>
    <row r="16" spans="2:7">
      <c r="B16" s="251">
        <f ca="1" t="shared" si="2"/>
        <v>44292</v>
      </c>
      <c r="C16" s="255">
        <f t="shared" si="0"/>
        <v>0.25</v>
      </c>
      <c r="F16" t="s">
        <v>11661</v>
      </c>
      <c r="G16">
        <v>14400</v>
      </c>
    </row>
    <row r="17" spans="2:7">
      <c r="B17" s="251">
        <f ca="1" t="shared" si="2"/>
        <v>44291</v>
      </c>
      <c r="C17" s="255">
        <f t="shared" si="0"/>
        <v>0.270833333333333</v>
      </c>
      <c r="F17" t="s">
        <v>11662</v>
      </c>
      <c r="G17">
        <v>28800</v>
      </c>
    </row>
    <row r="18" spans="2:7">
      <c r="B18" s="251">
        <f ca="1" t="shared" si="2"/>
        <v>44290</v>
      </c>
      <c r="C18" s="255">
        <f t="shared" si="0"/>
        <v>0.291666666666667</v>
      </c>
      <c r="F18" t="s">
        <v>11663</v>
      </c>
      <c r="G18">
        <v>43200</v>
      </c>
    </row>
    <row r="19" spans="2:7">
      <c r="B19" s="251">
        <f ca="1" t="shared" si="2"/>
        <v>44289</v>
      </c>
      <c r="C19" s="255">
        <f t="shared" si="0"/>
        <v>0.3125</v>
      </c>
      <c r="F19" t="s">
        <v>11664</v>
      </c>
      <c r="G19">
        <v>86400</v>
      </c>
    </row>
    <row r="20" spans="2:7">
      <c r="B20" s="251">
        <f ca="1" t="shared" si="2"/>
        <v>44288</v>
      </c>
      <c r="C20" s="255">
        <f t="shared" si="0"/>
        <v>0.333333333333333</v>
      </c>
      <c r="F20" t="s">
        <v>11665</v>
      </c>
      <c r="G20">
        <v>172800</v>
      </c>
    </row>
    <row r="21" spans="2:7">
      <c r="B21" s="251">
        <f ca="1" t="shared" si="2"/>
        <v>44287</v>
      </c>
      <c r="C21" s="255">
        <f t="shared" si="0"/>
        <v>0.354166666666667</v>
      </c>
      <c r="F21" t="s">
        <v>11666</v>
      </c>
      <c r="G21">
        <v>604800</v>
      </c>
    </row>
    <row r="22" spans="2:7">
      <c r="B22" s="251">
        <f ca="1" t="shared" si="2"/>
        <v>44286</v>
      </c>
      <c r="C22" s="255">
        <f t="shared" si="0"/>
        <v>0.375</v>
      </c>
      <c r="F22" t="s">
        <v>11667</v>
      </c>
      <c r="G22">
        <v>864000</v>
      </c>
    </row>
    <row r="23" spans="2:7">
      <c r="B23" s="251">
        <f ca="1" t="shared" si="2"/>
        <v>44285</v>
      </c>
      <c r="C23" s="255">
        <f t="shared" si="0"/>
        <v>0.395833333333333</v>
      </c>
      <c r="F23" t="s">
        <v>11668</v>
      </c>
      <c r="G23">
        <v>2592000</v>
      </c>
    </row>
    <row r="24" spans="2:3">
      <c r="B24" s="251">
        <f ca="1" t="shared" si="2"/>
        <v>44284</v>
      </c>
      <c r="C24" s="255">
        <f t="shared" si="0"/>
        <v>0.416666666666667</v>
      </c>
    </row>
    <row r="25" spans="2:3">
      <c r="B25" s="251">
        <f ca="1" t="shared" si="2"/>
        <v>44283</v>
      </c>
      <c r="C25" s="255">
        <f t="shared" si="0"/>
        <v>0.4375</v>
      </c>
    </row>
    <row r="26" spans="2:3">
      <c r="B26" s="251">
        <f ca="1" t="shared" si="2"/>
        <v>44282</v>
      </c>
      <c r="C26" s="255">
        <f t="shared" si="0"/>
        <v>0.458333333333333</v>
      </c>
    </row>
    <row r="27" spans="2:3">
      <c r="B27" s="251">
        <f ca="1" t="shared" si="2"/>
        <v>44281</v>
      </c>
      <c r="C27" s="255">
        <f t="shared" si="0"/>
        <v>0.479166666666666</v>
      </c>
    </row>
    <row r="28" spans="2:3">
      <c r="B28" s="251">
        <f ca="1" t="shared" ref="B28:B43" si="3">B27-1</f>
        <v>44280</v>
      </c>
      <c r="C28" s="255">
        <f t="shared" si="0"/>
        <v>0.5</v>
      </c>
    </row>
    <row r="29" spans="2:3">
      <c r="B29" s="251">
        <f ca="1" t="shared" si="3"/>
        <v>44279</v>
      </c>
      <c r="C29" s="255">
        <f t="shared" si="0"/>
        <v>0.520833333333333</v>
      </c>
    </row>
    <row r="30" spans="2:3">
      <c r="B30" s="251">
        <f ca="1" t="shared" si="3"/>
        <v>44278</v>
      </c>
      <c r="C30" s="255">
        <f t="shared" si="0"/>
        <v>0.541666666666667</v>
      </c>
    </row>
    <row r="31" spans="2:3">
      <c r="B31" s="251">
        <f ca="1" t="shared" si="3"/>
        <v>44277</v>
      </c>
      <c r="C31" s="255">
        <f t="shared" si="0"/>
        <v>0.5625</v>
      </c>
    </row>
    <row r="32" spans="2:3">
      <c r="B32" s="251">
        <f ca="1" t="shared" si="3"/>
        <v>44276</v>
      </c>
      <c r="C32" s="255">
        <f t="shared" si="0"/>
        <v>0.583333333333333</v>
      </c>
    </row>
    <row r="33" spans="2:3">
      <c r="B33" s="251">
        <f ca="1" t="shared" si="3"/>
        <v>44275</v>
      </c>
      <c r="C33" s="255">
        <f t="shared" si="0"/>
        <v>0.604166666666667</v>
      </c>
    </row>
    <row r="34" spans="2:3">
      <c r="B34" s="251">
        <f ca="1" t="shared" si="3"/>
        <v>44274</v>
      </c>
      <c r="C34" s="255">
        <f t="shared" si="0"/>
        <v>0.625</v>
      </c>
    </row>
    <row r="35" spans="2:3">
      <c r="B35" s="251">
        <f ca="1" t="shared" si="3"/>
        <v>44273</v>
      </c>
      <c r="C35" s="255">
        <f t="shared" si="0"/>
        <v>0.645833333333333</v>
      </c>
    </row>
    <row r="36" spans="2:3">
      <c r="B36" s="251">
        <f ca="1" t="shared" si="3"/>
        <v>44272</v>
      </c>
      <c r="C36" s="255">
        <f t="shared" si="0"/>
        <v>0.666666666666667</v>
      </c>
    </row>
    <row r="37" spans="2:3">
      <c r="B37" s="251">
        <f ca="1" t="shared" si="3"/>
        <v>44271</v>
      </c>
      <c r="C37" s="255">
        <f t="shared" si="0"/>
        <v>0.6875</v>
      </c>
    </row>
    <row r="38" spans="2:3">
      <c r="B38" s="251">
        <f ca="1" t="shared" si="3"/>
        <v>44270</v>
      </c>
      <c r="C38" s="255">
        <f t="shared" si="0"/>
        <v>0.708333333333333</v>
      </c>
    </row>
    <row r="39" spans="2:3">
      <c r="B39" s="251">
        <f ca="1" t="shared" si="3"/>
        <v>44269</v>
      </c>
      <c r="C39" s="255">
        <f t="shared" si="0"/>
        <v>0.729166666666667</v>
      </c>
    </row>
    <row r="40" spans="2:3">
      <c r="B40" s="251">
        <f ca="1" t="shared" si="3"/>
        <v>44268</v>
      </c>
      <c r="C40" s="255">
        <f t="shared" si="0"/>
        <v>0.75</v>
      </c>
    </row>
    <row r="41" spans="2:3">
      <c r="B41" s="251">
        <f ca="1" t="shared" si="3"/>
        <v>44267</v>
      </c>
      <c r="C41" s="255">
        <f t="shared" si="0"/>
        <v>0.770833333333334</v>
      </c>
    </row>
    <row r="42" spans="2:3">
      <c r="B42" s="251">
        <f ca="1" t="shared" si="3"/>
        <v>44266</v>
      </c>
      <c r="C42" s="255">
        <f t="shared" si="0"/>
        <v>0.791666666666667</v>
      </c>
    </row>
    <row r="43" spans="2:3">
      <c r="B43" s="251">
        <f ca="1" t="shared" si="3"/>
        <v>44265</v>
      </c>
      <c r="C43" s="255">
        <f t="shared" si="0"/>
        <v>0.8125</v>
      </c>
    </row>
    <row r="44" spans="2:3">
      <c r="B44" s="251">
        <f ca="1" t="shared" ref="B44:B59" si="4">B43-1</f>
        <v>44264</v>
      </c>
      <c r="C44" s="255">
        <f t="shared" si="0"/>
        <v>0.833333333333334</v>
      </c>
    </row>
    <row r="45" spans="2:3">
      <c r="B45" s="251">
        <f ca="1" t="shared" si="4"/>
        <v>44263</v>
      </c>
      <c r="C45" s="255">
        <f t="shared" si="0"/>
        <v>0.854166666666667</v>
      </c>
    </row>
    <row r="46" spans="2:3">
      <c r="B46" s="251">
        <f ca="1" t="shared" si="4"/>
        <v>44262</v>
      </c>
      <c r="C46" s="255">
        <f t="shared" si="0"/>
        <v>0.875</v>
      </c>
    </row>
    <row r="47" spans="2:3">
      <c r="B47" s="251">
        <f ca="1" t="shared" si="4"/>
        <v>44261</v>
      </c>
      <c r="C47" s="255">
        <f t="shared" si="0"/>
        <v>0.895833333333334</v>
      </c>
    </row>
    <row r="48" spans="2:3">
      <c r="B48" s="251">
        <f ca="1" t="shared" si="4"/>
        <v>44260</v>
      </c>
      <c r="C48" s="255">
        <f t="shared" si="0"/>
        <v>0.916666666666667</v>
      </c>
    </row>
    <row r="49" spans="2:3">
      <c r="B49" s="251">
        <f ca="1" t="shared" si="4"/>
        <v>44259</v>
      </c>
      <c r="C49" s="255">
        <f t="shared" si="0"/>
        <v>0.937500000000001</v>
      </c>
    </row>
    <row r="50" spans="2:3">
      <c r="B50" s="251">
        <f ca="1" t="shared" si="4"/>
        <v>44258</v>
      </c>
      <c r="C50" s="255">
        <f t="shared" si="0"/>
        <v>0.958333333333334</v>
      </c>
    </row>
    <row r="51" spans="2:3">
      <c r="B51" s="251">
        <f ca="1" t="shared" si="4"/>
        <v>44257</v>
      </c>
      <c r="C51" s="255">
        <f t="shared" si="0"/>
        <v>0.979166666666667</v>
      </c>
    </row>
    <row r="52" spans="2:3">
      <c r="B52" s="251">
        <f ca="1" t="shared" si="4"/>
        <v>44256</v>
      </c>
      <c r="C52" s="255"/>
    </row>
    <row r="53" spans="2:3">
      <c r="B53" s="251">
        <f ca="1" t="shared" si="4"/>
        <v>44255</v>
      </c>
      <c r="C53" s="255"/>
    </row>
    <row r="54" spans="2:3">
      <c r="B54" s="251">
        <f ca="1" t="shared" si="4"/>
        <v>44254</v>
      </c>
      <c r="C54" s="255"/>
    </row>
    <row r="55" spans="2:3">
      <c r="B55" s="251">
        <f ca="1" t="shared" si="4"/>
        <v>44253</v>
      </c>
      <c r="C55" s="255"/>
    </row>
    <row r="56" spans="2:3">
      <c r="B56" s="251">
        <f ca="1" t="shared" si="4"/>
        <v>44252</v>
      </c>
      <c r="C56" s="255"/>
    </row>
    <row r="57" spans="2:3">
      <c r="B57" s="251">
        <f ca="1" t="shared" si="4"/>
        <v>44251</v>
      </c>
      <c r="C57" s="255"/>
    </row>
    <row r="58" spans="2:3">
      <c r="B58" s="251">
        <f ca="1" t="shared" si="4"/>
        <v>44250</v>
      </c>
      <c r="C58" s="255"/>
    </row>
    <row r="59" spans="2:3">
      <c r="B59" s="251">
        <f ca="1" t="shared" si="4"/>
        <v>44249</v>
      </c>
      <c r="C59" s="255"/>
    </row>
    <row r="60" spans="2:3">
      <c r="B60" s="251">
        <f ca="1" t="shared" ref="B60:B75" si="5">B59-1</f>
        <v>44248</v>
      </c>
      <c r="C60" s="255"/>
    </row>
    <row r="61" spans="2:3">
      <c r="B61" s="251">
        <f ca="1" t="shared" si="5"/>
        <v>44247</v>
      </c>
      <c r="C61" s="255"/>
    </row>
    <row r="62" spans="2:3">
      <c r="B62" s="251">
        <f ca="1" t="shared" si="5"/>
        <v>44246</v>
      </c>
      <c r="C62" s="255"/>
    </row>
    <row r="63" spans="2:3">
      <c r="B63" s="251">
        <f ca="1" t="shared" si="5"/>
        <v>44245</v>
      </c>
      <c r="C63" s="255"/>
    </row>
    <row r="64" spans="2:3">
      <c r="B64" s="251">
        <f ca="1" t="shared" si="5"/>
        <v>44244</v>
      </c>
      <c r="C64" s="255"/>
    </row>
    <row r="65" spans="2:3">
      <c r="B65" s="251">
        <f ca="1" t="shared" si="5"/>
        <v>44243</v>
      </c>
      <c r="C65" s="255"/>
    </row>
    <row r="66" spans="2:3">
      <c r="B66" s="251">
        <f ca="1" t="shared" si="5"/>
        <v>44242</v>
      </c>
      <c r="C66" s="255"/>
    </row>
    <row r="67" spans="2:3">
      <c r="B67" s="251">
        <f ca="1" t="shared" si="5"/>
        <v>44241</v>
      </c>
      <c r="C67" s="255"/>
    </row>
    <row r="68" spans="2:3">
      <c r="B68" s="251">
        <f ca="1" t="shared" si="5"/>
        <v>44240</v>
      </c>
      <c r="C68" s="255"/>
    </row>
    <row r="69" spans="2:3">
      <c r="B69" s="251">
        <f ca="1" t="shared" si="5"/>
        <v>44239</v>
      </c>
      <c r="C69" s="255"/>
    </row>
    <row r="70" spans="2:3">
      <c r="B70" s="251">
        <f ca="1" t="shared" si="5"/>
        <v>44238</v>
      </c>
      <c r="C70" s="255"/>
    </row>
    <row r="71" spans="2:3">
      <c r="B71" s="251">
        <f ca="1" t="shared" si="5"/>
        <v>44237</v>
      </c>
      <c r="C71" s="255"/>
    </row>
    <row r="72" spans="2:3">
      <c r="B72" s="251">
        <f ca="1" t="shared" si="5"/>
        <v>44236</v>
      </c>
      <c r="C72" s="255"/>
    </row>
    <row r="73" spans="2:3">
      <c r="B73" s="251">
        <f ca="1" t="shared" si="5"/>
        <v>44235</v>
      </c>
      <c r="C73" s="255"/>
    </row>
    <row r="74" spans="2:3">
      <c r="B74" s="251">
        <f ca="1" t="shared" si="5"/>
        <v>44234</v>
      </c>
      <c r="C74" s="255"/>
    </row>
    <row r="75" spans="2:3">
      <c r="B75" s="251">
        <f ca="1" t="shared" si="5"/>
        <v>44233</v>
      </c>
      <c r="C75" s="255"/>
    </row>
    <row r="76" spans="2:3">
      <c r="B76" s="251">
        <f ca="1" t="shared" ref="B76:B91" si="6">B75-1</f>
        <v>44232</v>
      </c>
      <c r="C76" s="255"/>
    </row>
    <row r="77" spans="2:3">
      <c r="B77" s="251">
        <f ca="1" t="shared" si="6"/>
        <v>44231</v>
      </c>
      <c r="C77" s="255"/>
    </row>
    <row r="78" spans="2:3">
      <c r="B78" s="251">
        <f ca="1" t="shared" si="6"/>
        <v>44230</v>
      </c>
      <c r="C78" s="255"/>
    </row>
    <row r="79" spans="2:3">
      <c r="B79" s="251">
        <f ca="1" t="shared" si="6"/>
        <v>44229</v>
      </c>
      <c r="C79" s="255"/>
    </row>
    <row r="80" spans="2:3">
      <c r="B80" s="251">
        <f ca="1" t="shared" si="6"/>
        <v>44228</v>
      </c>
      <c r="C80" s="255"/>
    </row>
    <row r="81" spans="2:3">
      <c r="B81" s="251">
        <f ca="1" t="shared" si="6"/>
        <v>44227</v>
      </c>
      <c r="C81" s="255"/>
    </row>
    <row r="82" spans="2:3">
      <c r="B82" s="251">
        <f ca="1" t="shared" si="6"/>
        <v>44226</v>
      </c>
      <c r="C82" s="255"/>
    </row>
    <row r="83" spans="2:3">
      <c r="B83" s="251">
        <f ca="1" t="shared" si="6"/>
        <v>44225</v>
      </c>
      <c r="C83" s="255"/>
    </row>
    <row r="84" spans="2:3">
      <c r="B84" s="251">
        <f ca="1" t="shared" si="6"/>
        <v>44224</v>
      </c>
      <c r="C84" s="255"/>
    </row>
    <row r="85" spans="2:3">
      <c r="B85" s="251">
        <f ca="1" t="shared" si="6"/>
        <v>44223</v>
      </c>
      <c r="C85" s="255"/>
    </row>
    <row r="86" spans="2:3">
      <c r="B86" s="251">
        <f ca="1" t="shared" si="6"/>
        <v>44222</v>
      </c>
      <c r="C86" s="255"/>
    </row>
    <row r="87" spans="2:3">
      <c r="B87" s="251">
        <f ca="1" t="shared" si="6"/>
        <v>44221</v>
      </c>
      <c r="C87" s="255"/>
    </row>
    <row r="88" spans="2:3">
      <c r="B88" s="251">
        <f ca="1" t="shared" si="6"/>
        <v>44220</v>
      </c>
      <c r="C88" s="255"/>
    </row>
    <row r="89" spans="2:3">
      <c r="B89" s="251">
        <f ca="1" t="shared" si="6"/>
        <v>44219</v>
      </c>
      <c r="C89" s="255"/>
    </row>
    <row r="90" spans="2:3">
      <c r="B90" s="251">
        <f ca="1" t="shared" si="6"/>
        <v>44218</v>
      </c>
      <c r="C90" s="255"/>
    </row>
    <row r="91" spans="2:3">
      <c r="B91" s="251">
        <f ca="1" t="shared" si="6"/>
        <v>44217</v>
      </c>
      <c r="C91" s="255"/>
    </row>
    <row r="92" spans="2:3">
      <c r="B92" s="251">
        <f ca="1" t="shared" ref="B92:B107" si="7">B91-1</f>
        <v>44216</v>
      </c>
      <c r="C92" s="255"/>
    </row>
    <row r="93" spans="2:3">
      <c r="B93" s="251">
        <f ca="1" t="shared" si="7"/>
        <v>44215</v>
      </c>
      <c r="C93" s="255"/>
    </row>
    <row r="94" spans="2:3">
      <c r="B94" s="251">
        <f ca="1" t="shared" si="7"/>
        <v>44214</v>
      </c>
      <c r="C94" s="255"/>
    </row>
    <row r="95" spans="2:3">
      <c r="B95" s="251">
        <f ca="1" t="shared" si="7"/>
        <v>44213</v>
      </c>
      <c r="C95" s="255"/>
    </row>
    <row r="96" spans="2:3">
      <c r="B96" s="251">
        <f ca="1" t="shared" si="7"/>
        <v>44212</v>
      </c>
      <c r="C96" s="255"/>
    </row>
    <row r="97" spans="2:3">
      <c r="B97" s="251">
        <f ca="1" t="shared" si="7"/>
        <v>44211</v>
      </c>
      <c r="C97" s="255"/>
    </row>
    <row r="98" spans="2:3">
      <c r="B98" s="251">
        <f ca="1" t="shared" si="7"/>
        <v>44210</v>
      </c>
      <c r="C98" s="255"/>
    </row>
    <row r="99" spans="2:3">
      <c r="B99" s="251">
        <f ca="1" t="shared" si="7"/>
        <v>44209</v>
      </c>
      <c r="C99" s="255"/>
    </row>
    <row r="100" spans="2:3">
      <c r="B100" s="251">
        <f ca="1" t="shared" si="7"/>
        <v>44208</v>
      </c>
      <c r="C100" s="255"/>
    </row>
    <row r="101" spans="2:3">
      <c r="B101" s="251">
        <f ca="1" t="shared" si="7"/>
        <v>44207</v>
      </c>
      <c r="C101" s="255"/>
    </row>
    <row r="102" spans="2:3">
      <c r="B102" s="251">
        <f ca="1" t="shared" si="7"/>
        <v>44206</v>
      </c>
      <c r="C102" s="255"/>
    </row>
    <row r="103" spans="2:3">
      <c r="B103" s="251">
        <f ca="1" t="shared" si="7"/>
        <v>44205</v>
      </c>
      <c r="C103" s="255"/>
    </row>
    <row r="104" spans="2:3">
      <c r="B104" s="251">
        <f ca="1" t="shared" si="7"/>
        <v>44204</v>
      </c>
      <c r="C104" s="255"/>
    </row>
    <row r="105" spans="2:3">
      <c r="B105" s="251">
        <f ca="1" t="shared" si="7"/>
        <v>44203</v>
      </c>
      <c r="C105" s="255"/>
    </row>
    <row r="106" spans="2:3">
      <c r="B106" s="251">
        <f ca="1" t="shared" si="7"/>
        <v>44202</v>
      </c>
      <c r="C106" s="255"/>
    </row>
    <row r="107" spans="2:3">
      <c r="B107" s="251">
        <f ca="1" t="shared" si="7"/>
        <v>44201</v>
      </c>
      <c r="C107" s="255"/>
    </row>
    <row r="108" spans="2:3">
      <c r="B108" s="251">
        <f ca="1" t="shared" ref="B108:B123" si="8">B107-1</f>
        <v>44200</v>
      </c>
      <c r="C108" s="255"/>
    </row>
    <row r="109" spans="2:3">
      <c r="B109" s="251">
        <f ca="1" t="shared" si="8"/>
        <v>44199</v>
      </c>
      <c r="C109" s="255"/>
    </row>
    <row r="110" spans="2:3">
      <c r="B110" s="251">
        <f ca="1" t="shared" si="8"/>
        <v>44198</v>
      </c>
      <c r="C110" s="255"/>
    </row>
    <row r="111" spans="2:3">
      <c r="B111" s="251">
        <f ca="1" t="shared" si="8"/>
        <v>44197</v>
      </c>
      <c r="C111" s="255"/>
    </row>
    <row r="112" spans="2:3">
      <c r="B112" s="251">
        <f ca="1" t="shared" si="8"/>
        <v>44196</v>
      </c>
      <c r="C112" s="255"/>
    </row>
    <row r="113" spans="2:3">
      <c r="B113" s="251">
        <f ca="1" t="shared" si="8"/>
        <v>44195</v>
      </c>
      <c r="C113" s="255"/>
    </row>
    <row r="114" spans="2:3">
      <c r="B114" s="251">
        <f ca="1" t="shared" si="8"/>
        <v>44194</v>
      </c>
      <c r="C114" s="255"/>
    </row>
    <row r="115" spans="2:3">
      <c r="B115" s="251">
        <f ca="1" t="shared" si="8"/>
        <v>44193</v>
      </c>
      <c r="C115" s="255"/>
    </row>
    <row r="116" spans="2:3">
      <c r="B116" s="251">
        <f ca="1" t="shared" si="8"/>
        <v>44192</v>
      </c>
      <c r="C116" s="255"/>
    </row>
    <row r="117" spans="2:3">
      <c r="B117" s="251">
        <f ca="1" t="shared" si="8"/>
        <v>44191</v>
      </c>
      <c r="C117" s="255"/>
    </row>
    <row r="118" spans="2:3">
      <c r="B118" s="251">
        <f ca="1" t="shared" si="8"/>
        <v>44190</v>
      </c>
      <c r="C118" s="255"/>
    </row>
    <row r="119" spans="2:3">
      <c r="B119" s="251">
        <f ca="1" t="shared" si="8"/>
        <v>44189</v>
      </c>
      <c r="C119" s="255"/>
    </row>
    <row r="120" spans="2:3">
      <c r="B120" s="251">
        <f ca="1" t="shared" si="8"/>
        <v>44188</v>
      </c>
      <c r="C120" s="255"/>
    </row>
    <row r="121" spans="2:3">
      <c r="B121" s="251">
        <f ca="1" t="shared" si="8"/>
        <v>44187</v>
      </c>
      <c r="C121" s="255"/>
    </row>
    <row r="122" spans="2:3">
      <c r="B122" s="251">
        <f ca="1" t="shared" si="8"/>
        <v>44186</v>
      </c>
      <c r="C122" s="255"/>
    </row>
    <row r="123" spans="2:3">
      <c r="B123" s="251">
        <f ca="1" t="shared" si="8"/>
        <v>44185</v>
      </c>
      <c r="C123" s="255"/>
    </row>
    <row r="124" spans="2:3">
      <c r="B124" s="251">
        <f ca="1" t="shared" ref="B124:B139" si="9">B123-1</f>
        <v>44184</v>
      </c>
      <c r="C124" s="255"/>
    </row>
    <row r="125" spans="2:3">
      <c r="B125" s="251">
        <f ca="1" t="shared" si="9"/>
        <v>44183</v>
      </c>
      <c r="C125" s="255"/>
    </row>
    <row r="126" spans="2:3">
      <c r="B126" s="251">
        <f ca="1" t="shared" si="9"/>
        <v>44182</v>
      </c>
      <c r="C126" s="255"/>
    </row>
    <row r="127" spans="2:3">
      <c r="B127" s="251">
        <f ca="1" t="shared" si="9"/>
        <v>44181</v>
      </c>
      <c r="C127" s="255"/>
    </row>
    <row r="128" spans="2:3">
      <c r="B128" s="251">
        <f ca="1" t="shared" si="9"/>
        <v>44180</v>
      </c>
      <c r="C128" s="255"/>
    </row>
    <row r="129" spans="2:3">
      <c r="B129" s="251">
        <f ca="1" t="shared" si="9"/>
        <v>44179</v>
      </c>
      <c r="C129" s="255"/>
    </row>
    <row r="130" spans="2:3">
      <c r="B130" s="251">
        <f ca="1" t="shared" si="9"/>
        <v>44178</v>
      </c>
      <c r="C130" s="255"/>
    </row>
    <row r="131" spans="2:3">
      <c r="B131" s="251">
        <f ca="1" t="shared" si="9"/>
        <v>44177</v>
      </c>
      <c r="C131" s="255"/>
    </row>
    <row r="132" spans="2:3">
      <c r="B132" s="251">
        <f ca="1" t="shared" si="9"/>
        <v>44176</v>
      </c>
      <c r="C132" s="255"/>
    </row>
    <row r="133" spans="2:3">
      <c r="B133" s="251">
        <f ca="1" t="shared" si="9"/>
        <v>44175</v>
      </c>
      <c r="C133" s="255"/>
    </row>
    <row r="134" spans="2:3">
      <c r="B134" s="251">
        <f ca="1" t="shared" si="9"/>
        <v>44174</v>
      </c>
      <c r="C134" s="255"/>
    </row>
    <row r="135" spans="2:3">
      <c r="B135" s="251">
        <f ca="1" t="shared" si="9"/>
        <v>44173</v>
      </c>
      <c r="C135" s="255"/>
    </row>
    <row r="136" spans="2:3">
      <c r="B136" s="251">
        <f ca="1" t="shared" si="9"/>
        <v>44172</v>
      </c>
      <c r="C136" s="255"/>
    </row>
    <row r="137" spans="2:3">
      <c r="B137" s="251">
        <f ca="1" t="shared" si="9"/>
        <v>44171</v>
      </c>
      <c r="C137" s="255"/>
    </row>
    <row r="138" spans="2:3">
      <c r="B138" s="251">
        <f ca="1" t="shared" si="9"/>
        <v>44170</v>
      </c>
      <c r="C138" s="255"/>
    </row>
    <row r="139" spans="2:3">
      <c r="B139" s="251">
        <f ca="1" t="shared" si="9"/>
        <v>44169</v>
      </c>
      <c r="C139" s="255"/>
    </row>
    <row r="140" spans="2:3">
      <c r="B140" s="251">
        <f ca="1" t="shared" ref="B140:B155" si="10">B139-1</f>
        <v>44168</v>
      </c>
      <c r="C140" s="255"/>
    </row>
    <row r="141" spans="2:3">
      <c r="B141" s="251">
        <f ca="1" t="shared" si="10"/>
        <v>44167</v>
      </c>
      <c r="C141" s="255"/>
    </row>
    <row r="142" spans="2:3">
      <c r="B142" s="251">
        <f ca="1" t="shared" si="10"/>
        <v>44166</v>
      </c>
      <c r="C142" s="255"/>
    </row>
    <row r="143" spans="2:3">
      <c r="B143" s="251">
        <f ca="1" t="shared" si="10"/>
        <v>44165</v>
      </c>
      <c r="C143" s="255"/>
    </row>
    <row r="144" spans="2:3">
      <c r="B144" s="251">
        <f ca="1" t="shared" si="10"/>
        <v>44164</v>
      </c>
      <c r="C144" s="255"/>
    </row>
    <row r="145" spans="2:3">
      <c r="B145" s="251">
        <f ca="1" t="shared" si="10"/>
        <v>44163</v>
      </c>
      <c r="C145" s="255"/>
    </row>
    <row r="146" spans="2:3">
      <c r="B146" s="251">
        <f ca="1" t="shared" si="10"/>
        <v>44162</v>
      </c>
      <c r="C146" s="255"/>
    </row>
    <row r="147" spans="2:3">
      <c r="B147" s="251">
        <f ca="1" t="shared" si="10"/>
        <v>44161</v>
      </c>
      <c r="C147" s="255"/>
    </row>
    <row r="148" spans="2:3">
      <c r="B148" s="251">
        <f ca="1" t="shared" si="10"/>
        <v>44160</v>
      </c>
      <c r="C148" s="255"/>
    </row>
    <row r="149" spans="2:3">
      <c r="B149" s="251">
        <f ca="1" t="shared" si="10"/>
        <v>44159</v>
      </c>
      <c r="C149" s="255"/>
    </row>
    <row r="150" spans="2:3">
      <c r="B150" s="251">
        <f ca="1" t="shared" si="10"/>
        <v>44158</v>
      </c>
      <c r="C150" s="255"/>
    </row>
    <row r="151" spans="2:3">
      <c r="B151" s="251">
        <f ca="1" t="shared" si="10"/>
        <v>44157</v>
      </c>
      <c r="C151" s="255"/>
    </row>
    <row r="152" spans="2:3">
      <c r="B152" s="251">
        <f ca="1" t="shared" si="10"/>
        <v>44156</v>
      </c>
      <c r="C152" s="255"/>
    </row>
    <row r="153" spans="2:3">
      <c r="B153" s="251">
        <f ca="1" t="shared" si="10"/>
        <v>44155</v>
      </c>
      <c r="C153" s="255"/>
    </row>
    <row r="154" spans="2:3">
      <c r="B154" s="251">
        <f ca="1" t="shared" si="10"/>
        <v>44154</v>
      </c>
      <c r="C154" s="255"/>
    </row>
    <row r="155" spans="2:3">
      <c r="B155" s="251">
        <f ca="1" t="shared" si="10"/>
        <v>44153</v>
      </c>
      <c r="C155" s="255"/>
    </row>
    <row r="156" spans="2:3">
      <c r="B156" s="251">
        <f ca="1" t="shared" ref="B156:B171" si="11">B155-1</f>
        <v>44152</v>
      </c>
      <c r="C156" s="255"/>
    </row>
    <row r="157" spans="2:3">
      <c r="B157" s="251">
        <f ca="1" t="shared" si="11"/>
        <v>44151</v>
      </c>
      <c r="C157" s="255"/>
    </row>
    <row r="158" spans="2:3">
      <c r="B158" s="251">
        <f ca="1" t="shared" si="11"/>
        <v>44150</v>
      </c>
      <c r="C158" s="255"/>
    </row>
    <row r="159" spans="2:3">
      <c r="B159" s="251">
        <f ca="1" t="shared" si="11"/>
        <v>44149</v>
      </c>
      <c r="C159" s="255"/>
    </row>
    <row r="160" spans="2:3">
      <c r="B160" s="251">
        <f ca="1" t="shared" si="11"/>
        <v>44148</v>
      </c>
      <c r="C160" s="255"/>
    </row>
    <row r="161" spans="2:3">
      <c r="B161" s="251">
        <f ca="1" t="shared" si="11"/>
        <v>44147</v>
      </c>
      <c r="C161" s="255"/>
    </row>
    <row r="162" spans="2:3">
      <c r="B162" s="251">
        <f ca="1" t="shared" si="11"/>
        <v>44146</v>
      </c>
      <c r="C162" s="255"/>
    </row>
    <row r="163" spans="2:3">
      <c r="B163" s="251">
        <f ca="1" t="shared" si="11"/>
        <v>44145</v>
      </c>
      <c r="C163" s="255"/>
    </row>
    <row r="164" spans="2:3">
      <c r="B164" s="251">
        <f ca="1" t="shared" si="11"/>
        <v>44144</v>
      </c>
      <c r="C164" s="255"/>
    </row>
    <row r="165" spans="2:3">
      <c r="B165" s="251">
        <f ca="1" t="shared" si="11"/>
        <v>44143</v>
      </c>
      <c r="C165" s="255"/>
    </row>
    <row r="166" spans="2:3">
      <c r="B166" s="251">
        <f ca="1" t="shared" si="11"/>
        <v>44142</v>
      </c>
      <c r="C166" s="255"/>
    </row>
    <row r="167" spans="2:3">
      <c r="B167" s="251">
        <f ca="1" t="shared" si="11"/>
        <v>44141</v>
      </c>
      <c r="C167" s="255"/>
    </row>
    <row r="168" spans="2:3">
      <c r="B168" s="251">
        <f ca="1" t="shared" si="11"/>
        <v>44140</v>
      </c>
      <c r="C168" s="255"/>
    </row>
    <row r="169" spans="2:3">
      <c r="B169" s="251">
        <f ca="1" t="shared" si="11"/>
        <v>44139</v>
      </c>
      <c r="C169" s="255"/>
    </row>
    <row r="170" spans="2:3">
      <c r="B170" s="251">
        <f ca="1" t="shared" si="11"/>
        <v>44138</v>
      </c>
      <c r="C170" s="255"/>
    </row>
    <row r="171" spans="2:3">
      <c r="B171" s="251">
        <f ca="1" t="shared" si="11"/>
        <v>44137</v>
      </c>
      <c r="C171" s="255"/>
    </row>
    <row r="172" spans="2:3">
      <c r="B172" s="251">
        <f ca="1" t="shared" ref="B172:B187" si="12">B171-1</f>
        <v>44136</v>
      </c>
      <c r="C172" s="255"/>
    </row>
    <row r="173" spans="2:3">
      <c r="B173" s="251">
        <f ca="1" t="shared" si="12"/>
        <v>44135</v>
      </c>
      <c r="C173" s="255"/>
    </row>
    <row r="174" spans="2:3">
      <c r="B174" s="251">
        <f ca="1" t="shared" si="12"/>
        <v>44134</v>
      </c>
      <c r="C174" s="255"/>
    </row>
    <row r="175" spans="2:3">
      <c r="B175" s="251">
        <f ca="1" t="shared" si="12"/>
        <v>44133</v>
      </c>
      <c r="C175" s="255"/>
    </row>
    <row r="176" spans="2:3">
      <c r="B176" s="251">
        <f ca="1" t="shared" si="12"/>
        <v>44132</v>
      </c>
      <c r="C176" s="255"/>
    </row>
    <row r="177" spans="2:3">
      <c r="B177" s="251">
        <f ca="1" t="shared" si="12"/>
        <v>44131</v>
      </c>
      <c r="C177" s="255"/>
    </row>
    <row r="178" spans="2:3">
      <c r="B178" s="251">
        <f ca="1" t="shared" si="12"/>
        <v>44130</v>
      </c>
      <c r="C178" s="255"/>
    </row>
    <row r="179" spans="2:3">
      <c r="B179" s="251">
        <f ca="1" t="shared" si="12"/>
        <v>44129</v>
      </c>
      <c r="C179" s="255"/>
    </row>
    <row r="180" spans="2:3">
      <c r="B180" s="251">
        <f ca="1" t="shared" si="12"/>
        <v>44128</v>
      </c>
      <c r="C180" s="255"/>
    </row>
    <row r="181" spans="2:3">
      <c r="B181" s="251">
        <f ca="1" t="shared" si="12"/>
        <v>44127</v>
      </c>
      <c r="C181" s="255"/>
    </row>
    <row r="182" spans="2:3">
      <c r="B182" s="251">
        <f ca="1" t="shared" si="12"/>
        <v>44126</v>
      </c>
      <c r="C182" s="255"/>
    </row>
    <row r="183" spans="2:3">
      <c r="B183" s="251">
        <f ca="1" t="shared" si="12"/>
        <v>44125</v>
      </c>
      <c r="C183" s="255"/>
    </row>
    <row r="184" spans="2:3">
      <c r="B184" s="251">
        <f ca="1" t="shared" si="12"/>
        <v>44124</v>
      </c>
      <c r="C184" s="255"/>
    </row>
    <row r="185" spans="2:3">
      <c r="B185" s="251">
        <f ca="1" t="shared" si="12"/>
        <v>44123</v>
      </c>
      <c r="C185" s="255"/>
    </row>
    <row r="186" spans="2:3">
      <c r="B186" s="251">
        <f ca="1" t="shared" si="12"/>
        <v>44122</v>
      </c>
      <c r="C186" s="255"/>
    </row>
    <row r="187" spans="2:3">
      <c r="B187" s="251">
        <f ca="1" t="shared" si="12"/>
        <v>44121</v>
      </c>
      <c r="C187" s="255"/>
    </row>
    <row r="188" spans="2:3">
      <c r="B188" s="251">
        <f ca="1" t="shared" ref="B188:B203" si="13">B187-1</f>
        <v>44120</v>
      </c>
      <c r="C188" s="255"/>
    </row>
    <row r="189" spans="2:3">
      <c r="B189" s="251">
        <f ca="1" t="shared" si="13"/>
        <v>44119</v>
      </c>
      <c r="C189" s="255"/>
    </row>
    <row r="190" spans="2:3">
      <c r="B190" s="251">
        <f ca="1" t="shared" si="13"/>
        <v>44118</v>
      </c>
      <c r="C190" s="255"/>
    </row>
    <row r="191" spans="2:3">
      <c r="B191" s="251">
        <f ca="1" t="shared" si="13"/>
        <v>44117</v>
      </c>
      <c r="C191" s="255"/>
    </row>
    <row r="192" spans="2:3">
      <c r="B192" s="251">
        <f ca="1" t="shared" si="13"/>
        <v>44116</v>
      </c>
      <c r="C192" s="255"/>
    </row>
    <row r="193" spans="2:3">
      <c r="B193" s="251">
        <f ca="1" t="shared" si="13"/>
        <v>44115</v>
      </c>
      <c r="C193" s="255"/>
    </row>
    <row r="194" spans="2:3">
      <c r="B194" s="251">
        <f ca="1" t="shared" si="13"/>
        <v>44114</v>
      </c>
      <c r="C194" s="255"/>
    </row>
    <row r="195" spans="2:3">
      <c r="B195" s="251">
        <f ca="1" t="shared" si="13"/>
        <v>44113</v>
      </c>
      <c r="C195" s="255"/>
    </row>
    <row r="196" spans="2:3">
      <c r="B196" s="251">
        <f ca="1" t="shared" si="13"/>
        <v>44112</v>
      </c>
      <c r="C196" s="255"/>
    </row>
    <row r="197" spans="2:3">
      <c r="B197" s="251">
        <f ca="1" t="shared" si="13"/>
        <v>44111</v>
      </c>
      <c r="C197" s="255"/>
    </row>
    <row r="198" spans="2:3">
      <c r="B198" s="251">
        <f ca="1" t="shared" si="13"/>
        <v>44110</v>
      </c>
      <c r="C198" s="255"/>
    </row>
    <row r="199" spans="2:3">
      <c r="B199" s="251">
        <f ca="1" t="shared" si="13"/>
        <v>44109</v>
      </c>
      <c r="C199" s="255"/>
    </row>
    <row r="200" spans="2:3">
      <c r="B200" s="251">
        <f ca="1" t="shared" si="13"/>
        <v>44108</v>
      </c>
      <c r="C200" s="255"/>
    </row>
    <row r="201" spans="2:3">
      <c r="B201" s="251">
        <f ca="1" t="shared" si="13"/>
        <v>44107</v>
      </c>
      <c r="C201" s="255"/>
    </row>
    <row r="202" spans="2:3">
      <c r="B202" s="251">
        <f ca="1" t="shared" si="13"/>
        <v>44106</v>
      </c>
      <c r="C202" s="255"/>
    </row>
    <row r="203" spans="2:3">
      <c r="B203" s="251">
        <f ca="1" t="shared" si="13"/>
        <v>44105</v>
      </c>
      <c r="C203" s="255"/>
    </row>
    <row r="204" spans="2:3">
      <c r="B204" s="251">
        <f ca="1" t="shared" ref="B204:B219" si="14">B203-1</f>
        <v>44104</v>
      </c>
      <c r="C204" s="255"/>
    </row>
    <row r="205" spans="2:3">
      <c r="B205" s="251">
        <f ca="1" t="shared" si="14"/>
        <v>44103</v>
      </c>
      <c r="C205" s="255"/>
    </row>
    <row r="206" spans="2:3">
      <c r="B206" s="251">
        <f ca="1" t="shared" si="14"/>
        <v>44102</v>
      </c>
      <c r="C206" s="255"/>
    </row>
    <row r="207" spans="2:3">
      <c r="B207" s="251">
        <f ca="1" t="shared" si="14"/>
        <v>44101</v>
      </c>
      <c r="C207" s="255"/>
    </row>
    <row r="208" spans="2:3">
      <c r="B208" s="251">
        <f ca="1" t="shared" si="14"/>
        <v>44100</v>
      </c>
      <c r="C208" s="255"/>
    </row>
    <row r="209" spans="2:3">
      <c r="B209" s="251">
        <f ca="1" t="shared" si="14"/>
        <v>44099</v>
      </c>
      <c r="C209" s="255"/>
    </row>
    <row r="210" spans="2:3">
      <c r="B210" s="251">
        <f ca="1" t="shared" si="14"/>
        <v>44098</v>
      </c>
      <c r="C210" s="255"/>
    </row>
    <row r="211" spans="2:3">
      <c r="B211" s="251">
        <f ca="1" t="shared" si="14"/>
        <v>44097</v>
      </c>
      <c r="C211" s="255"/>
    </row>
    <row r="212" spans="2:3">
      <c r="B212" s="251">
        <f ca="1" t="shared" si="14"/>
        <v>44096</v>
      </c>
      <c r="C212" s="255"/>
    </row>
    <row r="213" spans="2:3">
      <c r="B213" s="251">
        <f ca="1" t="shared" si="14"/>
        <v>44095</v>
      </c>
      <c r="C213" s="255"/>
    </row>
    <row r="214" spans="2:3">
      <c r="B214" s="251">
        <f ca="1" t="shared" si="14"/>
        <v>44094</v>
      </c>
      <c r="C214" s="255"/>
    </row>
    <row r="215" spans="2:3">
      <c r="B215" s="251">
        <f ca="1" t="shared" si="14"/>
        <v>44093</v>
      </c>
      <c r="C215" s="255"/>
    </row>
    <row r="216" spans="2:3">
      <c r="B216" s="251">
        <f ca="1" t="shared" si="14"/>
        <v>44092</v>
      </c>
      <c r="C216" s="255"/>
    </row>
    <row r="217" spans="2:3">
      <c r="B217" s="251">
        <f ca="1" t="shared" si="14"/>
        <v>44091</v>
      </c>
      <c r="C217" s="255"/>
    </row>
    <row r="218" spans="2:3">
      <c r="B218" s="251">
        <f ca="1" t="shared" si="14"/>
        <v>44090</v>
      </c>
      <c r="C218" s="255"/>
    </row>
    <row r="219" spans="2:3">
      <c r="B219" s="251">
        <f ca="1" t="shared" si="14"/>
        <v>44089</v>
      </c>
      <c r="C219" s="255"/>
    </row>
    <row r="220" spans="2:3">
      <c r="B220" s="251">
        <f ca="1" t="shared" ref="B220:B235" si="15">B219-1</f>
        <v>44088</v>
      </c>
      <c r="C220" s="255"/>
    </row>
    <row r="221" spans="2:3">
      <c r="B221" s="251">
        <f ca="1" t="shared" si="15"/>
        <v>44087</v>
      </c>
      <c r="C221" s="255"/>
    </row>
    <row r="222" spans="2:3">
      <c r="B222" s="251">
        <f ca="1" t="shared" si="15"/>
        <v>44086</v>
      </c>
      <c r="C222" s="255"/>
    </row>
    <row r="223" spans="2:3">
      <c r="B223" s="251">
        <f ca="1" t="shared" si="15"/>
        <v>44085</v>
      </c>
      <c r="C223" s="255"/>
    </row>
    <row r="224" spans="2:3">
      <c r="B224" s="251">
        <f ca="1" t="shared" si="15"/>
        <v>44084</v>
      </c>
      <c r="C224" s="255"/>
    </row>
    <row r="225" spans="2:3">
      <c r="B225" s="251">
        <f ca="1" t="shared" si="15"/>
        <v>44083</v>
      </c>
      <c r="C225" s="255"/>
    </row>
    <row r="226" spans="2:3">
      <c r="B226" s="251">
        <f ca="1" t="shared" si="15"/>
        <v>44082</v>
      </c>
      <c r="C226" s="255"/>
    </row>
    <row r="227" spans="2:3">
      <c r="B227" s="251">
        <f ca="1" t="shared" si="15"/>
        <v>44081</v>
      </c>
      <c r="C227" s="255"/>
    </row>
    <row r="228" spans="2:3">
      <c r="B228" s="251">
        <f ca="1" t="shared" si="15"/>
        <v>44080</v>
      </c>
      <c r="C228" s="255"/>
    </row>
    <row r="229" spans="2:3">
      <c r="B229" s="251">
        <f ca="1" t="shared" si="15"/>
        <v>44079</v>
      </c>
      <c r="C229" s="255"/>
    </row>
    <row r="230" spans="2:3">
      <c r="B230" s="251">
        <f ca="1" t="shared" si="15"/>
        <v>44078</v>
      </c>
      <c r="C230" s="255"/>
    </row>
    <row r="231" spans="2:3">
      <c r="B231" s="251">
        <f ca="1" t="shared" si="15"/>
        <v>44077</v>
      </c>
      <c r="C231" s="255"/>
    </row>
    <row r="232" spans="2:3">
      <c r="B232" s="251">
        <f ca="1" t="shared" si="15"/>
        <v>44076</v>
      </c>
      <c r="C232" s="255"/>
    </row>
    <row r="233" spans="2:3">
      <c r="B233" s="251">
        <f ca="1" t="shared" si="15"/>
        <v>44075</v>
      </c>
      <c r="C233" s="255"/>
    </row>
    <row r="234" spans="2:3">
      <c r="B234" s="251">
        <f ca="1" t="shared" si="15"/>
        <v>44074</v>
      </c>
      <c r="C234" s="255"/>
    </row>
    <row r="235" spans="2:3">
      <c r="B235" s="251">
        <f ca="1" t="shared" si="15"/>
        <v>44073</v>
      </c>
      <c r="C235" s="255"/>
    </row>
    <row r="236" spans="2:3">
      <c r="B236" s="251">
        <f ca="1" t="shared" ref="B236:B251" si="16">B235-1</f>
        <v>44072</v>
      </c>
      <c r="C236" s="255"/>
    </row>
    <row r="237" spans="2:3">
      <c r="B237" s="251">
        <f ca="1" t="shared" si="16"/>
        <v>44071</v>
      </c>
      <c r="C237" s="255"/>
    </row>
    <row r="238" spans="2:3">
      <c r="B238" s="251">
        <f ca="1" t="shared" si="16"/>
        <v>44070</v>
      </c>
      <c r="C238" s="255"/>
    </row>
    <row r="239" spans="2:3">
      <c r="B239" s="251">
        <f ca="1" t="shared" si="16"/>
        <v>44069</v>
      </c>
      <c r="C239" s="255"/>
    </row>
    <row r="240" spans="2:3">
      <c r="B240" s="251">
        <f ca="1" t="shared" si="16"/>
        <v>44068</v>
      </c>
      <c r="C240" s="255"/>
    </row>
    <row r="241" spans="2:3">
      <c r="B241" s="251">
        <f ca="1" t="shared" si="16"/>
        <v>44067</v>
      </c>
      <c r="C241" s="255"/>
    </row>
    <row r="242" spans="2:3">
      <c r="B242" s="251">
        <f ca="1" t="shared" si="16"/>
        <v>44066</v>
      </c>
      <c r="C242" s="255"/>
    </row>
    <row r="243" spans="2:3">
      <c r="B243" s="251">
        <f ca="1" t="shared" si="16"/>
        <v>44065</v>
      </c>
      <c r="C243" s="255"/>
    </row>
    <row r="244" spans="2:3">
      <c r="B244" s="251">
        <f ca="1" t="shared" si="16"/>
        <v>44064</v>
      </c>
      <c r="C244" s="255"/>
    </row>
    <row r="245" spans="2:3">
      <c r="B245" s="251">
        <f ca="1" t="shared" si="16"/>
        <v>44063</v>
      </c>
      <c r="C245" s="255"/>
    </row>
    <row r="246" spans="2:3">
      <c r="B246" s="251">
        <f ca="1" t="shared" si="16"/>
        <v>44062</v>
      </c>
      <c r="C246" s="255"/>
    </row>
    <row r="247" spans="2:3">
      <c r="B247" s="251">
        <f ca="1" t="shared" si="16"/>
        <v>44061</v>
      </c>
      <c r="C247" s="255"/>
    </row>
    <row r="248" spans="2:3">
      <c r="B248" s="251">
        <f ca="1" t="shared" si="16"/>
        <v>44060</v>
      </c>
      <c r="C248" s="255"/>
    </row>
    <row r="249" spans="2:3">
      <c r="B249" s="251">
        <f ca="1" t="shared" si="16"/>
        <v>44059</v>
      </c>
      <c r="C249" s="255"/>
    </row>
    <row r="250" spans="2:3">
      <c r="B250" s="251">
        <f ca="1" t="shared" si="16"/>
        <v>44058</v>
      </c>
      <c r="C250" s="255"/>
    </row>
    <row r="251" spans="2:3">
      <c r="B251" s="251">
        <f ca="1" t="shared" si="16"/>
        <v>44057</v>
      </c>
      <c r="C251" s="255"/>
    </row>
    <row r="252" spans="2:3">
      <c r="B252" s="251">
        <f ca="1" t="shared" ref="B252:B267" si="17">B251-1</f>
        <v>44056</v>
      </c>
      <c r="C252" s="255"/>
    </row>
    <row r="253" spans="2:3">
      <c r="B253" s="251">
        <f ca="1" t="shared" si="17"/>
        <v>44055</v>
      </c>
      <c r="C253" s="255"/>
    </row>
    <row r="254" spans="2:3">
      <c r="B254" s="251">
        <f ca="1" t="shared" si="17"/>
        <v>44054</v>
      </c>
      <c r="C254" s="255"/>
    </row>
    <row r="255" spans="2:3">
      <c r="B255" s="251">
        <f ca="1" t="shared" si="17"/>
        <v>44053</v>
      </c>
      <c r="C255" s="255"/>
    </row>
    <row r="256" spans="2:3">
      <c r="B256" s="251">
        <f ca="1" t="shared" si="17"/>
        <v>44052</v>
      </c>
      <c r="C256" s="255"/>
    </row>
    <row r="257" spans="2:3">
      <c r="B257" s="251">
        <f ca="1" t="shared" si="17"/>
        <v>44051</v>
      </c>
      <c r="C257" s="255"/>
    </row>
    <row r="258" spans="2:3">
      <c r="B258" s="251">
        <f ca="1" t="shared" si="17"/>
        <v>44050</v>
      </c>
      <c r="C258" s="255"/>
    </row>
    <row r="259" spans="2:3">
      <c r="B259" s="251">
        <f ca="1" t="shared" si="17"/>
        <v>44049</v>
      </c>
      <c r="C259" s="255"/>
    </row>
    <row r="260" spans="2:3">
      <c r="B260" s="251">
        <f ca="1" t="shared" si="17"/>
        <v>44048</v>
      </c>
      <c r="C260" s="255"/>
    </row>
    <row r="261" spans="2:3">
      <c r="B261" s="251">
        <f ca="1" t="shared" si="17"/>
        <v>44047</v>
      </c>
      <c r="C261" s="255"/>
    </row>
    <row r="262" spans="2:3">
      <c r="B262" s="251">
        <f ca="1" t="shared" si="17"/>
        <v>44046</v>
      </c>
      <c r="C262" s="255"/>
    </row>
    <row r="263" spans="2:3">
      <c r="B263" s="251">
        <f ca="1" t="shared" si="17"/>
        <v>44045</v>
      </c>
      <c r="C263" s="255"/>
    </row>
    <row r="264" spans="2:3">
      <c r="B264" s="251">
        <f ca="1" t="shared" si="17"/>
        <v>44044</v>
      </c>
      <c r="C264" s="255"/>
    </row>
    <row r="265" spans="2:3">
      <c r="B265" s="251">
        <f ca="1" t="shared" si="17"/>
        <v>44043</v>
      </c>
      <c r="C265" s="255"/>
    </row>
    <row r="266" spans="2:3">
      <c r="B266" s="251">
        <f ca="1" t="shared" si="17"/>
        <v>44042</v>
      </c>
      <c r="C266" s="255"/>
    </row>
    <row r="267" spans="2:3">
      <c r="B267" s="251">
        <f ca="1" t="shared" si="17"/>
        <v>44041</v>
      </c>
      <c r="C267" s="255"/>
    </row>
    <row r="268" spans="2:3">
      <c r="B268" s="251">
        <f ca="1" t="shared" ref="B268:B283" si="18">B267-1</f>
        <v>44040</v>
      </c>
      <c r="C268" s="255"/>
    </row>
    <row r="269" spans="2:3">
      <c r="B269" s="251">
        <f ca="1" t="shared" si="18"/>
        <v>44039</v>
      </c>
      <c r="C269" s="255"/>
    </row>
    <row r="270" spans="2:3">
      <c r="B270" s="251">
        <f ca="1" t="shared" si="18"/>
        <v>44038</v>
      </c>
      <c r="C270" s="255"/>
    </row>
    <row r="271" spans="2:3">
      <c r="B271" s="251">
        <f ca="1" t="shared" si="18"/>
        <v>44037</v>
      </c>
      <c r="C271" s="255"/>
    </row>
    <row r="272" spans="2:3">
      <c r="B272" s="251">
        <f ca="1" t="shared" si="18"/>
        <v>44036</v>
      </c>
      <c r="C272" s="255"/>
    </row>
    <row r="273" spans="2:3">
      <c r="B273" s="251">
        <f ca="1" t="shared" si="18"/>
        <v>44035</v>
      </c>
      <c r="C273" s="255"/>
    </row>
    <row r="274" spans="2:3">
      <c r="B274" s="251">
        <f ca="1" t="shared" si="18"/>
        <v>44034</v>
      </c>
      <c r="C274" s="255"/>
    </row>
    <row r="275" spans="2:3">
      <c r="B275" s="251">
        <f ca="1" t="shared" si="18"/>
        <v>44033</v>
      </c>
      <c r="C275" s="255"/>
    </row>
    <row r="276" spans="2:3">
      <c r="B276" s="251">
        <f ca="1" t="shared" si="18"/>
        <v>44032</v>
      </c>
      <c r="C276" s="255"/>
    </row>
    <row r="277" spans="2:3">
      <c r="B277" s="251">
        <f ca="1" t="shared" si="18"/>
        <v>44031</v>
      </c>
      <c r="C277" s="255"/>
    </row>
    <row r="278" spans="2:3">
      <c r="B278" s="251">
        <f ca="1" t="shared" si="18"/>
        <v>44030</v>
      </c>
      <c r="C278" s="255"/>
    </row>
    <row r="279" spans="2:3">
      <c r="B279" s="251">
        <f ca="1" t="shared" si="18"/>
        <v>44029</v>
      </c>
      <c r="C279" s="255"/>
    </row>
    <row r="280" spans="2:3">
      <c r="B280" s="251">
        <f ca="1" t="shared" si="18"/>
        <v>44028</v>
      </c>
      <c r="C280" s="255"/>
    </row>
    <row r="281" spans="2:3">
      <c r="B281" s="251">
        <f ca="1" t="shared" si="18"/>
        <v>44027</v>
      </c>
      <c r="C281" s="255"/>
    </row>
    <row r="282" spans="2:3">
      <c r="B282" s="251">
        <f ca="1" t="shared" si="18"/>
        <v>44026</v>
      </c>
      <c r="C282" s="255"/>
    </row>
    <row r="283" spans="2:3">
      <c r="B283" s="251">
        <f ca="1" t="shared" si="18"/>
        <v>44025</v>
      </c>
      <c r="C283" s="255"/>
    </row>
    <row r="284" spans="2:3">
      <c r="B284" s="251">
        <f ca="1" t="shared" ref="B284:B299" si="19">B283-1</f>
        <v>44024</v>
      </c>
      <c r="C284" s="255"/>
    </row>
    <row r="285" spans="2:3">
      <c r="B285" s="251">
        <f ca="1" t="shared" si="19"/>
        <v>44023</v>
      </c>
      <c r="C285" s="255"/>
    </row>
    <row r="286" spans="2:3">
      <c r="B286" s="251">
        <f ca="1" t="shared" si="19"/>
        <v>44022</v>
      </c>
      <c r="C286" s="255"/>
    </row>
    <row r="287" spans="2:3">
      <c r="B287" s="251">
        <f ca="1" t="shared" si="19"/>
        <v>44021</v>
      </c>
      <c r="C287" s="255"/>
    </row>
    <row r="288" spans="2:3">
      <c r="B288" s="251">
        <f ca="1" t="shared" si="19"/>
        <v>44020</v>
      </c>
      <c r="C288" s="255"/>
    </row>
    <row r="289" spans="2:3">
      <c r="B289" s="251">
        <f ca="1" t="shared" si="19"/>
        <v>44019</v>
      </c>
      <c r="C289" s="255"/>
    </row>
    <row r="290" spans="2:3">
      <c r="B290" s="251">
        <f ca="1" t="shared" si="19"/>
        <v>44018</v>
      </c>
      <c r="C290" s="255"/>
    </row>
    <row r="291" spans="2:3">
      <c r="B291" s="251">
        <f ca="1" t="shared" si="19"/>
        <v>44017</v>
      </c>
      <c r="C291" s="255"/>
    </row>
    <row r="292" spans="2:3">
      <c r="B292" s="251">
        <f ca="1" t="shared" si="19"/>
        <v>44016</v>
      </c>
      <c r="C292" s="255"/>
    </row>
    <row r="293" spans="2:3">
      <c r="B293" s="251">
        <f ca="1" t="shared" si="19"/>
        <v>44015</v>
      </c>
      <c r="C293" s="255"/>
    </row>
    <row r="294" spans="2:3">
      <c r="B294" s="251">
        <f ca="1" t="shared" si="19"/>
        <v>44014</v>
      </c>
      <c r="C294" s="255"/>
    </row>
    <row r="295" spans="2:3">
      <c r="B295" s="251">
        <f ca="1" t="shared" si="19"/>
        <v>44013</v>
      </c>
      <c r="C295" s="255"/>
    </row>
    <row r="296" spans="2:3">
      <c r="B296" s="251">
        <f ca="1" t="shared" si="19"/>
        <v>44012</v>
      </c>
      <c r="C296" s="255"/>
    </row>
    <row r="297" spans="2:3">
      <c r="B297" s="251">
        <f ca="1" t="shared" si="19"/>
        <v>44011</v>
      </c>
      <c r="C297" s="255"/>
    </row>
    <row r="298" spans="2:3">
      <c r="B298" s="251">
        <f ca="1" t="shared" si="19"/>
        <v>44010</v>
      </c>
      <c r="C298" s="255"/>
    </row>
    <row r="299" spans="2:3">
      <c r="B299" s="251">
        <f ca="1" t="shared" si="19"/>
        <v>44009</v>
      </c>
      <c r="C299" s="255"/>
    </row>
    <row r="300" spans="2:3">
      <c r="B300" s="251">
        <f ca="1" t="shared" ref="B300:B315" si="20">B299-1</f>
        <v>44008</v>
      </c>
      <c r="C300" s="255"/>
    </row>
    <row r="301" spans="2:2">
      <c r="B301" s="251">
        <f ca="1" t="shared" si="20"/>
        <v>44007</v>
      </c>
    </row>
    <row r="302" spans="2:2">
      <c r="B302" s="251">
        <f ca="1" t="shared" si="20"/>
        <v>44006</v>
      </c>
    </row>
    <row r="303" spans="2:2">
      <c r="B303" s="251">
        <f ca="1" t="shared" si="20"/>
        <v>44005</v>
      </c>
    </row>
    <row r="304" spans="2:2">
      <c r="B304" s="251">
        <f ca="1" t="shared" si="20"/>
        <v>44004</v>
      </c>
    </row>
    <row r="305" spans="2:2">
      <c r="B305" s="251">
        <f ca="1" t="shared" si="20"/>
        <v>44003</v>
      </c>
    </row>
    <row r="306" spans="2:2">
      <c r="B306" s="251">
        <f ca="1" t="shared" si="20"/>
        <v>44002</v>
      </c>
    </row>
    <row r="307" spans="2:2">
      <c r="B307" s="251">
        <f ca="1" t="shared" si="20"/>
        <v>44001</v>
      </c>
    </row>
    <row r="308" spans="2:2">
      <c r="B308" s="251">
        <f ca="1" t="shared" si="20"/>
        <v>44000</v>
      </c>
    </row>
    <row r="309" spans="2:2">
      <c r="B309" s="251">
        <f ca="1" t="shared" si="20"/>
        <v>43999</v>
      </c>
    </row>
    <row r="310" spans="2:2">
      <c r="B310" s="251">
        <f ca="1" t="shared" si="20"/>
        <v>43998</v>
      </c>
    </row>
    <row r="311" spans="2:2">
      <c r="B311" s="251">
        <f ca="1" t="shared" si="20"/>
        <v>43997</v>
      </c>
    </row>
    <row r="312" spans="2:2">
      <c r="B312" s="251">
        <f ca="1" t="shared" si="20"/>
        <v>43996</v>
      </c>
    </row>
    <row r="313" spans="2:2">
      <c r="B313" s="251">
        <f ca="1" t="shared" si="20"/>
        <v>43995</v>
      </c>
    </row>
    <row r="314" spans="2:2">
      <c r="B314" s="251">
        <f ca="1" t="shared" si="20"/>
        <v>43994</v>
      </c>
    </row>
    <row r="315" spans="2:2">
      <c r="B315" s="251">
        <f ca="1" t="shared" si="20"/>
        <v>43993</v>
      </c>
    </row>
    <row r="316" spans="2:2">
      <c r="B316" s="251">
        <f ca="1" t="shared" ref="B316:B331" si="21">B315-1</f>
        <v>43992</v>
      </c>
    </row>
    <row r="317" spans="2:2">
      <c r="B317" s="251">
        <f ca="1" t="shared" si="21"/>
        <v>43991</v>
      </c>
    </row>
    <row r="318" spans="2:2">
      <c r="B318" s="251">
        <f ca="1" t="shared" si="21"/>
        <v>43990</v>
      </c>
    </row>
    <row r="319" spans="2:2">
      <c r="B319" s="251">
        <f ca="1" t="shared" si="21"/>
        <v>43989</v>
      </c>
    </row>
    <row r="320" spans="2:2">
      <c r="B320" s="251">
        <f ca="1" t="shared" si="21"/>
        <v>43988</v>
      </c>
    </row>
    <row r="321" spans="2:2">
      <c r="B321" s="251">
        <f ca="1" t="shared" si="21"/>
        <v>43987</v>
      </c>
    </row>
    <row r="322" spans="2:2">
      <c r="B322" s="251">
        <f ca="1" t="shared" si="21"/>
        <v>43986</v>
      </c>
    </row>
    <row r="323" spans="2:2">
      <c r="B323" s="251">
        <f ca="1" t="shared" si="21"/>
        <v>43985</v>
      </c>
    </row>
    <row r="324" spans="2:2">
      <c r="B324" s="251">
        <f ca="1" t="shared" si="21"/>
        <v>43984</v>
      </c>
    </row>
    <row r="325" spans="2:2">
      <c r="B325" s="251">
        <f ca="1" t="shared" si="21"/>
        <v>43983</v>
      </c>
    </row>
    <row r="326" spans="2:2">
      <c r="B326" s="251">
        <f ca="1" t="shared" si="21"/>
        <v>43982</v>
      </c>
    </row>
    <row r="327" spans="2:2">
      <c r="B327" s="251">
        <f ca="1" t="shared" si="21"/>
        <v>43981</v>
      </c>
    </row>
    <row r="328" spans="2:2">
      <c r="B328" s="251">
        <f ca="1" t="shared" si="21"/>
        <v>43980</v>
      </c>
    </row>
    <row r="329" spans="2:2">
      <c r="B329" s="251">
        <f ca="1" t="shared" si="21"/>
        <v>43979</v>
      </c>
    </row>
    <row r="330" spans="2:2">
      <c r="B330" s="251">
        <f ca="1" t="shared" si="21"/>
        <v>43978</v>
      </c>
    </row>
    <row r="331" spans="2:2">
      <c r="B331" s="251">
        <f ca="1" t="shared" si="21"/>
        <v>43977</v>
      </c>
    </row>
    <row r="332" spans="2:2">
      <c r="B332" s="251">
        <f ca="1" t="shared" ref="B332:B347" si="22">B331-1</f>
        <v>43976</v>
      </c>
    </row>
    <row r="333" spans="2:2">
      <c r="B333" s="251">
        <f ca="1" t="shared" si="22"/>
        <v>43975</v>
      </c>
    </row>
    <row r="334" spans="2:2">
      <c r="B334" s="251">
        <f ca="1" t="shared" si="22"/>
        <v>43974</v>
      </c>
    </row>
    <row r="335" spans="2:2">
      <c r="B335" s="251">
        <f ca="1" t="shared" si="22"/>
        <v>43973</v>
      </c>
    </row>
    <row r="336" spans="2:2">
      <c r="B336" s="251">
        <f ca="1" t="shared" si="22"/>
        <v>43972</v>
      </c>
    </row>
    <row r="337" spans="2:2">
      <c r="B337" s="251">
        <f ca="1" t="shared" si="22"/>
        <v>43971</v>
      </c>
    </row>
    <row r="338" spans="2:2">
      <c r="B338" s="251">
        <f ca="1" t="shared" si="22"/>
        <v>43970</v>
      </c>
    </row>
    <row r="339" spans="2:2">
      <c r="B339" s="251">
        <f ca="1" t="shared" si="22"/>
        <v>43969</v>
      </c>
    </row>
    <row r="340" spans="2:2">
      <c r="B340" s="251">
        <f ca="1" t="shared" si="22"/>
        <v>43968</v>
      </c>
    </row>
    <row r="341" spans="2:2">
      <c r="B341" s="251">
        <f ca="1" t="shared" si="22"/>
        <v>43967</v>
      </c>
    </row>
    <row r="342" spans="2:2">
      <c r="B342" s="251">
        <f ca="1" t="shared" si="22"/>
        <v>43966</v>
      </c>
    </row>
    <row r="343" spans="2:2">
      <c r="B343" s="251">
        <f ca="1" t="shared" si="22"/>
        <v>43965</v>
      </c>
    </row>
    <row r="344" spans="2:2">
      <c r="B344" s="251">
        <f ca="1" t="shared" si="22"/>
        <v>43964</v>
      </c>
    </row>
    <row r="345" spans="2:2">
      <c r="B345" s="251">
        <f ca="1" t="shared" si="22"/>
        <v>43963</v>
      </c>
    </row>
    <row r="346" spans="2:2">
      <c r="B346" s="251">
        <f ca="1" t="shared" si="22"/>
        <v>43962</v>
      </c>
    </row>
    <row r="347" spans="2:2">
      <c r="B347" s="251">
        <f ca="1" t="shared" si="22"/>
        <v>43961</v>
      </c>
    </row>
    <row r="348" spans="2:2">
      <c r="B348" s="251">
        <f ca="1" t="shared" ref="B348:B363" si="23">B347-1</f>
        <v>43960</v>
      </c>
    </row>
    <row r="349" spans="2:2">
      <c r="B349" s="251">
        <f ca="1" t="shared" si="23"/>
        <v>43959</v>
      </c>
    </row>
    <row r="350" spans="2:2">
      <c r="B350" s="251">
        <f ca="1" t="shared" si="23"/>
        <v>43958</v>
      </c>
    </row>
    <row r="351" spans="2:2">
      <c r="B351" s="251">
        <f ca="1" t="shared" si="23"/>
        <v>43957</v>
      </c>
    </row>
    <row r="352" spans="2:2">
      <c r="B352" s="251">
        <f ca="1" t="shared" si="23"/>
        <v>43956</v>
      </c>
    </row>
    <row r="353" spans="2:2">
      <c r="B353" s="251">
        <f ca="1" t="shared" si="23"/>
        <v>43955</v>
      </c>
    </row>
    <row r="354" spans="2:2">
      <c r="B354" s="251">
        <f ca="1" t="shared" si="23"/>
        <v>43954</v>
      </c>
    </row>
    <row r="355" spans="2:2">
      <c r="B355" s="251">
        <f ca="1" t="shared" si="23"/>
        <v>43953</v>
      </c>
    </row>
    <row r="356" spans="2:2">
      <c r="B356" s="251">
        <f ca="1" t="shared" si="23"/>
        <v>43952</v>
      </c>
    </row>
    <row r="357" spans="2:2">
      <c r="B357" s="251">
        <f ca="1" t="shared" si="23"/>
        <v>43951</v>
      </c>
    </row>
    <row r="358" spans="2:2">
      <c r="B358" s="251">
        <f ca="1" t="shared" si="23"/>
        <v>43950</v>
      </c>
    </row>
    <row r="359" spans="2:2">
      <c r="B359" s="251">
        <f ca="1" t="shared" si="23"/>
        <v>43949</v>
      </c>
    </row>
    <row r="360" spans="2:2">
      <c r="B360" s="251">
        <f ca="1" t="shared" si="23"/>
        <v>43948</v>
      </c>
    </row>
    <row r="361" spans="2:2">
      <c r="B361" s="251">
        <f ca="1" t="shared" si="23"/>
        <v>43947</v>
      </c>
    </row>
    <row r="362" spans="2:2">
      <c r="B362" s="251">
        <f ca="1" t="shared" si="23"/>
        <v>43946</v>
      </c>
    </row>
    <row r="363" spans="2:2">
      <c r="B363" s="251">
        <f ca="1" t="shared" si="23"/>
        <v>43945</v>
      </c>
    </row>
    <row r="364" spans="2:2">
      <c r="B364" s="251">
        <f ca="1" t="shared" ref="B364:B376" si="24">B363-1</f>
        <v>43944</v>
      </c>
    </row>
    <row r="365" spans="2:2">
      <c r="B365" s="251">
        <f ca="1" t="shared" si="24"/>
        <v>43943</v>
      </c>
    </row>
    <row r="366" spans="2:2">
      <c r="B366" s="251">
        <f ca="1" t="shared" si="24"/>
        <v>43942</v>
      </c>
    </row>
    <row r="367" spans="2:2">
      <c r="B367" s="251">
        <f ca="1" t="shared" si="24"/>
        <v>43941</v>
      </c>
    </row>
    <row r="368" spans="2:2">
      <c r="B368" s="251">
        <f ca="1" t="shared" si="24"/>
        <v>43940</v>
      </c>
    </row>
    <row r="369" spans="2:2">
      <c r="B369" s="251">
        <f ca="1" t="shared" si="24"/>
        <v>43939</v>
      </c>
    </row>
    <row r="370" spans="2:2">
      <c r="B370" s="251">
        <f ca="1" t="shared" si="24"/>
        <v>43938</v>
      </c>
    </row>
    <row r="371" spans="2:2">
      <c r="B371" s="251">
        <f ca="1" t="shared" si="24"/>
        <v>43937</v>
      </c>
    </row>
    <row r="372" spans="2:2">
      <c r="B372" s="251">
        <f ca="1" t="shared" si="24"/>
        <v>43936</v>
      </c>
    </row>
    <row r="373" spans="2:2">
      <c r="B373" s="251">
        <f ca="1" t="shared" si="24"/>
        <v>43935</v>
      </c>
    </row>
    <row r="374" spans="2:2">
      <c r="B374" s="251">
        <f ca="1" t="shared" si="24"/>
        <v>43934</v>
      </c>
    </row>
    <row r="375" spans="2:2">
      <c r="B375" s="251">
        <f ca="1" t="shared" si="24"/>
        <v>43933</v>
      </c>
    </row>
    <row r="376" spans="2:2">
      <c r="B376" s="251">
        <f ca="1" t="shared" si="24"/>
        <v>43932</v>
      </c>
    </row>
    <row r="377" spans="2:2">
      <c r="B377" s="251">
        <f ca="1" t="shared" ref="B377:B392" si="25">B376-1</f>
        <v>43931</v>
      </c>
    </row>
    <row r="378" spans="2:2">
      <c r="B378" s="251">
        <f ca="1" t="shared" si="25"/>
        <v>43930</v>
      </c>
    </row>
    <row r="379" spans="2:2">
      <c r="B379" s="251">
        <f ca="1" t="shared" si="25"/>
        <v>43929</v>
      </c>
    </row>
    <row r="380" spans="2:2">
      <c r="B380" s="251">
        <f ca="1" t="shared" si="25"/>
        <v>43928</v>
      </c>
    </row>
    <row r="381" spans="2:2">
      <c r="B381" s="251">
        <f ca="1" t="shared" si="25"/>
        <v>43927</v>
      </c>
    </row>
    <row r="382" spans="2:2">
      <c r="B382" s="251">
        <f ca="1" t="shared" si="25"/>
        <v>43926</v>
      </c>
    </row>
    <row r="383" spans="2:2">
      <c r="B383" s="251">
        <f ca="1" t="shared" si="25"/>
        <v>43925</v>
      </c>
    </row>
    <row r="384" spans="2:2">
      <c r="B384" s="251">
        <f ca="1" t="shared" si="25"/>
        <v>43924</v>
      </c>
    </row>
    <row r="385" spans="2:2">
      <c r="B385" s="251">
        <f ca="1" t="shared" si="25"/>
        <v>43923</v>
      </c>
    </row>
    <row r="386" spans="2:2">
      <c r="B386" s="251">
        <f ca="1" t="shared" si="25"/>
        <v>43922</v>
      </c>
    </row>
    <row r="387" spans="2:2">
      <c r="B387" s="251">
        <f ca="1" t="shared" si="25"/>
        <v>43921</v>
      </c>
    </row>
    <row r="388" spans="2:2">
      <c r="B388" s="251">
        <f ca="1" t="shared" si="25"/>
        <v>43920</v>
      </c>
    </row>
    <row r="389" spans="2:2">
      <c r="B389" s="251">
        <f ca="1" t="shared" si="25"/>
        <v>43919</v>
      </c>
    </row>
    <row r="390" spans="2:2">
      <c r="B390" s="251">
        <f ca="1" t="shared" si="25"/>
        <v>43918</v>
      </c>
    </row>
    <row r="391" spans="2:2">
      <c r="B391" s="251">
        <f ca="1" t="shared" si="25"/>
        <v>43917</v>
      </c>
    </row>
    <row r="392" spans="2:2">
      <c r="B392" s="251">
        <f ca="1" t="shared" si="25"/>
        <v>43916</v>
      </c>
    </row>
    <row r="393" spans="2:2">
      <c r="B393" s="251">
        <f ca="1" t="shared" ref="B393:B408" si="26">B392-1</f>
        <v>43915</v>
      </c>
    </row>
    <row r="394" spans="2:2">
      <c r="B394" s="251">
        <f ca="1" t="shared" si="26"/>
        <v>43914</v>
      </c>
    </row>
    <row r="395" spans="2:2">
      <c r="B395" s="251">
        <f ca="1" t="shared" si="26"/>
        <v>43913</v>
      </c>
    </row>
    <row r="396" spans="2:2">
      <c r="B396" s="251">
        <f ca="1" t="shared" si="26"/>
        <v>43912</v>
      </c>
    </row>
    <row r="397" spans="2:2">
      <c r="B397" s="251">
        <f ca="1" t="shared" si="26"/>
        <v>43911</v>
      </c>
    </row>
    <row r="398" spans="2:2">
      <c r="B398" s="251">
        <f ca="1" t="shared" si="26"/>
        <v>43910</v>
      </c>
    </row>
    <row r="399" spans="2:2">
      <c r="B399" s="251">
        <f ca="1" t="shared" si="26"/>
        <v>43909</v>
      </c>
    </row>
    <row r="400" spans="2:2">
      <c r="B400" s="251">
        <f ca="1" t="shared" si="26"/>
        <v>43908</v>
      </c>
    </row>
    <row r="401" spans="2:2">
      <c r="B401" s="251">
        <f ca="1" t="shared" si="26"/>
        <v>43907</v>
      </c>
    </row>
    <row r="402" spans="2:2">
      <c r="B402" s="251">
        <f ca="1" t="shared" si="26"/>
        <v>43906</v>
      </c>
    </row>
    <row r="403" spans="2:2">
      <c r="B403" s="251">
        <f ca="1" t="shared" si="26"/>
        <v>43905</v>
      </c>
    </row>
    <row r="404" spans="2:2">
      <c r="B404" s="251">
        <f ca="1" t="shared" si="26"/>
        <v>43904</v>
      </c>
    </row>
    <row r="405" spans="2:2">
      <c r="B405" s="251">
        <f ca="1" t="shared" si="26"/>
        <v>43903</v>
      </c>
    </row>
    <row r="406" spans="2:2">
      <c r="B406" s="251">
        <f ca="1" t="shared" si="26"/>
        <v>43902</v>
      </c>
    </row>
    <row r="407" spans="2:2">
      <c r="B407" s="251">
        <f ca="1" t="shared" si="26"/>
        <v>43901</v>
      </c>
    </row>
    <row r="408" spans="2:2">
      <c r="B408" s="251">
        <f ca="1" t="shared" si="26"/>
        <v>43900</v>
      </c>
    </row>
    <row r="409" spans="2:2">
      <c r="B409" s="251">
        <f ca="1" t="shared" ref="B409:B424" si="27">B408-1</f>
        <v>43899</v>
      </c>
    </row>
    <row r="410" spans="2:2">
      <c r="B410" s="251">
        <f ca="1" t="shared" si="27"/>
        <v>43898</v>
      </c>
    </row>
    <row r="411" spans="2:2">
      <c r="B411" s="251">
        <f ca="1" t="shared" si="27"/>
        <v>43897</v>
      </c>
    </row>
    <row r="412" spans="2:2">
      <c r="B412" s="251">
        <f ca="1" t="shared" si="27"/>
        <v>43896</v>
      </c>
    </row>
    <row r="413" spans="2:2">
      <c r="B413" s="251">
        <f ca="1" t="shared" si="27"/>
        <v>43895</v>
      </c>
    </row>
    <row r="414" spans="2:2">
      <c r="B414" s="251">
        <f ca="1" t="shared" si="27"/>
        <v>43894</v>
      </c>
    </row>
    <row r="415" spans="2:2">
      <c r="B415" s="251">
        <f ca="1" t="shared" si="27"/>
        <v>43893</v>
      </c>
    </row>
    <row r="416" spans="2:2">
      <c r="B416" s="251">
        <f ca="1" t="shared" si="27"/>
        <v>43892</v>
      </c>
    </row>
    <row r="417" spans="2:2">
      <c r="B417" s="251">
        <f ca="1" t="shared" si="27"/>
        <v>43891</v>
      </c>
    </row>
    <row r="418" spans="2:2">
      <c r="B418" s="251">
        <f ca="1" t="shared" si="27"/>
        <v>43890</v>
      </c>
    </row>
    <row r="419" spans="2:2">
      <c r="B419" s="251">
        <f ca="1" t="shared" si="27"/>
        <v>43889</v>
      </c>
    </row>
    <row r="420" spans="2:2">
      <c r="B420" s="251">
        <f ca="1" t="shared" si="27"/>
        <v>43888</v>
      </c>
    </row>
    <row r="421" spans="2:2">
      <c r="B421" s="251">
        <f ca="1" t="shared" si="27"/>
        <v>43887</v>
      </c>
    </row>
    <row r="422" spans="2:2">
      <c r="B422" s="251">
        <f ca="1" t="shared" si="27"/>
        <v>43886</v>
      </c>
    </row>
    <row r="423" spans="2:2">
      <c r="B423" s="251">
        <f ca="1" t="shared" si="27"/>
        <v>43885</v>
      </c>
    </row>
    <row r="424" spans="2:2">
      <c r="B424" s="251">
        <f ca="1" t="shared" si="27"/>
        <v>43884</v>
      </c>
    </row>
    <row r="425" spans="2:2">
      <c r="B425" s="251">
        <f ca="1" t="shared" ref="B425:B440" si="28">B424-1</f>
        <v>43883</v>
      </c>
    </row>
    <row r="426" spans="2:2">
      <c r="B426" s="251">
        <f ca="1" t="shared" si="28"/>
        <v>43882</v>
      </c>
    </row>
    <row r="427" spans="2:2">
      <c r="B427" s="251">
        <f ca="1" t="shared" si="28"/>
        <v>43881</v>
      </c>
    </row>
    <row r="428" spans="2:2">
      <c r="B428" s="251">
        <f ca="1" t="shared" si="28"/>
        <v>43880</v>
      </c>
    </row>
    <row r="429" spans="2:2">
      <c r="B429" s="251">
        <f ca="1" t="shared" si="28"/>
        <v>43879</v>
      </c>
    </row>
    <row r="430" spans="2:2">
      <c r="B430" s="251">
        <f ca="1" t="shared" si="28"/>
        <v>43878</v>
      </c>
    </row>
    <row r="431" spans="2:2">
      <c r="B431" s="251">
        <f ca="1" t="shared" si="28"/>
        <v>43877</v>
      </c>
    </row>
    <row r="432" spans="2:2">
      <c r="B432" s="251">
        <f ca="1" t="shared" si="28"/>
        <v>43876</v>
      </c>
    </row>
    <row r="433" spans="2:2">
      <c r="B433" s="251">
        <f ca="1" t="shared" si="28"/>
        <v>43875</v>
      </c>
    </row>
    <row r="434" spans="2:2">
      <c r="B434" s="251">
        <f ca="1" t="shared" si="28"/>
        <v>43874</v>
      </c>
    </row>
    <row r="435" spans="2:2">
      <c r="B435" s="251">
        <f ca="1" t="shared" si="28"/>
        <v>43873</v>
      </c>
    </row>
    <row r="436" spans="2:2">
      <c r="B436" s="251">
        <f ca="1" t="shared" si="28"/>
        <v>43872</v>
      </c>
    </row>
    <row r="437" spans="2:2">
      <c r="B437" s="251">
        <f ca="1" t="shared" si="28"/>
        <v>43871</v>
      </c>
    </row>
    <row r="438" spans="2:2">
      <c r="B438" s="251">
        <f ca="1" t="shared" si="28"/>
        <v>43870</v>
      </c>
    </row>
    <row r="439" spans="2:2">
      <c r="B439" s="251">
        <f ca="1" t="shared" si="28"/>
        <v>43869</v>
      </c>
    </row>
    <row r="440" spans="2:2">
      <c r="B440" s="251">
        <f ca="1" t="shared" si="28"/>
        <v>43868</v>
      </c>
    </row>
    <row r="441" spans="2:2">
      <c r="B441" s="251">
        <f ca="1" t="shared" ref="B441:B456" si="29">B440-1</f>
        <v>43867</v>
      </c>
    </row>
    <row r="442" spans="2:2">
      <c r="B442" s="251">
        <f ca="1" t="shared" si="29"/>
        <v>43866</v>
      </c>
    </row>
    <row r="443" spans="2:2">
      <c r="B443" s="251">
        <f ca="1" t="shared" si="29"/>
        <v>43865</v>
      </c>
    </row>
    <row r="444" spans="2:2">
      <c r="B444" s="251">
        <f ca="1" t="shared" si="29"/>
        <v>43864</v>
      </c>
    </row>
    <row r="445" spans="2:2">
      <c r="B445" s="251">
        <f ca="1" t="shared" si="29"/>
        <v>43863</v>
      </c>
    </row>
    <row r="446" spans="2:2">
      <c r="B446" s="251">
        <f ca="1" t="shared" si="29"/>
        <v>43862</v>
      </c>
    </row>
    <row r="447" spans="2:2">
      <c r="B447" s="251">
        <f ca="1" t="shared" si="29"/>
        <v>43861</v>
      </c>
    </row>
    <row r="448" spans="2:2">
      <c r="B448" s="251">
        <f ca="1" t="shared" si="29"/>
        <v>43860</v>
      </c>
    </row>
    <row r="449" spans="2:2">
      <c r="B449" s="251">
        <f ca="1" t="shared" si="29"/>
        <v>43859</v>
      </c>
    </row>
    <row r="450" spans="2:2">
      <c r="B450" s="251">
        <f ca="1" t="shared" si="29"/>
        <v>43858</v>
      </c>
    </row>
    <row r="451" spans="2:2">
      <c r="B451" s="251">
        <f ca="1" t="shared" si="29"/>
        <v>43857</v>
      </c>
    </row>
    <row r="452" spans="2:2">
      <c r="B452" s="251">
        <f ca="1" t="shared" si="29"/>
        <v>43856</v>
      </c>
    </row>
    <row r="453" spans="2:2">
      <c r="B453" s="251">
        <f ca="1" t="shared" si="29"/>
        <v>43855</v>
      </c>
    </row>
    <row r="454" spans="2:2">
      <c r="B454" s="251">
        <f ca="1" t="shared" si="29"/>
        <v>43854</v>
      </c>
    </row>
    <row r="455" spans="2:2">
      <c r="B455" s="251">
        <f ca="1" t="shared" si="29"/>
        <v>43853</v>
      </c>
    </row>
    <row r="456" spans="2:2">
      <c r="B456" s="251">
        <f ca="1" t="shared" si="29"/>
        <v>43852</v>
      </c>
    </row>
    <row r="457" spans="2:2">
      <c r="B457" s="251">
        <f ca="1" t="shared" ref="B457:B472" si="30">B456-1</f>
        <v>43851</v>
      </c>
    </row>
    <row r="458" spans="2:2">
      <c r="B458" s="251">
        <f ca="1" t="shared" si="30"/>
        <v>43850</v>
      </c>
    </row>
    <row r="459" spans="2:2">
      <c r="B459" s="251">
        <f ca="1" t="shared" si="30"/>
        <v>43849</v>
      </c>
    </row>
    <row r="460" spans="2:2">
      <c r="B460" s="251">
        <f ca="1" t="shared" si="30"/>
        <v>43848</v>
      </c>
    </row>
    <row r="461" spans="2:2">
      <c r="B461" s="251">
        <f ca="1" t="shared" si="30"/>
        <v>43847</v>
      </c>
    </row>
    <row r="462" spans="2:2">
      <c r="B462" s="251">
        <f ca="1" t="shared" si="30"/>
        <v>43846</v>
      </c>
    </row>
    <row r="463" spans="2:2">
      <c r="B463" s="251">
        <f ca="1" t="shared" si="30"/>
        <v>43845</v>
      </c>
    </row>
    <row r="464" spans="2:2">
      <c r="B464" s="251">
        <f ca="1" t="shared" si="30"/>
        <v>43844</v>
      </c>
    </row>
    <row r="465" spans="2:2">
      <c r="B465" s="251">
        <f ca="1" t="shared" si="30"/>
        <v>43843</v>
      </c>
    </row>
    <row r="466" spans="2:2">
      <c r="B466" s="251">
        <f ca="1" t="shared" si="30"/>
        <v>43842</v>
      </c>
    </row>
    <row r="467" spans="2:2">
      <c r="B467" s="251">
        <f ca="1" t="shared" si="30"/>
        <v>43841</v>
      </c>
    </row>
    <row r="468" spans="2:2">
      <c r="B468" s="251">
        <f ca="1" t="shared" si="30"/>
        <v>43840</v>
      </c>
    </row>
    <row r="469" spans="2:2">
      <c r="B469" s="251">
        <f ca="1" t="shared" si="30"/>
        <v>43839</v>
      </c>
    </row>
    <row r="470" spans="2:2">
      <c r="B470" s="251">
        <f ca="1" t="shared" si="30"/>
        <v>43838</v>
      </c>
    </row>
    <row r="471" spans="2:2">
      <c r="B471" s="251">
        <f ca="1" t="shared" si="30"/>
        <v>43837</v>
      </c>
    </row>
    <row r="472" spans="2:2">
      <c r="B472" s="251">
        <f ca="1" t="shared" si="30"/>
        <v>43836</v>
      </c>
    </row>
    <row r="473" spans="2:2">
      <c r="B473" s="251">
        <f ca="1" t="shared" ref="B473:B488" si="31">B472-1</f>
        <v>43835</v>
      </c>
    </row>
    <row r="474" spans="2:2">
      <c r="B474" s="251">
        <f ca="1" t="shared" si="31"/>
        <v>43834</v>
      </c>
    </row>
    <row r="475" spans="2:2">
      <c r="B475" s="251">
        <f ca="1" t="shared" si="31"/>
        <v>43833</v>
      </c>
    </row>
    <row r="476" spans="2:2">
      <c r="B476" s="251">
        <f ca="1" t="shared" si="31"/>
        <v>43832</v>
      </c>
    </row>
    <row r="477" spans="2:2">
      <c r="B477" s="251">
        <f ca="1" t="shared" si="31"/>
        <v>43831</v>
      </c>
    </row>
    <row r="478" spans="2:2">
      <c r="B478" s="251">
        <f ca="1" t="shared" si="31"/>
        <v>43830</v>
      </c>
    </row>
    <row r="479" spans="2:2">
      <c r="B479" s="251">
        <f ca="1" t="shared" si="31"/>
        <v>43829</v>
      </c>
    </row>
    <row r="480" spans="2:2">
      <c r="B480" s="251">
        <f ca="1" t="shared" si="31"/>
        <v>43828</v>
      </c>
    </row>
    <row r="481" spans="2:2">
      <c r="B481" s="251">
        <f ca="1" t="shared" si="31"/>
        <v>43827</v>
      </c>
    </row>
    <row r="482" spans="2:2">
      <c r="B482" s="251">
        <f ca="1" t="shared" si="31"/>
        <v>43826</v>
      </c>
    </row>
    <row r="483" spans="2:2">
      <c r="B483" s="251">
        <f ca="1" t="shared" si="31"/>
        <v>43825</v>
      </c>
    </row>
    <row r="484" spans="2:2">
      <c r="B484" s="251">
        <f ca="1" t="shared" si="31"/>
        <v>43824</v>
      </c>
    </row>
    <row r="485" spans="2:2">
      <c r="B485" s="251">
        <f ca="1" t="shared" si="31"/>
        <v>43823</v>
      </c>
    </row>
    <row r="486" spans="2:2">
      <c r="B486" s="251">
        <f ca="1" t="shared" si="31"/>
        <v>43822</v>
      </c>
    </row>
    <row r="487" spans="2:2">
      <c r="B487" s="251">
        <f ca="1" t="shared" si="31"/>
        <v>43821</v>
      </c>
    </row>
    <row r="488" spans="2:2">
      <c r="B488" s="251">
        <f ca="1" t="shared" si="31"/>
        <v>43820</v>
      </c>
    </row>
    <row r="489" spans="2:2">
      <c r="B489" s="251">
        <f ca="1" t="shared" ref="B489:B504" si="32">B488-1</f>
        <v>43819</v>
      </c>
    </row>
    <row r="490" spans="2:2">
      <c r="B490" s="251">
        <f ca="1" t="shared" si="32"/>
        <v>43818</v>
      </c>
    </row>
    <row r="491" spans="2:2">
      <c r="B491" s="251">
        <f ca="1" t="shared" si="32"/>
        <v>43817</v>
      </c>
    </row>
    <row r="492" spans="2:2">
      <c r="B492" s="251">
        <f ca="1" t="shared" si="32"/>
        <v>43816</v>
      </c>
    </row>
    <row r="493" spans="2:2">
      <c r="B493" s="251">
        <f ca="1" t="shared" si="32"/>
        <v>43815</v>
      </c>
    </row>
    <row r="494" spans="2:2">
      <c r="B494" s="251">
        <f ca="1" t="shared" si="32"/>
        <v>43814</v>
      </c>
    </row>
    <row r="495" spans="2:2">
      <c r="B495" s="251">
        <f ca="1" t="shared" si="32"/>
        <v>43813</v>
      </c>
    </row>
    <row r="496" spans="2:2">
      <c r="B496" s="251">
        <f ca="1" t="shared" si="32"/>
        <v>43812</v>
      </c>
    </row>
    <row r="497" spans="2:2">
      <c r="B497" s="251">
        <f ca="1" t="shared" si="32"/>
        <v>43811</v>
      </c>
    </row>
    <row r="498" spans="2:2">
      <c r="B498" s="251">
        <f ca="1" t="shared" si="32"/>
        <v>43810</v>
      </c>
    </row>
    <row r="499" spans="2:2">
      <c r="B499" s="251">
        <f ca="1" t="shared" si="32"/>
        <v>43809</v>
      </c>
    </row>
    <row r="500" spans="2:2">
      <c r="B500" s="251">
        <f ca="1" t="shared" si="32"/>
        <v>43808</v>
      </c>
    </row>
    <row r="501" spans="2:2">
      <c r="B501" s="251">
        <f ca="1" t="shared" si="32"/>
        <v>43807</v>
      </c>
    </row>
    <row r="502" spans="2:2">
      <c r="B502" s="251">
        <f ca="1" t="shared" si="32"/>
        <v>43806</v>
      </c>
    </row>
    <row r="503" spans="2:2">
      <c r="B503" s="251">
        <f ca="1" t="shared" si="32"/>
        <v>43805</v>
      </c>
    </row>
    <row r="504" spans="2:2">
      <c r="B504" s="251">
        <f ca="1" t="shared" si="32"/>
        <v>43804</v>
      </c>
    </row>
    <row r="505" spans="2:2">
      <c r="B505" s="251">
        <f ca="1" t="shared" ref="B505:B520" si="33">B504-1</f>
        <v>43803</v>
      </c>
    </row>
    <row r="506" spans="2:2">
      <c r="B506" s="251">
        <f ca="1" t="shared" si="33"/>
        <v>43802</v>
      </c>
    </row>
    <row r="507" spans="2:2">
      <c r="B507" s="251">
        <f ca="1" t="shared" si="33"/>
        <v>43801</v>
      </c>
    </row>
    <row r="508" spans="2:2">
      <c r="B508" s="251">
        <f ca="1" t="shared" si="33"/>
        <v>43800</v>
      </c>
    </row>
    <row r="509" spans="2:2">
      <c r="B509" s="251">
        <f ca="1" t="shared" si="33"/>
        <v>43799</v>
      </c>
    </row>
    <row r="510" spans="2:2">
      <c r="B510" s="251">
        <f ca="1" t="shared" si="33"/>
        <v>43798</v>
      </c>
    </row>
    <row r="511" spans="2:2">
      <c r="B511" s="251">
        <f ca="1" t="shared" si="33"/>
        <v>43797</v>
      </c>
    </row>
    <row r="512" spans="2:2">
      <c r="B512" s="251">
        <f ca="1" t="shared" si="33"/>
        <v>43796</v>
      </c>
    </row>
    <row r="513" spans="2:2">
      <c r="B513" s="251">
        <f ca="1" t="shared" si="33"/>
        <v>43795</v>
      </c>
    </row>
    <row r="514" spans="2:2">
      <c r="B514" s="251">
        <f ca="1" t="shared" si="33"/>
        <v>43794</v>
      </c>
    </row>
    <row r="515" spans="2:2">
      <c r="B515" s="251">
        <f ca="1" t="shared" si="33"/>
        <v>43793</v>
      </c>
    </row>
    <row r="516" spans="2:2">
      <c r="B516" s="251">
        <f ca="1" t="shared" si="33"/>
        <v>43792</v>
      </c>
    </row>
    <row r="517" spans="2:2">
      <c r="B517" s="251">
        <f ca="1" t="shared" si="33"/>
        <v>43791</v>
      </c>
    </row>
    <row r="518" spans="2:2">
      <c r="B518" s="251">
        <f ca="1" t="shared" si="33"/>
        <v>43790</v>
      </c>
    </row>
    <row r="519" spans="2:2">
      <c r="B519" s="251">
        <f ca="1" t="shared" si="33"/>
        <v>43789</v>
      </c>
    </row>
    <row r="520" spans="2:2">
      <c r="B520" s="251">
        <f ca="1" t="shared" si="33"/>
        <v>43788</v>
      </c>
    </row>
    <row r="521" spans="2:2">
      <c r="B521" s="251">
        <f ca="1" t="shared" ref="B521:B536" si="34">B520-1</f>
        <v>43787</v>
      </c>
    </row>
    <row r="522" spans="2:2">
      <c r="B522" s="251">
        <f ca="1" t="shared" si="34"/>
        <v>43786</v>
      </c>
    </row>
    <row r="523" spans="2:2">
      <c r="B523" s="251">
        <f ca="1" t="shared" si="34"/>
        <v>43785</v>
      </c>
    </row>
    <row r="524" spans="2:2">
      <c r="B524" s="251">
        <f ca="1" t="shared" si="34"/>
        <v>43784</v>
      </c>
    </row>
    <row r="525" spans="2:2">
      <c r="B525" s="251">
        <f ca="1" t="shared" si="34"/>
        <v>43783</v>
      </c>
    </row>
    <row r="526" spans="2:2">
      <c r="B526" s="251">
        <f ca="1" t="shared" si="34"/>
        <v>43782</v>
      </c>
    </row>
    <row r="527" spans="2:2">
      <c r="B527" s="251">
        <f ca="1" t="shared" si="34"/>
        <v>43781</v>
      </c>
    </row>
    <row r="528" spans="2:2">
      <c r="B528" s="251">
        <f ca="1" t="shared" si="34"/>
        <v>43780</v>
      </c>
    </row>
    <row r="529" spans="2:2">
      <c r="B529" s="251">
        <f ca="1" t="shared" si="34"/>
        <v>43779</v>
      </c>
    </row>
    <row r="530" spans="2:2">
      <c r="B530" s="251">
        <f ca="1" t="shared" si="34"/>
        <v>43778</v>
      </c>
    </row>
    <row r="531" spans="2:2">
      <c r="B531" s="251">
        <f ca="1" t="shared" si="34"/>
        <v>43777</v>
      </c>
    </row>
    <row r="532" spans="2:2">
      <c r="B532" s="251">
        <f ca="1" t="shared" si="34"/>
        <v>43776</v>
      </c>
    </row>
    <row r="533" spans="2:2">
      <c r="B533" s="251">
        <f ca="1" t="shared" si="34"/>
        <v>43775</v>
      </c>
    </row>
    <row r="534" spans="2:2">
      <c r="B534" s="251">
        <f ca="1" t="shared" si="34"/>
        <v>43774</v>
      </c>
    </row>
    <row r="535" spans="2:2">
      <c r="B535" s="251">
        <f ca="1" t="shared" si="34"/>
        <v>43773</v>
      </c>
    </row>
    <row r="536" spans="2:2">
      <c r="B536" s="251">
        <f ca="1" t="shared" si="34"/>
        <v>43772</v>
      </c>
    </row>
    <row r="537" spans="2:2">
      <c r="B537" s="251">
        <f ca="1" t="shared" ref="B537:B552" si="35">B536-1</f>
        <v>43771</v>
      </c>
    </row>
    <row r="538" spans="2:2">
      <c r="B538" s="251">
        <f ca="1" t="shared" si="35"/>
        <v>43770</v>
      </c>
    </row>
    <row r="539" spans="2:2">
      <c r="B539" s="251">
        <f ca="1" t="shared" si="35"/>
        <v>43769</v>
      </c>
    </row>
    <row r="540" spans="2:2">
      <c r="B540" s="251">
        <f ca="1" t="shared" si="35"/>
        <v>43768</v>
      </c>
    </row>
    <row r="541" spans="2:2">
      <c r="B541" s="251">
        <f ca="1" t="shared" si="35"/>
        <v>43767</v>
      </c>
    </row>
    <row r="542" spans="2:2">
      <c r="B542" s="251">
        <f ca="1" t="shared" si="35"/>
        <v>43766</v>
      </c>
    </row>
    <row r="543" spans="2:2">
      <c r="B543" s="251">
        <f ca="1" t="shared" si="35"/>
        <v>43765</v>
      </c>
    </row>
    <row r="544" spans="2:2">
      <c r="B544" s="251">
        <f ca="1" t="shared" si="35"/>
        <v>43764</v>
      </c>
    </row>
    <row r="545" spans="2:2">
      <c r="B545" s="251">
        <f ca="1" t="shared" si="35"/>
        <v>43763</v>
      </c>
    </row>
    <row r="546" spans="2:2">
      <c r="B546" s="251">
        <f ca="1" t="shared" si="35"/>
        <v>43762</v>
      </c>
    </row>
    <row r="547" spans="2:2">
      <c r="B547" s="251">
        <f ca="1" t="shared" si="35"/>
        <v>43761</v>
      </c>
    </row>
    <row r="548" spans="2:2">
      <c r="B548" s="251">
        <f ca="1" t="shared" si="35"/>
        <v>43760</v>
      </c>
    </row>
    <row r="549" spans="2:2">
      <c r="B549" s="251">
        <f ca="1" t="shared" si="35"/>
        <v>43759</v>
      </c>
    </row>
    <row r="550" spans="2:2">
      <c r="B550" s="251">
        <f ca="1" t="shared" si="35"/>
        <v>43758</v>
      </c>
    </row>
    <row r="551" spans="2:2">
      <c r="B551" s="251">
        <f ca="1" t="shared" si="35"/>
        <v>43757</v>
      </c>
    </row>
    <row r="552" spans="2:2">
      <c r="B552" s="251">
        <f ca="1" t="shared" si="35"/>
        <v>43756</v>
      </c>
    </row>
    <row r="553" spans="2:2">
      <c r="B553" s="251">
        <f ca="1" t="shared" ref="B553:B568" si="36">B552-1</f>
        <v>43755</v>
      </c>
    </row>
    <row r="554" spans="2:2">
      <c r="B554" s="251">
        <f ca="1" t="shared" si="36"/>
        <v>43754</v>
      </c>
    </row>
    <row r="555" spans="2:2">
      <c r="B555" s="251">
        <f ca="1" t="shared" si="36"/>
        <v>43753</v>
      </c>
    </row>
    <row r="556" spans="2:2">
      <c r="B556" s="251">
        <f ca="1" t="shared" si="36"/>
        <v>43752</v>
      </c>
    </row>
    <row r="557" spans="2:2">
      <c r="B557" s="251">
        <f ca="1" t="shared" si="36"/>
        <v>43751</v>
      </c>
    </row>
    <row r="558" spans="2:2">
      <c r="B558" s="251">
        <f ca="1" t="shared" si="36"/>
        <v>43750</v>
      </c>
    </row>
    <row r="559" spans="2:2">
      <c r="B559" s="251">
        <f ca="1" t="shared" si="36"/>
        <v>43749</v>
      </c>
    </row>
    <row r="560" spans="2:2">
      <c r="B560" s="251">
        <f ca="1" t="shared" si="36"/>
        <v>43748</v>
      </c>
    </row>
    <row r="561" spans="2:2">
      <c r="B561" s="251">
        <f ca="1" t="shared" si="36"/>
        <v>43747</v>
      </c>
    </row>
    <row r="562" spans="2:2">
      <c r="B562" s="251">
        <f ca="1" t="shared" si="36"/>
        <v>43746</v>
      </c>
    </row>
    <row r="563" spans="2:2">
      <c r="B563" s="251">
        <f ca="1" t="shared" si="36"/>
        <v>43745</v>
      </c>
    </row>
    <row r="564" spans="2:2">
      <c r="B564" s="251">
        <f ca="1" t="shared" si="36"/>
        <v>43744</v>
      </c>
    </row>
    <row r="565" spans="2:2">
      <c r="B565" s="251">
        <f ca="1" t="shared" si="36"/>
        <v>43743</v>
      </c>
    </row>
    <row r="566" spans="2:2">
      <c r="B566" s="251">
        <f ca="1" t="shared" si="36"/>
        <v>43742</v>
      </c>
    </row>
    <row r="567" spans="2:2">
      <c r="B567" s="251">
        <f ca="1" t="shared" si="36"/>
        <v>43741</v>
      </c>
    </row>
    <row r="568" spans="2:2">
      <c r="B568" s="251">
        <f ca="1" t="shared" si="36"/>
        <v>43740</v>
      </c>
    </row>
    <row r="569" spans="2:2">
      <c r="B569" s="251">
        <f ca="1" t="shared" ref="B569:B584" si="37">B568-1</f>
        <v>43739</v>
      </c>
    </row>
    <row r="570" spans="2:2">
      <c r="B570" s="251">
        <f ca="1" t="shared" si="37"/>
        <v>43738</v>
      </c>
    </row>
    <row r="571" spans="2:2">
      <c r="B571" s="251">
        <f ca="1" t="shared" si="37"/>
        <v>43737</v>
      </c>
    </row>
    <row r="572" spans="2:2">
      <c r="B572" s="251">
        <f ca="1" t="shared" si="37"/>
        <v>43736</v>
      </c>
    </row>
    <row r="573" spans="2:2">
      <c r="B573" s="251">
        <f ca="1" t="shared" si="37"/>
        <v>43735</v>
      </c>
    </row>
    <row r="574" spans="2:2">
      <c r="B574" s="251">
        <f ca="1" t="shared" si="37"/>
        <v>43734</v>
      </c>
    </row>
    <row r="575" spans="2:2">
      <c r="B575" s="251">
        <f ca="1" t="shared" si="37"/>
        <v>43733</v>
      </c>
    </row>
    <row r="576" spans="2:2">
      <c r="B576" s="251">
        <f ca="1" t="shared" si="37"/>
        <v>43732</v>
      </c>
    </row>
    <row r="577" spans="2:2">
      <c r="B577" s="251">
        <f ca="1" t="shared" si="37"/>
        <v>43731</v>
      </c>
    </row>
    <row r="578" spans="2:2">
      <c r="B578" s="251">
        <f ca="1" t="shared" si="37"/>
        <v>43730</v>
      </c>
    </row>
    <row r="579" spans="2:2">
      <c r="B579" s="251">
        <f ca="1" t="shared" si="37"/>
        <v>43729</v>
      </c>
    </row>
    <row r="580" spans="2:2">
      <c r="B580" s="251">
        <f ca="1" t="shared" si="37"/>
        <v>43728</v>
      </c>
    </row>
    <row r="581" spans="2:2">
      <c r="B581" s="251">
        <f ca="1" t="shared" si="37"/>
        <v>43727</v>
      </c>
    </row>
    <row r="582" spans="2:2">
      <c r="B582" s="251">
        <f ca="1" t="shared" si="37"/>
        <v>43726</v>
      </c>
    </row>
    <row r="583" spans="2:2">
      <c r="B583" s="251">
        <f ca="1" t="shared" si="37"/>
        <v>43725</v>
      </c>
    </row>
    <row r="584" spans="2:2">
      <c r="B584" s="251">
        <f ca="1" t="shared" si="37"/>
        <v>43724</v>
      </c>
    </row>
    <row r="585" spans="2:2">
      <c r="B585" s="251">
        <f ca="1" t="shared" ref="B585:B600" si="38">B584-1</f>
        <v>43723</v>
      </c>
    </row>
    <row r="586" spans="2:2">
      <c r="B586" s="251">
        <f ca="1" t="shared" si="38"/>
        <v>43722</v>
      </c>
    </row>
    <row r="587" spans="2:2">
      <c r="B587" s="251">
        <f ca="1" t="shared" si="38"/>
        <v>43721</v>
      </c>
    </row>
    <row r="588" spans="2:2">
      <c r="B588" s="251">
        <f ca="1" t="shared" si="38"/>
        <v>43720</v>
      </c>
    </row>
    <row r="589" spans="2:2">
      <c r="B589" s="251">
        <f ca="1" t="shared" si="38"/>
        <v>43719</v>
      </c>
    </row>
    <row r="590" spans="2:2">
      <c r="B590" s="251">
        <f ca="1" t="shared" si="38"/>
        <v>43718</v>
      </c>
    </row>
    <row r="591" spans="2:2">
      <c r="B591" s="251">
        <f ca="1" t="shared" si="38"/>
        <v>43717</v>
      </c>
    </row>
    <row r="592" spans="2:2">
      <c r="B592" s="251">
        <f ca="1" t="shared" si="38"/>
        <v>43716</v>
      </c>
    </row>
    <row r="593" spans="2:2">
      <c r="B593" s="251">
        <f ca="1" t="shared" si="38"/>
        <v>43715</v>
      </c>
    </row>
    <row r="594" spans="2:2">
      <c r="B594" s="251">
        <f ca="1" t="shared" si="38"/>
        <v>43714</v>
      </c>
    </row>
    <row r="595" spans="2:2">
      <c r="B595" s="251">
        <f ca="1" t="shared" si="38"/>
        <v>43713</v>
      </c>
    </row>
    <row r="596" spans="2:2">
      <c r="B596" s="251">
        <f ca="1" t="shared" si="38"/>
        <v>43712</v>
      </c>
    </row>
    <row r="597" spans="2:2">
      <c r="B597" s="251">
        <f ca="1" t="shared" si="38"/>
        <v>43711</v>
      </c>
    </row>
    <row r="598" spans="2:2">
      <c r="B598" s="251">
        <f ca="1" t="shared" si="38"/>
        <v>43710</v>
      </c>
    </row>
    <row r="599" spans="2:2">
      <c r="B599" s="251">
        <f ca="1" t="shared" si="38"/>
        <v>43709</v>
      </c>
    </row>
    <row r="600" spans="2:2">
      <c r="B600" s="251">
        <f ca="1" t="shared" si="38"/>
        <v>43708</v>
      </c>
    </row>
    <row r="601" spans="2:2">
      <c r="B601" s="251">
        <f ca="1" t="shared" ref="B601:B616" si="39">B600-1</f>
        <v>43707</v>
      </c>
    </row>
    <row r="602" spans="2:2">
      <c r="B602" s="251">
        <f ca="1" t="shared" si="39"/>
        <v>43706</v>
      </c>
    </row>
    <row r="603" spans="2:2">
      <c r="B603" s="251">
        <f ca="1" t="shared" si="39"/>
        <v>43705</v>
      </c>
    </row>
    <row r="604" spans="2:2">
      <c r="B604" s="251">
        <f ca="1" t="shared" si="39"/>
        <v>43704</v>
      </c>
    </row>
    <row r="605" spans="2:2">
      <c r="B605" s="251">
        <f ca="1" t="shared" si="39"/>
        <v>43703</v>
      </c>
    </row>
    <row r="606" spans="2:2">
      <c r="B606" s="251">
        <f ca="1" t="shared" si="39"/>
        <v>43702</v>
      </c>
    </row>
    <row r="607" spans="2:2">
      <c r="B607" s="251">
        <f ca="1" t="shared" si="39"/>
        <v>43701</v>
      </c>
    </row>
    <row r="608" spans="2:2">
      <c r="B608" s="251">
        <f ca="1" t="shared" si="39"/>
        <v>43700</v>
      </c>
    </row>
    <row r="609" spans="2:2">
      <c r="B609" s="251">
        <f ca="1" t="shared" si="39"/>
        <v>43699</v>
      </c>
    </row>
    <row r="610" spans="2:2">
      <c r="B610" s="251">
        <f ca="1" t="shared" si="39"/>
        <v>43698</v>
      </c>
    </row>
    <row r="611" spans="2:2">
      <c r="B611" s="251">
        <f ca="1" t="shared" si="39"/>
        <v>43697</v>
      </c>
    </row>
    <row r="612" spans="2:2">
      <c r="B612" s="251">
        <f ca="1" t="shared" si="39"/>
        <v>43696</v>
      </c>
    </row>
    <row r="613" spans="2:2">
      <c r="B613" s="251">
        <f ca="1" t="shared" si="39"/>
        <v>43695</v>
      </c>
    </row>
    <row r="614" spans="2:2">
      <c r="B614" s="251">
        <f ca="1" t="shared" si="39"/>
        <v>43694</v>
      </c>
    </row>
    <row r="615" spans="2:2">
      <c r="B615" s="251">
        <f ca="1" t="shared" si="39"/>
        <v>43693</v>
      </c>
    </row>
    <row r="616" spans="2:2">
      <c r="B616" s="251">
        <f ca="1" t="shared" si="39"/>
        <v>43692</v>
      </c>
    </row>
    <row r="617" spans="2:2">
      <c r="B617" s="251">
        <f ca="1" t="shared" ref="B617:B632" si="40">B616-1</f>
        <v>43691</v>
      </c>
    </row>
    <row r="618" spans="2:2">
      <c r="B618" s="251">
        <f ca="1" t="shared" si="40"/>
        <v>43690</v>
      </c>
    </row>
    <row r="619" spans="2:2">
      <c r="B619" s="251">
        <f ca="1" t="shared" si="40"/>
        <v>43689</v>
      </c>
    </row>
    <row r="620" spans="2:2">
      <c r="B620" s="251">
        <f ca="1" t="shared" si="40"/>
        <v>43688</v>
      </c>
    </row>
    <row r="621" spans="2:2">
      <c r="B621" s="251">
        <f ca="1" t="shared" si="40"/>
        <v>43687</v>
      </c>
    </row>
    <row r="622" spans="2:2">
      <c r="B622" s="251">
        <f ca="1" t="shared" si="40"/>
        <v>43686</v>
      </c>
    </row>
    <row r="623" spans="2:2">
      <c r="B623" s="251">
        <f ca="1" t="shared" si="40"/>
        <v>43685</v>
      </c>
    </row>
    <row r="624" spans="2:2">
      <c r="B624" s="251">
        <f ca="1" t="shared" si="40"/>
        <v>43684</v>
      </c>
    </row>
    <row r="625" spans="2:2">
      <c r="B625" s="251">
        <f ca="1" t="shared" si="40"/>
        <v>43683</v>
      </c>
    </row>
    <row r="626" spans="2:2">
      <c r="B626" s="251">
        <f ca="1" t="shared" si="40"/>
        <v>43682</v>
      </c>
    </row>
    <row r="627" spans="2:2">
      <c r="B627" s="251">
        <f ca="1" t="shared" si="40"/>
        <v>43681</v>
      </c>
    </row>
    <row r="628" spans="2:2">
      <c r="B628" s="251">
        <f ca="1" t="shared" si="40"/>
        <v>43680</v>
      </c>
    </row>
    <row r="629" spans="2:2">
      <c r="B629" s="251">
        <f ca="1" t="shared" si="40"/>
        <v>43679</v>
      </c>
    </row>
    <row r="630" spans="2:2">
      <c r="B630" s="251">
        <f ca="1" t="shared" si="40"/>
        <v>43678</v>
      </c>
    </row>
    <row r="631" spans="2:2">
      <c r="B631" s="251">
        <f ca="1" t="shared" si="40"/>
        <v>43677</v>
      </c>
    </row>
    <row r="632" spans="2:2">
      <c r="B632" s="251">
        <f ca="1" t="shared" si="40"/>
        <v>43676</v>
      </c>
    </row>
    <row r="633" spans="2:2">
      <c r="B633" s="251">
        <f ca="1" t="shared" ref="B633:B648" si="41">B632-1</f>
        <v>43675</v>
      </c>
    </row>
    <row r="634" spans="2:2">
      <c r="B634" s="251">
        <f ca="1" t="shared" si="41"/>
        <v>43674</v>
      </c>
    </row>
    <row r="635" spans="2:2">
      <c r="B635" s="251">
        <f ca="1" t="shared" si="41"/>
        <v>43673</v>
      </c>
    </row>
    <row r="636" spans="2:2">
      <c r="B636" s="251">
        <f ca="1" t="shared" si="41"/>
        <v>43672</v>
      </c>
    </row>
    <row r="637" spans="2:2">
      <c r="B637" s="251">
        <f ca="1" t="shared" si="41"/>
        <v>43671</v>
      </c>
    </row>
    <row r="638" spans="2:2">
      <c r="B638" s="251">
        <f ca="1" t="shared" si="41"/>
        <v>43670</v>
      </c>
    </row>
    <row r="639" spans="2:2">
      <c r="B639" s="251">
        <f ca="1" t="shared" si="41"/>
        <v>43669</v>
      </c>
    </row>
    <row r="640" spans="2:2">
      <c r="B640" s="251">
        <f ca="1" t="shared" si="41"/>
        <v>43668</v>
      </c>
    </row>
    <row r="641" spans="2:2">
      <c r="B641" s="251">
        <f ca="1" t="shared" si="41"/>
        <v>43667</v>
      </c>
    </row>
    <row r="642" spans="2:2">
      <c r="B642" s="251">
        <f ca="1" t="shared" si="41"/>
        <v>43666</v>
      </c>
    </row>
    <row r="643" spans="2:2">
      <c r="B643" s="251">
        <f ca="1" t="shared" si="41"/>
        <v>43665</v>
      </c>
    </row>
    <row r="644" spans="2:2">
      <c r="B644" s="251">
        <f ca="1" t="shared" si="41"/>
        <v>43664</v>
      </c>
    </row>
    <row r="645" spans="2:2">
      <c r="B645" s="251">
        <f ca="1" t="shared" si="41"/>
        <v>43663</v>
      </c>
    </row>
    <row r="646" spans="2:2">
      <c r="B646" s="251">
        <f ca="1" t="shared" si="41"/>
        <v>43662</v>
      </c>
    </row>
    <row r="647" spans="2:2">
      <c r="B647" s="251">
        <f ca="1" t="shared" si="41"/>
        <v>43661</v>
      </c>
    </row>
    <row r="648" spans="2:2">
      <c r="B648" s="251">
        <f ca="1" t="shared" si="41"/>
        <v>43660</v>
      </c>
    </row>
    <row r="649" spans="2:2">
      <c r="B649" s="251">
        <f ca="1" t="shared" ref="B649:B664" si="42">B648-1</f>
        <v>43659</v>
      </c>
    </row>
    <row r="650" spans="2:2">
      <c r="B650" s="251">
        <f ca="1" t="shared" si="42"/>
        <v>43658</v>
      </c>
    </row>
    <row r="651" spans="2:2">
      <c r="B651" s="251">
        <f ca="1" t="shared" si="42"/>
        <v>43657</v>
      </c>
    </row>
    <row r="652" spans="2:2">
      <c r="B652" s="251">
        <f ca="1" t="shared" si="42"/>
        <v>43656</v>
      </c>
    </row>
    <row r="653" spans="2:2">
      <c r="B653" s="251">
        <f ca="1" t="shared" si="42"/>
        <v>43655</v>
      </c>
    </row>
    <row r="654" spans="2:2">
      <c r="B654" s="251">
        <f ca="1" t="shared" si="42"/>
        <v>43654</v>
      </c>
    </row>
    <row r="655" spans="2:2">
      <c r="B655" s="251">
        <f ca="1" t="shared" si="42"/>
        <v>43653</v>
      </c>
    </row>
    <row r="656" spans="2:2">
      <c r="B656" s="251">
        <f ca="1" t="shared" si="42"/>
        <v>43652</v>
      </c>
    </row>
    <row r="657" spans="2:2">
      <c r="B657" s="251">
        <f ca="1" t="shared" si="42"/>
        <v>43651</v>
      </c>
    </row>
    <row r="658" spans="2:2">
      <c r="B658" s="251">
        <f ca="1" t="shared" si="42"/>
        <v>43650</v>
      </c>
    </row>
    <row r="659" spans="2:2">
      <c r="B659" s="251">
        <f ca="1" t="shared" si="42"/>
        <v>43649</v>
      </c>
    </row>
    <row r="660" spans="2:2">
      <c r="B660" s="251">
        <f ca="1" t="shared" si="42"/>
        <v>43648</v>
      </c>
    </row>
    <row r="661" spans="2:2">
      <c r="B661" s="251">
        <f ca="1" t="shared" si="42"/>
        <v>43647</v>
      </c>
    </row>
    <row r="662" spans="2:2">
      <c r="B662" s="251">
        <f ca="1" t="shared" si="42"/>
        <v>43646</v>
      </c>
    </row>
    <row r="663" spans="2:2">
      <c r="B663" s="251">
        <f ca="1" t="shared" si="42"/>
        <v>43645</v>
      </c>
    </row>
    <row r="664" spans="2:2">
      <c r="B664" s="251">
        <f ca="1" t="shared" si="42"/>
        <v>43644</v>
      </c>
    </row>
    <row r="665" spans="2:2">
      <c r="B665" s="251">
        <f ca="1" t="shared" ref="B665:B680" si="43">B664-1</f>
        <v>43643</v>
      </c>
    </row>
    <row r="666" spans="2:2">
      <c r="B666" s="251">
        <f ca="1" t="shared" si="43"/>
        <v>43642</v>
      </c>
    </row>
    <row r="667" spans="2:2">
      <c r="B667" s="251">
        <f ca="1" t="shared" si="43"/>
        <v>43641</v>
      </c>
    </row>
    <row r="668" spans="2:2">
      <c r="B668" s="251">
        <f ca="1" t="shared" si="43"/>
        <v>43640</v>
      </c>
    </row>
    <row r="669" spans="2:2">
      <c r="B669" s="251">
        <f ca="1" t="shared" si="43"/>
        <v>43639</v>
      </c>
    </row>
    <row r="670" spans="2:2">
      <c r="B670" s="251">
        <f ca="1" t="shared" si="43"/>
        <v>43638</v>
      </c>
    </row>
    <row r="671" spans="2:2">
      <c r="B671" s="251">
        <f ca="1" t="shared" si="43"/>
        <v>43637</v>
      </c>
    </row>
    <row r="672" spans="2:2">
      <c r="B672" s="251">
        <f ca="1" t="shared" si="43"/>
        <v>43636</v>
      </c>
    </row>
    <row r="673" spans="2:2">
      <c r="B673" s="251">
        <f ca="1" t="shared" si="43"/>
        <v>43635</v>
      </c>
    </row>
    <row r="674" spans="2:2">
      <c r="B674" s="251">
        <f ca="1" t="shared" si="43"/>
        <v>43634</v>
      </c>
    </row>
    <row r="675" spans="2:2">
      <c r="B675" s="251">
        <f ca="1" t="shared" si="43"/>
        <v>43633</v>
      </c>
    </row>
    <row r="676" spans="2:2">
      <c r="B676" s="251">
        <f ca="1" t="shared" si="43"/>
        <v>43632</v>
      </c>
    </row>
    <row r="677" spans="2:2">
      <c r="B677" s="251">
        <f ca="1" t="shared" si="43"/>
        <v>43631</v>
      </c>
    </row>
    <row r="678" spans="2:2">
      <c r="B678" s="251">
        <f ca="1" t="shared" si="43"/>
        <v>43630</v>
      </c>
    </row>
    <row r="679" spans="2:2">
      <c r="B679" s="251">
        <f ca="1" t="shared" si="43"/>
        <v>43629</v>
      </c>
    </row>
    <row r="680" spans="2:2">
      <c r="B680" s="251">
        <f ca="1" t="shared" si="43"/>
        <v>43628</v>
      </c>
    </row>
    <row r="681" spans="2:2">
      <c r="B681" s="251">
        <f ca="1" t="shared" ref="B681:B696" si="44">B680-1</f>
        <v>43627</v>
      </c>
    </row>
    <row r="682" spans="2:2">
      <c r="B682" s="251">
        <f ca="1" t="shared" si="44"/>
        <v>43626</v>
      </c>
    </row>
    <row r="683" spans="2:2">
      <c r="B683" s="251">
        <f ca="1" t="shared" si="44"/>
        <v>43625</v>
      </c>
    </row>
    <row r="684" spans="2:2">
      <c r="B684" s="251">
        <f ca="1" t="shared" si="44"/>
        <v>43624</v>
      </c>
    </row>
    <row r="685" spans="2:2">
      <c r="B685" s="251">
        <f ca="1" t="shared" si="44"/>
        <v>43623</v>
      </c>
    </row>
    <row r="686" spans="2:2">
      <c r="B686" s="251">
        <f ca="1" t="shared" si="44"/>
        <v>43622</v>
      </c>
    </row>
    <row r="687" spans="2:2">
      <c r="B687" s="251">
        <f ca="1" t="shared" si="44"/>
        <v>43621</v>
      </c>
    </row>
    <row r="688" spans="2:2">
      <c r="B688" s="251">
        <f ca="1" t="shared" si="44"/>
        <v>43620</v>
      </c>
    </row>
    <row r="689" spans="2:2">
      <c r="B689" s="251">
        <f ca="1" t="shared" si="44"/>
        <v>43619</v>
      </c>
    </row>
    <row r="690" spans="2:2">
      <c r="B690" s="251">
        <f ca="1" t="shared" si="44"/>
        <v>43618</v>
      </c>
    </row>
    <row r="691" spans="2:2">
      <c r="B691" s="251">
        <f ca="1" t="shared" si="44"/>
        <v>43617</v>
      </c>
    </row>
    <row r="692" spans="2:2">
      <c r="B692" s="251">
        <f ca="1" t="shared" si="44"/>
        <v>43616</v>
      </c>
    </row>
    <row r="693" spans="2:2">
      <c r="B693" s="251">
        <f ca="1" t="shared" si="44"/>
        <v>43615</v>
      </c>
    </row>
    <row r="694" spans="2:2">
      <c r="B694" s="251">
        <f ca="1" t="shared" si="44"/>
        <v>43614</v>
      </c>
    </row>
    <row r="695" spans="2:2">
      <c r="B695" s="251">
        <f ca="1" t="shared" si="44"/>
        <v>43613</v>
      </c>
    </row>
    <row r="696" spans="2:2">
      <c r="B696" s="251">
        <f ca="1" t="shared" si="44"/>
        <v>43612</v>
      </c>
    </row>
    <row r="697" spans="2:2">
      <c r="B697" s="251">
        <f ca="1" t="shared" ref="B697:B712" si="45">B696-1</f>
        <v>43611</v>
      </c>
    </row>
    <row r="698" spans="2:2">
      <c r="B698" s="251">
        <f ca="1" t="shared" si="45"/>
        <v>43610</v>
      </c>
    </row>
    <row r="699" spans="2:2">
      <c r="B699" s="251">
        <f ca="1" t="shared" si="45"/>
        <v>43609</v>
      </c>
    </row>
    <row r="700" spans="2:2">
      <c r="B700" s="251">
        <f ca="1" t="shared" si="45"/>
        <v>43608</v>
      </c>
    </row>
    <row r="701" spans="2:2">
      <c r="B701" s="251">
        <f ca="1" t="shared" si="45"/>
        <v>43607</v>
      </c>
    </row>
    <row r="702" spans="2:2">
      <c r="B702" s="251">
        <f ca="1" t="shared" si="45"/>
        <v>43606</v>
      </c>
    </row>
    <row r="703" spans="2:2">
      <c r="B703" s="251">
        <f ca="1" t="shared" si="45"/>
        <v>43605</v>
      </c>
    </row>
    <row r="704" spans="2:2">
      <c r="B704" s="251">
        <f ca="1" t="shared" si="45"/>
        <v>43604</v>
      </c>
    </row>
    <row r="705" spans="2:2">
      <c r="B705" s="251">
        <f ca="1" t="shared" si="45"/>
        <v>43603</v>
      </c>
    </row>
    <row r="706" spans="2:2">
      <c r="B706" s="251">
        <f ca="1" t="shared" si="45"/>
        <v>43602</v>
      </c>
    </row>
    <row r="707" spans="2:2">
      <c r="B707" s="251">
        <f ca="1" t="shared" si="45"/>
        <v>43601</v>
      </c>
    </row>
    <row r="708" spans="2:2">
      <c r="B708" s="251">
        <f ca="1" t="shared" si="45"/>
        <v>43600</v>
      </c>
    </row>
    <row r="709" spans="2:2">
      <c r="B709" s="251">
        <f ca="1" t="shared" si="45"/>
        <v>43599</v>
      </c>
    </row>
    <row r="710" spans="2:2">
      <c r="B710" s="251">
        <f ca="1" t="shared" si="45"/>
        <v>43598</v>
      </c>
    </row>
    <row r="711" spans="2:2">
      <c r="B711" s="251">
        <f ca="1" t="shared" si="45"/>
        <v>43597</v>
      </c>
    </row>
    <row r="712" spans="2:2">
      <c r="B712" s="251">
        <f ca="1" t="shared" si="45"/>
        <v>43596</v>
      </c>
    </row>
    <row r="713" spans="2:2">
      <c r="B713" s="251">
        <f ca="1" t="shared" ref="B713:B728" si="46">B712-1</f>
        <v>43595</v>
      </c>
    </row>
    <row r="714" spans="2:2">
      <c r="B714" s="251">
        <f ca="1" t="shared" si="46"/>
        <v>43594</v>
      </c>
    </row>
    <row r="715" spans="2:2">
      <c r="B715" s="251">
        <f ca="1" t="shared" si="46"/>
        <v>43593</v>
      </c>
    </row>
    <row r="716" spans="2:2">
      <c r="B716" s="251">
        <f ca="1" t="shared" si="46"/>
        <v>43592</v>
      </c>
    </row>
    <row r="717" spans="2:2">
      <c r="B717" s="251">
        <f ca="1" t="shared" si="46"/>
        <v>43591</v>
      </c>
    </row>
    <row r="718" spans="2:2">
      <c r="B718" s="251">
        <f ca="1" t="shared" si="46"/>
        <v>43590</v>
      </c>
    </row>
    <row r="719" spans="2:2">
      <c r="B719" s="251">
        <f ca="1" t="shared" si="46"/>
        <v>43589</v>
      </c>
    </row>
    <row r="720" spans="2:2">
      <c r="B720" s="251">
        <f ca="1" t="shared" si="46"/>
        <v>43588</v>
      </c>
    </row>
    <row r="721" spans="2:2">
      <c r="B721" s="251">
        <f ca="1" t="shared" si="46"/>
        <v>43587</v>
      </c>
    </row>
    <row r="722" spans="2:2">
      <c r="B722" s="251">
        <f ca="1" t="shared" si="46"/>
        <v>43586</v>
      </c>
    </row>
    <row r="723" spans="2:2">
      <c r="B723" s="251">
        <f ca="1" t="shared" si="46"/>
        <v>43585</v>
      </c>
    </row>
    <row r="724" spans="2:2">
      <c r="B724" s="251">
        <f ca="1" t="shared" si="46"/>
        <v>43584</v>
      </c>
    </row>
    <row r="725" spans="2:2">
      <c r="B725" s="251">
        <f ca="1" t="shared" si="46"/>
        <v>43583</v>
      </c>
    </row>
    <row r="726" spans="2:2">
      <c r="B726" s="251">
        <f ca="1" t="shared" si="46"/>
        <v>43582</v>
      </c>
    </row>
    <row r="727" spans="2:2">
      <c r="B727" s="251">
        <f ca="1" t="shared" si="46"/>
        <v>43581</v>
      </c>
    </row>
    <row r="728" spans="2:2">
      <c r="B728" s="251">
        <f ca="1" t="shared" si="46"/>
        <v>43580</v>
      </c>
    </row>
    <row r="729" spans="2:2">
      <c r="B729" s="251">
        <f ca="1" t="shared" ref="B729:B744" si="47">B728-1</f>
        <v>43579</v>
      </c>
    </row>
    <row r="730" spans="2:2">
      <c r="B730" s="251">
        <f ca="1" t="shared" si="47"/>
        <v>43578</v>
      </c>
    </row>
    <row r="731" spans="2:2">
      <c r="B731" s="251">
        <f ca="1" t="shared" si="47"/>
        <v>43577</v>
      </c>
    </row>
    <row r="732" spans="2:2">
      <c r="B732" s="251">
        <f ca="1" t="shared" si="47"/>
        <v>43576</v>
      </c>
    </row>
    <row r="733" spans="2:2">
      <c r="B733" s="251">
        <f ca="1" t="shared" si="47"/>
        <v>43575</v>
      </c>
    </row>
    <row r="734" spans="2:2">
      <c r="B734" s="251">
        <f ca="1" t="shared" si="47"/>
        <v>43574</v>
      </c>
    </row>
    <row r="735" spans="2:2">
      <c r="B735" s="251">
        <f ca="1" t="shared" si="47"/>
        <v>43573</v>
      </c>
    </row>
    <row r="736" spans="2:2">
      <c r="B736" s="251">
        <f ca="1" t="shared" si="47"/>
        <v>43572</v>
      </c>
    </row>
    <row r="737" spans="2:2">
      <c r="B737" s="251">
        <f ca="1" t="shared" si="47"/>
        <v>43571</v>
      </c>
    </row>
    <row r="738" spans="2:2">
      <c r="B738" s="251">
        <f ca="1" t="shared" si="47"/>
        <v>43570</v>
      </c>
    </row>
    <row r="739" spans="2:2">
      <c r="B739" s="251">
        <f ca="1" t="shared" si="47"/>
        <v>43569</v>
      </c>
    </row>
    <row r="740" spans="2:2">
      <c r="B740" s="251">
        <f ca="1" t="shared" si="47"/>
        <v>43568</v>
      </c>
    </row>
    <row r="741" spans="2:2">
      <c r="B741" s="251">
        <f ca="1" t="shared" si="47"/>
        <v>43567</v>
      </c>
    </row>
    <row r="742" spans="2:2">
      <c r="B742" s="251">
        <f ca="1" t="shared" si="47"/>
        <v>43566</v>
      </c>
    </row>
    <row r="743" spans="2:2">
      <c r="B743" s="251">
        <f ca="1" t="shared" si="47"/>
        <v>43565</v>
      </c>
    </row>
    <row r="744" spans="2:2">
      <c r="B744" s="251">
        <f ca="1" t="shared" si="47"/>
        <v>43564</v>
      </c>
    </row>
    <row r="745" spans="2:2">
      <c r="B745" s="251">
        <f ca="1" t="shared" ref="B745:B760" si="48">B744-1</f>
        <v>43563</v>
      </c>
    </row>
    <row r="746" spans="2:2">
      <c r="B746" s="251">
        <f ca="1" t="shared" si="48"/>
        <v>43562</v>
      </c>
    </row>
    <row r="747" spans="2:2">
      <c r="B747" s="251">
        <f ca="1" t="shared" si="48"/>
        <v>43561</v>
      </c>
    </row>
    <row r="748" spans="2:2">
      <c r="B748" s="251">
        <f ca="1" t="shared" si="48"/>
        <v>43560</v>
      </c>
    </row>
    <row r="749" spans="2:2">
      <c r="B749" s="251">
        <f ca="1" t="shared" si="48"/>
        <v>43559</v>
      </c>
    </row>
    <row r="750" spans="2:2">
      <c r="B750" s="251">
        <f ca="1" t="shared" si="48"/>
        <v>43558</v>
      </c>
    </row>
    <row r="751" spans="2:2">
      <c r="B751" s="251">
        <f ca="1" t="shared" si="48"/>
        <v>43557</v>
      </c>
    </row>
    <row r="752" spans="2:2">
      <c r="B752" s="251">
        <f ca="1" t="shared" si="48"/>
        <v>43556</v>
      </c>
    </row>
    <row r="753" spans="2:2">
      <c r="B753" s="251">
        <f ca="1" t="shared" si="48"/>
        <v>43555</v>
      </c>
    </row>
    <row r="754" spans="2:2">
      <c r="B754" s="251">
        <f ca="1" t="shared" si="48"/>
        <v>43554</v>
      </c>
    </row>
    <row r="755" spans="2:2">
      <c r="B755" s="251">
        <f ca="1" t="shared" si="48"/>
        <v>43553</v>
      </c>
    </row>
    <row r="756" spans="2:2">
      <c r="B756" s="251">
        <f ca="1" t="shared" si="48"/>
        <v>43552</v>
      </c>
    </row>
    <row r="757" spans="2:2">
      <c r="B757" s="251">
        <f ca="1" t="shared" si="48"/>
        <v>43551</v>
      </c>
    </row>
    <row r="758" spans="2:2">
      <c r="B758" s="251">
        <f ca="1" t="shared" si="48"/>
        <v>43550</v>
      </c>
    </row>
    <row r="759" spans="2:2">
      <c r="B759" s="251">
        <f ca="1" t="shared" si="48"/>
        <v>43549</v>
      </c>
    </row>
    <row r="760" spans="2:2">
      <c r="B760" s="251">
        <f ca="1" t="shared" si="48"/>
        <v>43548</v>
      </c>
    </row>
    <row r="761" spans="2:2">
      <c r="B761" s="251">
        <f ca="1" t="shared" ref="B761:B776" si="49">B760-1</f>
        <v>43547</v>
      </c>
    </row>
    <row r="762" spans="2:2">
      <c r="B762" s="251">
        <f ca="1" t="shared" si="49"/>
        <v>43546</v>
      </c>
    </row>
    <row r="763" spans="2:2">
      <c r="B763" s="251">
        <f ca="1" t="shared" si="49"/>
        <v>43545</v>
      </c>
    </row>
    <row r="764" spans="2:2">
      <c r="B764" s="251">
        <f ca="1" t="shared" si="49"/>
        <v>43544</v>
      </c>
    </row>
    <row r="765" spans="2:2">
      <c r="B765" s="251">
        <f ca="1" t="shared" si="49"/>
        <v>43543</v>
      </c>
    </row>
    <row r="766" spans="2:2">
      <c r="B766" s="251">
        <f ca="1" t="shared" si="49"/>
        <v>43542</v>
      </c>
    </row>
    <row r="767" spans="2:2">
      <c r="B767" s="251">
        <f ca="1" t="shared" si="49"/>
        <v>43541</v>
      </c>
    </row>
    <row r="768" spans="2:2">
      <c r="B768" s="251">
        <f ca="1" t="shared" si="49"/>
        <v>43540</v>
      </c>
    </row>
    <row r="769" spans="2:2">
      <c r="B769" s="251">
        <f ca="1" t="shared" si="49"/>
        <v>43539</v>
      </c>
    </row>
    <row r="770" spans="2:2">
      <c r="B770" s="251">
        <f ca="1" t="shared" si="49"/>
        <v>43538</v>
      </c>
    </row>
    <row r="771" spans="2:2">
      <c r="B771" s="251">
        <f ca="1" t="shared" si="49"/>
        <v>43537</v>
      </c>
    </row>
    <row r="772" spans="2:2">
      <c r="B772" s="251">
        <f ca="1" t="shared" si="49"/>
        <v>43536</v>
      </c>
    </row>
    <row r="773" spans="2:2">
      <c r="B773" s="251">
        <f ca="1" t="shared" si="49"/>
        <v>43535</v>
      </c>
    </row>
    <row r="774" spans="2:2">
      <c r="B774" s="251">
        <f ca="1" t="shared" si="49"/>
        <v>43534</v>
      </c>
    </row>
    <row r="775" spans="2:2">
      <c r="B775" s="251">
        <f ca="1" t="shared" si="49"/>
        <v>43533</v>
      </c>
    </row>
    <row r="776" spans="2:2">
      <c r="B776" s="251">
        <f ca="1" t="shared" si="49"/>
        <v>43532</v>
      </c>
    </row>
    <row r="777" spans="2:2">
      <c r="B777" s="251">
        <f ca="1" t="shared" ref="B777:B792" si="50">B776-1</f>
        <v>43531</v>
      </c>
    </row>
    <row r="778" spans="2:2">
      <c r="B778" s="251">
        <f ca="1" t="shared" si="50"/>
        <v>43530</v>
      </c>
    </row>
    <row r="779" spans="2:2">
      <c r="B779" s="251">
        <f ca="1" t="shared" si="50"/>
        <v>43529</v>
      </c>
    </row>
    <row r="780" spans="2:2">
      <c r="B780" s="251">
        <f ca="1" t="shared" si="50"/>
        <v>43528</v>
      </c>
    </row>
    <row r="781" spans="2:2">
      <c r="B781" s="251">
        <f ca="1" t="shared" si="50"/>
        <v>43527</v>
      </c>
    </row>
    <row r="782" spans="2:2">
      <c r="B782" s="251">
        <f ca="1" t="shared" si="50"/>
        <v>43526</v>
      </c>
    </row>
    <row r="783" spans="2:2">
      <c r="B783" s="251">
        <f ca="1" t="shared" si="50"/>
        <v>43525</v>
      </c>
    </row>
    <row r="784" spans="2:2">
      <c r="B784" s="251">
        <f ca="1" t="shared" si="50"/>
        <v>43524</v>
      </c>
    </row>
    <row r="785" spans="2:2">
      <c r="B785" s="251">
        <f ca="1" t="shared" si="50"/>
        <v>43523</v>
      </c>
    </row>
    <row r="786" spans="2:2">
      <c r="B786" s="251">
        <f ca="1" t="shared" si="50"/>
        <v>43522</v>
      </c>
    </row>
    <row r="787" spans="2:2">
      <c r="B787" s="251">
        <f ca="1" t="shared" si="50"/>
        <v>43521</v>
      </c>
    </row>
    <row r="788" spans="2:2">
      <c r="B788" s="251">
        <f ca="1" t="shared" si="50"/>
        <v>43520</v>
      </c>
    </row>
    <row r="789" spans="2:2">
      <c r="B789" s="251">
        <f ca="1" t="shared" si="50"/>
        <v>43519</v>
      </c>
    </row>
    <row r="790" spans="2:2">
      <c r="B790" s="251">
        <f ca="1" t="shared" si="50"/>
        <v>43518</v>
      </c>
    </row>
    <row r="791" spans="2:2">
      <c r="B791" s="251">
        <f ca="1" t="shared" si="50"/>
        <v>43517</v>
      </c>
    </row>
    <row r="792" spans="2:2">
      <c r="B792" s="251">
        <f ca="1" t="shared" si="50"/>
        <v>43516</v>
      </c>
    </row>
    <row r="793" spans="2:2">
      <c r="B793" s="251">
        <f ca="1" t="shared" ref="B793:B808" si="51">B792-1</f>
        <v>43515</v>
      </c>
    </row>
    <row r="794" spans="2:2">
      <c r="B794" s="251">
        <f ca="1" t="shared" si="51"/>
        <v>43514</v>
      </c>
    </row>
    <row r="795" spans="2:2">
      <c r="B795" s="251">
        <f ca="1" t="shared" si="51"/>
        <v>43513</v>
      </c>
    </row>
    <row r="796" spans="2:2">
      <c r="B796" s="251">
        <f ca="1" t="shared" si="51"/>
        <v>43512</v>
      </c>
    </row>
    <row r="797" spans="2:2">
      <c r="B797" s="251">
        <f ca="1" t="shared" si="51"/>
        <v>43511</v>
      </c>
    </row>
    <row r="798" spans="2:2">
      <c r="B798" s="251">
        <f ca="1" t="shared" si="51"/>
        <v>43510</v>
      </c>
    </row>
    <row r="799" spans="2:2">
      <c r="B799" s="251">
        <f ca="1" t="shared" si="51"/>
        <v>43509</v>
      </c>
    </row>
    <row r="800" spans="2:2">
      <c r="B800" s="251">
        <f ca="1" t="shared" si="51"/>
        <v>43508</v>
      </c>
    </row>
    <row r="801" spans="2:2">
      <c r="B801" s="251">
        <f ca="1" t="shared" si="51"/>
        <v>43507</v>
      </c>
    </row>
    <row r="802" spans="2:2">
      <c r="B802" s="251">
        <f ca="1" t="shared" si="51"/>
        <v>43506</v>
      </c>
    </row>
    <row r="803" spans="2:2">
      <c r="B803" s="251">
        <f ca="1" t="shared" si="51"/>
        <v>43505</v>
      </c>
    </row>
    <row r="804" spans="2:2">
      <c r="B804" s="251">
        <f ca="1" t="shared" si="51"/>
        <v>43504</v>
      </c>
    </row>
    <row r="805" spans="2:2">
      <c r="B805" s="251">
        <f ca="1" t="shared" si="51"/>
        <v>43503</v>
      </c>
    </row>
    <row r="806" spans="2:2">
      <c r="B806" s="251">
        <f ca="1" t="shared" si="51"/>
        <v>43502</v>
      </c>
    </row>
    <row r="807" spans="2:2">
      <c r="B807" s="251">
        <f ca="1" t="shared" si="51"/>
        <v>43501</v>
      </c>
    </row>
    <row r="808" spans="2:2">
      <c r="B808" s="251">
        <f ca="1" t="shared" si="51"/>
        <v>43500</v>
      </c>
    </row>
    <row r="809" spans="2:2">
      <c r="B809" s="251">
        <f ca="1" t="shared" ref="B809:B824" si="52">B808-1</f>
        <v>43499</v>
      </c>
    </row>
    <row r="810" spans="2:2">
      <c r="B810" s="251">
        <f ca="1" t="shared" si="52"/>
        <v>43498</v>
      </c>
    </row>
    <row r="811" spans="2:2">
      <c r="B811" s="251">
        <f ca="1" t="shared" si="52"/>
        <v>43497</v>
      </c>
    </row>
    <row r="812" spans="2:2">
      <c r="B812" s="251">
        <f ca="1" t="shared" si="52"/>
        <v>43496</v>
      </c>
    </row>
    <row r="813" spans="2:2">
      <c r="B813" s="251">
        <f ca="1" t="shared" si="52"/>
        <v>43495</v>
      </c>
    </row>
    <row r="814" spans="2:2">
      <c r="B814" s="251">
        <f ca="1" t="shared" si="52"/>
        <v>43494</v>
      </c>
    </row>
    <row r="815" spans="2:2">
      <c r="B815" s="251">
        <f ca="1" t="shared" si="52"/>
        <v>43493</v>
      </c>
    </row>
    <row r="816" spans="2:2">
      <c r="B816" s="251">
        <f ca="1" t="shared" si="52"/>
        <v>43492</v>
      </c>
    </row>
    <row r="817" spans="2:2">
      <c r="B817" s="251">
        <f ca="1" t="shared" si="52"/>
        <v>43491</v>
      </c>
    </row>
    <row r="818" spans="2:2">
      <c r="B818" s="251">
        <f ca="1" t="shared" si="52"/>
        <v>43490</v>
      </c>
    </row>
    <row r="819" spans="2:2">
      <c r="B819" s="251">
        <f ca="1" t="shared" si="52"/>
        <v>43489</v>
      </c>
    </row>
    <row r="820" spans="2:2">
      <c r="B820" s="251">
        <f ca="1" t="shared" si="52"/>
        <v>43488</v>
      </c>
    </row>
    <row r="821" spans="2:2">
      <c r="B821" s="251">
        <f ca="1" t="shared" si="52"/>
        <v>43487</v>
      </c>
    </row>
    <row r="822" spans="2:2">
      <c r="B822" s="251">
        <f ca="1" t="shared" si="52"/>
        <v>43486</v>
      </c>
    </row>
    <row r="823" spans="2:2">
      <c r="B823" s="251">
        <f ca="1" t="shared" si="52"/>
        <v>43485</v>
      </c>
    </row>
    <row r="824" spans="2:2">
      <c r="B824" s="251">
        <f ca="1" t="shared" si="52"/>
        <v>43484</v>
      </c>
    </row>
    <row r="825" spans="2:2">
      <c r="B825" s="251">
        <f ca="1" t="shared" ref="B825:B840" si="53">B824-1</f>
        <v>43483</v>
      </c>
    </row>
    <row r="826" spans="2:2">
      <c r="B826" s="251">
        <f ca="1" t="shared" si="53"/>
        <v>43482</v>
      </c>
    </row>
    <row r="827" spans="2:2">
      <c r="B827" s="251">
        <f ca="1" t="shared" si="53"/>
        <v>43481</v>
      </c>
    </row>
    <row r="828" spans="2:2">
      <c r="B828" s="251">
        <f ca="1" t="shared" si="53"/>
        <v>43480</v>
      </c>
    </row>
    <row r="829" spans="2:2">
      <c r="B829" s="251">
        <f ca="1" t="shared" si="53"/>
        <v>43479</v>
      </c>
    </row>
    <row r="830" spans="2:2">
      <c r="B830" s="251">
        <f ca="1" t="shared" si="53"/>
        <v>43478</v>
      </c>
    </row>
    <row r="831" spans="2:2">
      <c r="B831" s="251">
        <f ca="1" t="shared" si="53"/>
        <v>43477</v>
      </c>
    </row>
    <row r="832" spans="2:2">
      <c r="B832" s="251">
        <f ca="1" t="shared" si="53"/>
        <v>43476</v>
      </c>
    </row>
    <row r="833" spans="2:2">
      <c r="B833" s="251">
        <f ca="1" t="shared" si="53"/>
        <v>43475</v>
      </c>
    </row>
    <row r="834" spans="2:2">
      <c r="B834" s="251">
        <f ca="1" t="shared" si="53"/>
        <v>43474</v>
      </c>
    </row>
    <row r="835" spans="2:2">
      <c r="B835" s="251">
        <f ca="1" t="shared" si="53"/>
        <v>43473</v>
      </c>
    </row>
    <row r="836" spans="2:2">
      <c r="B836" s="251">
        <f ca="1" t="shared" si="53"/>
        <v>43472</v>
      </c>
    </row>
    <row r="837" spans="2:2">
      <c r="B837" s="251">
        <f ca="1" t="shared" si="53"/>
        <v>43471</v>
      </c>
    </row>
    <row r="838" spans="2:2">
      <c r="B838" s="251">
        <f ca="1" t="shared" si="53"/>
        <v>43470</v>
      </c>
    </row>
    <row r="839" spans="2:2">
      <c r="B839" s="251">
        <f ca="1" t="shared" si="53"/>
        <v>43469</v>
      </c>
    </row>
    <row r="840" spans="2:2">
      <c r="B840" s="251">
        <f ca="1" t="shared" si="53"/>
        <v>43468</v>
      </c>
    </row>
    <row r="841" spans="2:2">
      <c r="B841" s="251">
        <f ca="1" t="shared" ref="B841:B856" si="54">B840-1</f>
        <v>43467</v>
      </c>
    </row>
    <row r="842" spans="2:2">
      <c r="B842" s="251">
        <f ca="1" t="shared" si="54"/>
        <v>43466</v>
      </c>
    </row>
    <row r="843" spans="2:2">
      <c r="B843" s="251">
        <f ca="1" t="shared" si="54"/>
        <v>43465</v>
      </c>
    </row>
    <row r="844" spans="2:2">
      <c r="B844" s="251">
        <f ca="1" t="shared" si="54"/>
        <v>43464</v>
      </c>
    </row>
    <row r="845" spans="2:2">
      <c r="B845" s="251">
        <f ca="1" t="shared" si="54"/>
        <v>43463</v>
      </c>
    </row>
    <row r="846" spans="2:2">
      <c r="B846" s="251">
        <f ca="1" t="shared" si="54"/>
        <v>43462</v>
      </c>
    </row>
    <row r="847" spans="2:2">
      <c r="B847" s="251">
        <f ca="1" t="shared" si="54"/>
        <v>43461</v>
      </c>
    </row>
    <row r="848" spans="2:2">
      <c r="B848" s="251">
        <f ca="1" t="shared" si="54"/>
        <v>43460</v>
      </c>
    </row>
    <row r="849" spans="2:2">
      <c r="B849" s="251">
        <f ca="1" t="shared" si="54"/>
        <v>43459</v>
      </c>
    </row>
    <row r="850" spans="2:2">
      <c r="B850" s="251">
        <f ca="1" t="shared" si="54"/>
        <v>43458</v>
      </c>
    </row>
    <row r="851" spans="2:2">
      <c r="B851" s="251">
        <f ca="1" t="shared" si="54"/>
        <v>43457</v>
      </c>
    </row>
    <row r="852" spans="2:2">
      <c r="B852" s="251">
        <f ca="1" t="shared" si="54"/>
        <v>43456</v>
      </c>
    </row>
    <row r="853" spans="2:2">
      <c r="B853" s="251">
        <f ca="1" t="shared" si="54"/>
        <v>43455</v>
      </c>
    </row>
    <row r="854" spans="2:2">
      <c r="B854" s="251">
        <f ca="1" t="shared" si="54"/>
        <v>43454</v>
      </c>
    </row>
    <row r="855" spans="2:2">
      <c r="B855" s="251">
        <f ca="1" t="shared" si="54"/>
        <v>43453</v>
      </c>
    </row>
    <row r="856" spans="2:2">
      <c r="B856" s="251">
        <f ca="1" t="shared" si="54"/>
        <v>43452</v>
      </c>
    </row>
    <row r="857" spans="2:2">
      <c r="B857" s="251">
        <f ca="1" t="shared" ref="B857:B872" si="55">B856-1</f>
        <v>43451</v>
      </c>
    </row>
    <row r="858" spans="2:2">
      <c r="B858" s="251">
        <f ca="1" t="shared" si="55"/>
        <v>43450</v>
      </c>
    </row>
    <row r="859" spans="2:2">
      <c r="B859" s="251">
        <f ca="1" t="shared" si="55"/>
        <v>43449</v>
      </c>
    </row>
    <row r="860" spans="2:2">
      <c r="B860" s="251">
        <f ca="1" t="shared" si="55"/>
        <v>43448</v>
      </c>
    </row>
    <row r="861" spans="2:2">
      <c r="B861" s="251">
        <f ca="1" t="shared" si="55"/>
        <v>43447</v>
      </c>
    </row>
    <row r="862" spans="2:2">
      <c r="B862" s="251">
        <f ca="1" t="shared" si="55"/>
        <v>43446</v>
      </c>
    </row>
    <row r="863" spans="2:2">
      <c r="B863" s="251">
        <f ca="1" t="shared" si="55"/>
        <v>43445</v>
      </c>
    </row>
    <row r="864" spans="2:2">
      <c r="B864" s="251">
        <f ca="1" t="shared" si="55"/>
        <v>43444</v>
      </c>
    </row>
    <row r="865" spans="2:2">
      <c r="B865" s="251">
        <f ca="1" t="shared" si="55"/>
        <v>43443</v>
      </c>
    </row>
    <row r="866" spans="2:2">
      <c r="B866" s="251">
        <f ca="1" t="shared" si="55"/>
        <v>43442</v>
      </c>
    </row>
    <row r="867" spans="2:2">
      <c r="B867" s="251">
        <f ca="1" t="shared" si="55"/>
        <v>43441</v>
      </c>
    </row>
    <row r="868" spans="2:2">
      <c r="B868" s="251">
        <f ca="1" t="shared" si="55"/>
        <v>43440</v>
      </c>
    </row>
    <row r="869" spans="2:2">
      <c r="B869" s="251">
        <f ca="1" t="shared" si="55"/>
        <v>43439</v>
      </c>
    </row>
    <row r="870" spans="2:2">
      <c r="B870" s="251">
        <f ca="1" t="shared" si="55"/>
        <v>43438</v>
      </c>
    </row>
    <row r="871" spans="2:2">
      <c r="B871" s="251">
        <f ca="1" t="shared" si="55"/>
        <v>43437</v>
      </c>
    </row>
    <row r="872" spans="2:2">
      <c r="B872" s="251">
        <f ca="1" t="shared" si="55"/>
        <v>43436</v>
      </c>
    </row>
    <row r="873" spans="2:2">
      <c r="B873" s="251">
        <f ca="1" t="shared" ref="B873:B888" si="56">B872-1</f>
        <v>43435</v>
      </c>
    </row>
    <row r="874" spans="2:2">
      <c r="B874" s="251">
        <f ca="1" t="shared" si="56"/>
        <v>43434</v>
      </c>
    </row>
    <row r="875" spans="2:2">
      <c r="B875" s="251">
        <f ca="1" t="shared" si="56"/>
        <v>43433</v>
      </c>
    </row>
    <row r="876" spans="2:2">
      <c r="B876" s="251">
        <f ca="1" t="shared" si="56"/>
        <v>43432</v>
      </c>
    </row>
    <row r="877" spans="2:2">
      <c r="B877" s="251">
        <f ca="1" t="shared" si="56"/>
        <v>43431</v>
      </c>
    </row>
    <row r="878" spans="2:2">
      <c r="B878" s="251">
        <f ca="1" t="shared" si="56"/>
        <v>43430</v>
      </c>
    </row>
    <row r="879" spans="2:2">
      <c r="B879" s="251">
        <f ca="1" t="shared" si="56"/>
        <v>43429</v>
      </c>
    </row>
    <row r="880" spans="2:2">
      <c r="B880" s="251">
        <f ca="1" t="shared" si="56"/>
        <v>43428</v>
      </c>
    </row>
    <row r="881" spans="2:2">
      <c r="B881" s="251">
        <f ca="1" t="shared" si="56"/>
        <v>43427</v>
      </c>
    </row>
    <row r="882" spans="2:2">
      <c r="B882" s="251">
        <f ca="1" t="shared" si="56"/>
        <v>43426</v>
      </c>
    </row>
    <row r="883" spans="2:2">
      <c r="B883" s="251">
        <f ca="1" t="shared" si="56"/>
        <v>43425</v>
      </c>
    </row>
    <row r="884" spans="2:2">
      <c r="B884" s="251">
        <f ca="1" t="shared" si="56"/>
        <v>43424</v>
      </c>
    </row>
    <row r="885" spans="2:2">
      <c r="B885" s="251">
        <f ca="1" t="shared" si="56"/>
        <v>43423</v>
      </c>
    </row>
    <row r="886" spans="2:2">
      <c r="B886" s="251">
        <f ca="1" t="shared" si="56"/>
        <v>43422</v>
      </c>
    </row>
    <row r="887" spans="2:2">
      <c r="B887" s="251">
        <f ca="1" t="shared" si="56"/>
        <v>43421</v>
      </c>
    </row>
    <row r="888" spans="2:2">
      <c r="B888" s="251">
        <f ca="1" t="shared" si="56"/>
        <v>43420</v>
      </c>
    </row>
    <row r="889" spans="2:2">
      <c r="B889" s="251">
        <f ca="1" t="shared" ref="B889:B904" si="57">B888-1</f>
        <v>43419</v>
      </c>
    </row>
    <row r="890" spans="2:2">
      <c r="B890" s="251">
        <f ca="1" t="shared" si="57"/>
        <v>43418</v>
      </c>
    </row>
    <row r="891" spans="2:2">
      <c r="B891" s="251">
        <f ca="1" t="shared" si="57"/>
        <v>43417</v>
      </c>
    </row>
    <row r="892" spans="2:2">
      <c r="B892" s="251">
        <f ca="1" t="shared" si="57"/>
        <v>43416</v>
      </c>
    </row>
    <row r="893" spans="2:2">
      <c r="B893" s="251">
        <f ca="1" t="shared" si="57"/>
        <v>43415</v>
      </c>
    </row>
    <row r="894" spans="2:2">
      <c r="B894" s="251">
        <f ca="1" t="shared" si="57"/>
        <v>43414</v>
      </c>
    </row>
    <row r="895" spans="2:2">
      <c r="B895" s="251">
        <f ca="1" t="shared" si="57"/>
        <v>43413</v>
      </c>
    </row>
    <row r="896" spans="2:2">
      <c r="B896" s="251">
        <f ca="1" t="shared" si="57"/>
        <v>43412</v>
      </c>
    </row>
    <row r="897" spans="2:2">
      <c r="B897" s="251">
        <f ca="1" t="shared" si="57"/>
        <v>43411</v>
      </c>
    </row>
    <row r="898" spans="2:2">
      <c r="B898" s="251">
        <f ca="1" t="shared" si="57"/>
        <v>43410</v>
      </c>
    </row>
    <row r="899" spans="2:2">
      <c r="B899" s="251">
        <f ca="1" t="shared" si="57"/>
        <v>43409</v>
      </c>
    </row>
    <row r="900" spans="2:2">
      <c r="B900" s="251">
        <f ca="1" t="shared" si="57"/>
        <v>43408</v>
      </c>
    </row>
    <row r="901" spans="2:2">
      <c r="B901" s="251">
        <f ca="1" t="shared" si="57"/>
        <v>43407</v>
      </c>
    </row>
    <row r="902" spans="2:2">
      <c r="B902" s="251">
        <f ca="1" t="shared" si="57"/>
        <v>43406</v>
      </c>
    </row>
    <row r="903" spans="2:2">
      <c r="B903" s="251">
        <f ca="1" t="shared" si="57"/>
        <v>43405</v>
      </c>
    </row>
    <row r="904" spans="2:2">
      <c r="B904" s="251">
        <f ca="1" t="shared" si="57"/>
        <v>43404</v>
      </c>
    </row>
    <row r="905" spans="2:2">
      <c r="B905" s="251">
        <f ca="1" t="shared" ref="B905:B920" si="58">B904-1</f>
        <v>43403</v>
      </c>
    </row>
    <row r="906" spans="2:2">
      <c r="B906" s="251">
        <f ca="1" t="shared" si="58"/>
        <v>43402</v>
      </c>
    </row>
    <row r="907" spans="2:2">
      <c r="B907" s="251">
        <f ca="1" t="shared" si="58"/>
        <v>43401</v>
      </c>
    </row>
    <row r="908" spans="2:2">
      <c r="B908" s="251">
        <f ca="1" t="shared" si="58"/>
        <v>43400</v>
      </c>
    </row>
    <row r="909" spans="2:2">
      <c r="B909" s="251">
        <f ca="1" t="shared" si="58"/>
        <v>43399</v>
      </c>
    </row>
    <row r="910" spans="2:2">
      <c r="B910" s="251">
        <f ca="1" t="shared" si="58"/>
        <v>43398</v>
      </c>
    </row>
    <row r="911" spans="2:2">
      <c r="B911" s="251">
        <f ca="1" t="shared" si="58"/>
        <v>43397</v>
      </c>
    </row>
    <row r="912" spans="2:2">
      <c r="B912" s="251">
        <f ca="1" t="shared" si="58"/>
        <v>43396</v>
      </c>
    </row>
    <row r="913" spans="2:2">
      <c r="B913" s="251">
        <f ca="1" t="shared" si="58"/>
        <v>43395</v>
      </c>
    </row>
    <row r="914" spans="2:2">
      <c r="B914" s="251">
        <f ca="1" t="shared" si="58"/>
        <v>43394</v>
      </c>
    </row>
    <row r="915" spans="2:2">
      <c r="B915" s="251">
        <f ca="1" t="shared" si="58"/>
        <v>43393</v>
      </c>
    </row>
    <row r="916" spans="2:2">
      <c r="B916" s="251">
        <f ca="1" t="shared" si="58"/>
        <v>43392</v>
      </c>
    </row>
    <row r="917" spans="2:2">
      <c r="B917" s="251">
        <f ca="1" t="shared" si="58"/>
        <v>43391</v>
      </c>
    </row>
    <row r="918" spans="2:2">
      <c r="B918" s="251">
        <f ca="1" t="shared" si="58"/>
        <v>43390</v>
      </c>
    </row>
    <row r="919" spans="2:2">
      <c r="B919" s="251">
        <f ca="1" t="shared" si="58"/>
        <v>43389</v>
      </c>
    </row>
    <row r="920" spans="2:2">
      <c r="B920" s="251">
        <f ca="1" t="shared" si="58"/>
        <v>43388</v>
      </c>
    </row>
    <row r="921" spans="2:2">
      <c r="B921" s="251">
        <f ca="1" t="shared" ref="B921:B936" si="59">B920-1</f>
        <v>43387</v>
      </c>
    </row>
    <row r="922" spans="2:2">
      <c r="B922" s="251">
        <f ca="1" t="shared" si="59"/>
        <v>43386</v>
      </c>
    </row>
    <row r="923" spans="2:2">
      <c r="B923" s="251">
        <f ca="1" t="shared" si="59"/>
        <v>43385</v>
      </c>
    </row>
    <row r="924" spans="2:2">
      <c r="B924" s="251">
        <f ca="1" t="shared" si="59"/>
        <v>43384</v>
      </c>
    </row>
    <row r="925" spans="2:2">
      <c r="B925" s="251">
        <f ca="1" t="shared" si="59"/>
        <v>43383</v>
      </c>
    </row>
    <row r="926" spans="2:2">
      <c r="B926" s="251">
        <f ca="1" t="shared" si="59"/>
        <v>43382</v>
      </c>
    </row>
    <row r="927" spans="2:2">
      <c r="B927" s="251">
        <f ca="1" t="shared" si="59"/>
        <v>43381</v>
      </c>
    </row>
    <row r="928" spans="2:2">
      <c r="B928" s="251">
        <f ca="1" t="shared" si="59"/>
        <v>43380</v>
      </c>
    </row>
    <row r="929" spans="2:2">
      <c r="B929" s="251">
        <f ca="1" t="shared" si="59"/>
        <v>43379</v>
      </c>
    </row>
    <row r="930" spans="2:2">
      <c r="B930" s="251">
        <f ca="1" t="shared" si="59"/>
        <v>43378</v>
      </c>
    </row>
    <row r="931" spans="2:2">
      <c r="B931" s="251">
        <f ca="1" t="shared" si="59"/>
        <v>43377</v>
      </c>
    </row>
    <row r="932" spans="2:2">
      <c r="B932" s="251">
        <f ca="1" t="shared" si="59"/>
        <v>43376</v>
      </c>
    </row>
    <row r="933" spans="2:2">
      <c r="B933" s="251">
        <f ca="1" t="shared" si="59"/>
        <v>43375</v>
      </c>
    </row>
    <row r="934" spans="2:2">
      <c r="B934" s="251">
        <f ca="1" t="shared" si="59"/>
        <v>43374</v>
      </c>
    </row>
    <row r="935" spans="2:2">
      <c r="B935" s="251">
        <f ca="1" t="shared" si="59"/>
        <v>43373</v>
      </c>
    </row>
    <row r="936" spans="2:2">
      <c r="B936" s="251">
        <f ca="1" t="shared" si="59"/>
        <v>43372</v>
      </c>
    </row>
    <row r="937" spans="2:2">
      <c r="B937" s="251">
        <f ca="1" t="shared" ref="B937:B952" si="60">B936-1</f>
        <v>43371</v>
      </c>
    </row>
    <row r="938" spans="2:2">
      <c r="B938" s="251">
        <f ca="1" t="shared" si="60"/>
        <v>43370</v>
      </c>
    </row>
    <row r="939" spans="2:2">
      <c r="B939" s="251">
        <f ca="1" t="shared" si="60"/>
        <v>43369</v>
      </c>
    </row>
    <row r="940" spans="2:2">
      <c r="B940" s="251">
        <f ca="1" t="shared" si="60"/>
        <v>43368</v>
      </c>
    </row>
    <row r="941" spans="2:2">
      <c r="B941" s="251">
        <f ca="1" t="shared" si="60"/>
        <v>43367</v>
      </c>
    </row>
    <row r="942" spans="2:2">
      <c r="B942" s="251">
        <f ca="1" t="shared" si="60"/>
        <v>43366</v>
      </c>
    </row>
    <row r="943" spans="2:2">
      <c r="B943" s="251">
        <f ca="1" t="shared" si="60"/>
        <v>43365</v>
      </c>
    </row>
    <row r="944" spans="2:2">
      <c r="B944" s="251">
        <f ca="1" t="shared" si="60"/>
        <v>43364</v>
      </c>
    </row>
    <row r="945" spans="2:2">
      <c r="B945" s="251">
        <f ca="1" t="shared" si="60"/>
        <v>43363</v>
      </c>
    </row>
    <row r="946" spans="2:2">
      <c r="B946" s="251">
        <f ca="1" t="shared" si="60"/>
        <v>43362</v>
      </c>
    </row>
    <row r="947" spans="2:2">
      <c r="B947" s="251">
        <f ca="1" t="shared" si="60"/>
        <v>43361</v>
      </c>
    </row>
    <row r="948" spans="2:2">
      <c r="B948" s="251">
        <f ca="1" t="shared" si="60"/>
        <v>43360</v>
      </c>
    </row>
    <row r="949" spans="2:2">
      <c r="B949" s="251">
        <f ca="1" t="shared" si="60"/>
        <v>43359</v>
      </c>
    </row>
    <row r="950" spans="2:2">
      <c r="B950" s="251">
        <f ca="1" t="shared" si="60"/>
        <v>43358</v>
      </c>
    </row>
    <row r="951" spans="2:2">
      <c r="B951" s="251">
        <f ca="1" t="shared" si="60"/>
        <v>43357</v>
      </c>
    </row>
    <row r="952" spans="2:2">
      <c r="B952" s="251">
        <f ca="1" t="shared" si="60"/>
        <v>43356</v>
      </c>
    </row>
    <row r="953" spans="2:2">
      <c r="B953" s="251">
        <f ca="1" t="shared" ref="B953:B968" si="61">B952-1</f>
        <v>43355</v>
      </c>
    </row>
    <row r="954" spans="2:2">
      <c r="B954" s="251">
        <f ca="1" t="shared" si="61"/>
        <v>43354</v>
      </c>
    </row>
    <row r="955" spans="2:2">
      <c r="B955" s="251">
        <f ca="1" t="shared" si="61"/>
        <v>43353</v>
      </c>
    </row>
    <row r="956" spans="2:2">
      <c r="B956" s="251">
        <f ca="1" t="shared" si="61"/>
        <v>43352</v>
      </c>
    </row>
    <row r="957" spans="2:2">
      <c r="B957" s="251">
        <f ca="1" t="shared" si="61"/>
        <v>43351</v>
      </c>
    </row>
    <row r="958" spans="2:2">
      <c r="B958" s="251">
        <f ca="1" t="shared" si="61"/>
        <v>43350</v>
      </c>
    </row>
    <row r="959" spans="2:2">
      <c r="B959" s="251">
        <f ca="1" t="shared" si="61"/>
        <v>43349</v>
      </c>
    </row>
    <row r="960" spans="2:2">
      <c r="B960" s="251">
        <f ca="1" t="shared" si="61"/>
        <v>43348</v>
      </c>
    </row>
    <row r="961" spans="2:2">
      <c r="B961" s="251">
        <f ca="1" t="shared" si="61"/>
        <v>43347</v>
      </c>
    </row>
    <row r="962" spans="2:2">
      <c r="B962" s="251">
        <f ca="1" t="shared" si="61"/>
        <v>43346</v>
      </c>
    </row>
    <row r="963" spans="2:2">
      <c r="B963" s="251">
        <f ca="1" t="shared" si="61"/>
        <v>43345</v>
      </c>
    </row>
    <row r="964" spans="2:2">
      <c r="B964" s="251">
        <f ca="1" t="shared" si="61"/>
        <v>43344</v>
      </c>
    </row>
    <row r="965" spans="2:2">
      <c r="B965" s="251">
        <f ca="1" t="shared" si="61"/>
        <v>43343</v>
      </c>
    </row>
    <row r="966" spans="2:2">
      <c r="B966" s="251">
        <f ca="1" t="shared" si="61"/>
        <v>43342</v>
      </c>
    </row>
    <row r="967" spans="2:2">
      <c r="B967" s="251">
        <f ca="1" t="shared" si="61"/>
        <v>43341</v>
      </c>
    </row>
    <row r="968" spans="2:2">
      <c r="B968" s="251">
        <f ca="1" t="shared" si="61"/>
        <v>43340</v>
      </c>
    </row>
    <row r="969" spans="2:2">
      <c r="B969" s="251">
        <f ca="1" t="shared" ref="B969:B984" si="62">B968-1</f>
        <v>43339</v>
      </c>
    </row>
    <row r="970" spans="2:2">
      <c r="B970" s="251">
        <f ca="1" t="shared" si="62"/>
        <v>43338</v>
      </c>
    </row>
    <row r="971" spans="2:2">
      <c r="B971" s="251">
        <f ca="1" t="shared" si="62"/>
        <v>43337</v>
      </c>
    </row>
    <row r="972" spans="2:2">
      <c r="B972" s="251">
        <f ca="1" t="shared" si="62"/>
        <v>43336</v>
      </c>
    </row>
    <row r="973" spans="2:2">
      <c r="B973" s="251">
        <f ca="1" t="shared" si="62"/>
        <v>43335</v>
      </c>
    </row>
    <row r="974" spans="2:2">
      <c r="B974" s="251">
        <f ca="1" t="shared" si="62"/>
        <v>43334</v>
      </c>
    </row>
    <row r="975" spans="2:2">
      <c r="B975" s="251">
        <f ca="1" t="shared" si="62"/>
        <v>43333</v>
      </c>
    </row>
    <row r="976" spans="2:2">
      <c r="B976" s="251">
        <f ca="1" t="shared" si="62"/>
        <v>43332</v>
      </c>
    </row>
    <row r="977" spans="2:2">
      <c r="B977" s="251">
        <f ca="1" t="shared" si="62"/>
        <v>43331</v>
      </c>
    </row>
    <row r="978" spans="2:2">
      <c r="B978" s="251">
        <f ca="1" t="shared" si="62"/>
        <v>43330</v>
      </c>
    </row>
    <row r="979" spans="2:2">
      <c r="B979" s="251">
        <f ca="1" t="shared" si="62"/>
        <v>43329</v>
      </c>
    </row>
    <row r="980" spans="2:2">
      <c r="B980" s="251">
        <f ca="1" t="shared" si="62"/>
        <v>43328</v>
      </c>
    </row>
    <row r="981" spans="2:2">
      <c r="B981" s="251">
        <f ca="1" t="shared" si="62"/>
        <v>43327</v>
      </c>
    </row>
    <row r="982" spans="2:2">
      <c r="B982" s="251">
        <f ca="1" t="shared" si="62"/>
        <v>43326</v>
      </c>
    </row>
    <row r="983" spans="2:2">
      <c r="B983" s="251">
        <f ca="1" t="shared" si="62"/>
        <v>43325</v>
      </c>
    </row>
    <row r="984" spans="2:2">
      <c r="B984" s="251">
        <f ca="1" t="shared" si="62"/>
        <v>43324</v>
      </c>
    </row>
    <row r="985" spans="2:2">
      <c r="B985" s="251">
        <f ca="1" t="shared" ref="B985:B1000" si="63">B984-1</f>
        <v>43323</v>
      </c>
    </row>
    <row r="986" spans="2:2">
      <c r="B986" s="251">
        <f ca="1" t="shared" si="63"/>
        <v>43322</v>
      </c>
    </row>
    <row r="987" spans="2:2">
      <c r="B987" s="251">
        <f ca="1" t="shared" si="63"/>
        <v>43321</v>
      </c>
    </row>
    <row r="988" spans="2:2">
      <c r="B988" s="251">
        <f ca="1" t="shared" si="63"/>
        <v>43320</v>
      </c>
    </row>
    <row r="989" spans="2:2">
      <c r="B989" s="251">
        <f ca="1" t="shared" si="63"/>
        <v>43319</v>
      </c>
    </row>
    <row r="990" spans="2:2">
      <c r="B990" s="251">
        <f ca="1" t="shared" si="63"/>
        <v>43318</v>
      </c>
    </row>
    <row r="991" spans="2:2">
      <c r="B991" s="251">
        <f ca="1" t="shared" si="63"/>
        <v>43317</v>
      </c>
    </row>
    <row r="992" spans="2:2">
      <c r="B992" s="251">
        <f ca="1" t="shared" si="63"/>
        <v>43316</v>
      </c>
    </row>
    <row r="993" spans="2:2">
      <c r="B993" s="251">
        <f ca="1" t="shared" si="63"/>
        <v>43315</v>
      </c>
    </row>
    <row r="994" spans="2:2">
      <c r="B994" s="251">
        <f ca="1" t="shared" si="63"/>
        <v>43314</v>
      </c>
    </row>
    <row r="995" spans="2:2">
      <c r="B995" s="251">
        <f ca="1" t="shared" si="63"/>
        <v>43313</v>
      </c>
    </row>
    <row r="996" spans="2:2">
      <c r="B996" s="251">
        <f ca="1" t="shared" si="63"/>
        <v>43312</v>
      </c>
    </row>
    <row r="997" spans="2:2">
      <c r="B997" s="251">
        <f ca="1" t="shared" si="63"/>
        <v>43311</v>
      </c>
    </row>
    <row r="998" spans="2:2">
      <c r="B998" s="251">
        <f ca="1" t="shared" si="63"/>
        <v>43310</v>
      </c>
    </row>
    <row r="999" spans="2:2">
      <c r="B999" s="251">
        <f ca="1" t="shared" si="63"/>
        <v>43309</v>
      </c>
    </row>
    <row r="1000" spans="2:2">
      <c r="B1000" s="251">
        <f ca="1" t="shared" si="63"/>
        <v>43308</v>
      </c>
    </row>
    <row r="1001" spans="2:2">
      <c r="B1001" s="251">
        <f ca="1" t="shared" ref="B1001:B1016" si="64">B1000-1</f>
        <v>43307</v>
      </c>
    </row>
    <row r="1002" spans="2:2">
      <c r="B1002" s="251">
        <f ca="1" t="shared" si="64"/>
        <v>43306</v>
      </c>
    </row>
    <row r="1003" spans="2:2">
      <c r="B1003" s="251">
        <f ca="1" t="shared" si="64"/>
        <v>43305</v>
      </c>
    </row>
    <row r="1004" spans="2:2">
      <c r="B1004" s="251">
        <f ca="1" t="shared" si="64"/>
        <v>43304</v>
      </c>
    </row>
    <row r="1005" spans="2:2">
      <c r="B1005" s="251">
        <f ca="1" t="shared" si="64"/>
        <v>43303</v>
      </c>
    </row>
    <row r="1006" spans="2:2">
      <c r="B1006" s="251">
        <f ca="1" t="shared" si="64"/>
        <v>43302</v>
      </c>
    </row>
    <row r="1007" spans="2:2">
      <c r="B1007" s="251">
        <f ca="1" t="shared" si="64"/>
        <v>43301</v>
      </c>
    </row>
    <row r="1008" spans="2:2">
      <c r="B1008" s="251">
        <f ca="1" t="shared" si="64"/>
        <v>43300</v>
      </c>
    </row>
    <row r="1009" spans="2:2">
      <c r="B1009" s="251">
        <f ca="1" t="shared" si="64"/>
        <v>43299</v>
      </c>
    </row>
    <row r="1010" spans="2:2">
      <c r="B1010" s="251">
        <f ca="1" t="shared" si="64"/>
        <v>43298</v>
      </c>
    </row>
    <row r="1011" spans="2:2">
      <c r="B1011" s="251">
        <f ca="1" t="shared" si="64"/>
        <v>43297</v>
      </c>
    </row>
    <row r="1012" spans="2:2">
      <c r="B1012" s="251">
        <f ca="1" t="shared" si="64"/>
        <v>43296</v>
      </c>
    </row>
    <row r="1013" spans="2:2">
      <c r="B1013" s="251">
        <f ca="1" t="shared" si="64"/>
        <v>43295</v>
      </c>
    </row>
    <row r="1014" spans="2:2">
      <c r="B1014" s="251">
        <f ca="1" t="shared" si="64"/>
        <v>43294</v>
      </c>
    </row>
    <row r="1015" spans="2:2">
      <c r="B1015" s="251">
        <f ca="1" t="shared" si="64"/>
        <v>43293</v>
      </c>
    </row>
    <row r="1016" spans="2:2">
      <c r="B1016" s="251">
        <f ca="1" t="shared" si="64"/>
        <v>43292</v>
      </c>
    </row>
    <row r="1017" spans="2:2">
      <c r="B1017" s="251">
        <f ca="1" t="shared" ref="B1017:B1032" si="65">B1016-1</f>
        <v>43291</v>
      </c>
    </row>
    <row r="1018" spans="2:2">
      <c r="B1018" s="251">
        <f ca="1" t="shared" si="65"/>
        <v>43290</v>
      </c>
    </row>
    <row r="1019" spans="2:2">
      <c r="B1019" s="251">
        <f ca="1" t="shared" si="65"/>
        <v>43289</v>
      </c>
    </row>
    <row r="1020" spans="2:2">
      <c r="B1020" s="251">
        <f ca="1" t="shared" si="65"/>
        <v>43288</v>
      </c>
    </row>
    <row r="1021" spans="2:2">
      <c r="B1021" s="251">
        <f ca="1" t="shared" si="65"/>
        <v>43287</v>
      </c>
    </row>
    <row r="1022" spans="2:2">
      <c r="B1022" s="251">
        <f ca="1" t="shared" si="65"/>
        <v>43286</v>
      </c>
    </row>
    <row r="1023" spans="2:2">
      <c r="B1023" s="251">
        <f ca="1" t="shared" si="65"/>
        <v>43285</v>
      </c>
    </row>
    <row r="1024" spans="2:2">
      <c r="B1024" s="251">
        <f ca="1" t="shared" si="65"/>
        <v>43284</v>
      </c>
    </row>
    <row r="1025" spans="2:2">
      <c r="B1025" s="251">
        <f ca="1" t="shared" si="65"/>
        <v>43283</v>
      </c>
    </row>
    <row r="1026" spans="2:2">
      <c r="B1026" s="251">
        <f ca="1" t="shared" si="65"/>
        <v>43282</v>
      </c>
    </row>
    <row r="1027" spans="2:2">
      <c r="B1027" s="251">
        <f ca="1" t="shared" si="65"/>
        <v>43281</v>
      </c>
    </row>
    <row r="1028" spans="2:2">
      <c r="B1028" s="251">
        <f ca="1" t="shared" si="65"/>
        <v>43280</v>
      </c>
    </row>
    <row r="1029" spans="2:2">
      <c r="B1029" s="251">
        <f ca="1" t="shared" si="65"/>
        <v>43279</v>
      </c>
    </row>
    <row r="1030" spans="2:2">
      <c r="B1030" s="251">
        <f ca="1" t="shared" si="65"/>
        <v>43278</v>
      </c>
    </row>
    <row r="1031" spans="2:2">
      <c r="B1031" s="251">
        <f ca="1" t="shared" si="65"/>
        <v>43277</v>
      </c>
    </row>
    <row r="1032" spans="2:2">
      <c r="B1032" s="251">
        <f ca="1" t="shared" si="65"/>
        <v>43276</v>
      </c>
    </row>
    <row r="1033" spans="2:2">
      <c r="B1033" s="251">
        <f ca="1" t="shared" ref="B1033:B1048" si="66">B1032-1</f>
        <v>43275</v>
      </c>
    </row>
    <row r="1034" spans="2:2">
      <c r="B1034" s="251">
        <f ca="1" t="shared" si="66"/>
        <v>43274</v>
      </c>
    </row>
    <row r="1035" spans="2:2">
      <c r="B1035" s="251">
        <f ca="1" t="shared" si="66"/>
        <v>43273</v>
      </c>
    </row>
    <row r="1036" spans="2:2">
      <c r="B1036" s="251">
        <f ca="1" t="shared" si="66"/>
        <v>43272</v>
      </c>
    </row>
    <row r="1037" spans="2:2">
      <c r="B1037" s="251">
        <f ca="1" t="shared" si="66"/>
        <v>43271</v>
      </c>
    </row>
    <row r="1038" spans="2:2">
      <c r="B1038" s="251">
        <f ca="1" t="shared" si="66"/>
        <v>43270</v>
      </c>
    </row>
    <row r="1039" spans="2:2">
      <c r="B1039" s="251">
        <f ca="1" t="shared" si="66"/>
        <v>43269</v>
      </c>
    </row>
    <row r="1040" spans="2:2">
      <c r="B1040" s="251">
        <f ca="1" t="shared" si="66"/>
        <v>43268</v>
      </c>
    </row>
    <row r="1041" spans="2:2">
      <c r="B1041" s="251">
        <f ca="1" t="shared" si="66"/>
        <v>43267</v>
      </c>
    </row>
    <row r="1042" spans="2:2">
      <c r="B1042" s="251">
        <f ca="1" t="shared" si="66"/>
        <v>43266</v>
      </c>
    </row>
    <row r="1043" spans="2:2">
      <c r="B1043" s="251">
        <f ca="1" t="shared" si="66"/>
        <v>43265</v>
      </c>
    </row>
    <row r="1044" spans="2:2">
      <c r="B1044" s="251">
        <f ca="1" t="shared" si="66"/>
        <v>43264</v>
      </c>
    </row>
    <row r="1045" spans="2:2">
      <c r="B1045" s="251">
        <f ca="1" t="shared" si="66"/>
        <v>43263</v>
      </c>
    </row>
    <row r="1046" spans="2:2">
      <c r="B1046" s="251">
        <f ca="1" t="shared" si="66"/>
        <v>43262</v>
      </c>
    </row>
    <row r="1047" spans="2:2">
      <c r="B1047" s="251">
        <f ca="1" t="shared" si="66"/>
        <v>43261</v>
      </c>
    </row>
    <row r="1048" spans="2:2">
      <c r="B1048" s="251">
        <f ca="1" t="shared" si="66"/>
        <v>43260</v>
      </c>
    </row>
    <row r="1049" spans="2:2">
      <c r="B1049" s="251">
        <f ca="1" t="shared" ref="B1049:B1064" si="67">B1048-1</f>
        <v>43259</v>
      </c>
    </row>
    <row r="1050" spans="2:2">
      <c r="B1050" s="251">
        <f ca="1" t="shared" si="67"/>
        <v>43258</v>
      </c>
    </row>
    <row r="1051" spans="2:2">
      <c r="B1051" s="251">
        <f ca="1" t="shared" si="67"/>
        <v>43257</v>
      </c>
    </row>
    <row r="1052" spans="2:2">
      <c r="B1052" s="251">
        <f ca="1" t="shared" si="67"/>
        <v>43256</v>
      </c>
    </row>
    <row r="1053" spans="2:2">
      <c r="B1053" s="251">
        <f ca="1" t="shared" si="67"/>
        <v>43255</v>
      </c>
    </row>
    <row r="1054" spans="2:2">
      <c r="B1054" s="251">
        <f ca="1" t="shared" si="67"/>
        <v>43254</v>
      </c>
    </row>
    <row r="1055" spans="2:2">
      <c r="B1055" s="251">
        <f ca="1" t="shared" si="67"/>
        <v>43253</v>
      </c>
    </row>
    <row r="1056" spans="2:2">
      <c r="B1056" s="251">
        <f ca="1" t="shared" si="67"/>
        <v>43252</v>
      </c>
    </row>
    <row r="1057" spans="2:2">
      <c r="B1057" s="251">
        <f ca="1" t="shared" si="67"/>
        <v>43251</v>
      </c>
    </row>
    <row r="1058" spans="2:2">
      <c r="B1058" s="251">
        <f ca="1" t="shared" si="67"/>
        <v>43250</v>
      </c>
    </row>
    <row r="1059" spans="2:2">
      <c r="B1059" s="251">
        <f ca="1" t="shared" si="67"/>
        <v>43249</v>
      </c>
    </row>
    <row r="1060" spans="2:2">
      <c r="B1060" s="251">
        <f ca="1" t="shared" si="67"/>
        <v>43248</v>
      </c>
    </row>
    <row r="1061" spans="2:2">
      <c r="B1061" s="251">
        <f ca="1" t="shared" si="67"/>
        <v>43247</v>
      </c>
    </row>
    <row r="1062" spans="2:2">
      <c r="B1062" s="251">
        <f ca="1" t="shared" si="67"/>
        <v>43246</v>
      </c>
    </row>
    <row r="1063" spans="2:2">
      <c r="B1063" s="251">
        <f ca="1" t="shared" si="67"/>
        <v>43245</v>
      </c>
    </row>
    <row r="1064" spans="2:2">
      <c r="B1064" s="251">
        <f ca="1" t="shared" si="67"/>
        <v>43244</v>
      </c>
    </row>
    <row r="1065" spans="2:2">
      <c r="B1065" s="251">
        <f ca="1" t="shared" ref="B1065:B1080" si="68">B1064-1</f>
        <v>43243</v>
      </c>
    </row>
    <row r="1066" spans="2:2">
      <c r="B1066" s="251">
        <f ca="1" t="shared" si="68"/>
        <v>43242</v>
      </c>
    </row>
    <row r="1067" spans="2:2">
      <c r="B1067" s="251">
        <f ca="1" t="shared" si="68"/>
        <v>43241</v>
      </c>
    </row>
    <row r="1068" spans="2:2">
      <c r="B1068" s="251">
        <f ca="1" t="shared" si="68"/>
        <v>43240</v>
      </c>
    </row>
    <row r="1069" spans="2:2">
      <c r="B1069" s="251">
        <f ca="1" t="shared" si="68"/>
        <v>43239</v>
      </c>
    </row>
    <row r="1070" spans="2:2">
      <c r="B1070" s="251">
        <f ca="1" t="shared" si="68"/>
        <v>43238</v>
      </c>
    </row>
    <row r="1071" spans="2:2">
      <c r="B1071" s="251">
        <f ca="1" t="shared" si="68"/>
        <v>43237</v>
      </c>
    </row>
    <row r="1072" spans="2:2">
      <c r="B1072" s="251">
        <f ca="1" t="shared" si="68"/>
        <v>43236</v>
      </c>
    </row>
    <row r="1073" spans="2:2">
      <c r="B1073" s="251">
        <f ca="1" t="shared" si="68"/>
        <v>43235</v>
      </c>
    </row>
    <row r="1074" spans="2:2">
      <c r="B1074" s="251">
        <f ca="1" t="shared" si="68"/>
        <v>43234</v>
      </c>
    </row>
    <row r="1075" spans="2:2">
      <c r="B1075" s="251">
        <f ca="1" t="shared" si="68"/>
        <v>43233</v>
      </c>
    </row>
    <row r="1076" spans="2:2">
      <c r="B1076" s="251">
        <f ca="1" t="shared" si="68"/>
        <v>43232</v>
      </c>
    </row>
    <row r="1077" spans="2:2">
      <c r="B1077" s="251">
        <f ca="1" t="shared" si="68"/>
        <v>43231</v>
      </c>
    </row>
    <row r="1078" spans="2:2">
      <c r="B1078" s="251">
        <f ca="1" t="shared" si="68"/>
        <v>43230</v>
      </c>
    </row>
    <row r="1079" spans="2:2">
      <c r="B1079" s="251">
        <f ca="1" t="shared" si="68"/>
        <v>43229</v>
      </c>
    </row>
    <row r="1080" spans="2:2">
      <c r="B1080" s="251">
        <f ca="1" t="shared" si="68"/>
        <v>43228</v>
      </c>
    </row>
    <row r="1081" spans="2:2">
      <c r="B1081" s="251">
        <f ca="1" t="shared" ref="B1081:B1096" si="69">B1080-1</f>
        <v>43227</v>
      </c>
    </row>
    <row r="1082" spans="2:2">
      <c r="B1082" s="251">
        <f ca="1" t="shared" si="69"/>
        <v>43226</v>
      </c>
    </row>
    <row r="1083" spans="2:2">
      <c r="B1083" s="251">
        <f ca="1" t="shared" si="69"/>
        <v>43225</v>
      </c>
    </row>
    <row r="1084" spans="2:2">
      <c r="B1084" s="251">
        <f ca="1" t="shared" si="69"/>
        <v>43224</v>
      </c>
    </row>
    <row r="1085" spans="2:2">
      <c r="B1085" s="251">
        <f ca="1" t="shared" si="69"/>
        <v>43223</v>
      </c>
    </row>
    <row r="1086" spans="2:2">
      <c r="B1086" s="251">
        <f ca="1" t="shared" si="69"/>
        <v>43222</v>
      </c>
    </row>
    <row r="1087" spans="2:2">
      <c r="B1087" s="251">
        <f ca="1" t="shared" si="69"/>
        <v>43221</v>
      </c>
    </row>
    <row r="1088" spans="2:2">
      <c r="B1088" s="251">
        <f ca="1" t="shared" si="69"/>
        <v>43220</v>
      </c>
    </row>
    <row r="1089" spans="2:2">
      <c r="B1089" s="251">
        <f ca="1" t="shared" si="69"/>
        <v>43219</v>
      </c>
    </row>
    <row r="1090" spans="2:2">
      <c r="B1090" s="251">
        <f ca="1" t="shared" si="69"/>
        <v>43218</v>
      </c>
    </row>
    <row r="1091" spans="2:2">
      <c r="B1091" s="251">
        <f ca="1" t="shared" si="69"/>
        <v>43217</v>
      </c>
    </row>
    <row r="1092" spans="2:2">
      <c r="B1092" s="251">
        <f ca="1" t="shared" si="69"/>
        <v>43216</v>
      </c>
    </row>
    <row r="1093" spans="2:2">
      <c r="B1093" s="251">
        <f ca="1" t="shared" si="69"/>
        <v>43215</v>
      </c>
    </row>
    <row r="1094" spans="2:2">
      <c r="B1094" s="251">
        <f ca="1" t="shared" si="69"/>
        <v>43214</v>
      </c>
    </row>
    <row r="1095" spans="2:2">
      <c r="B1095" s="251">
        <f ca="1" t="shared" si="69"/>
        <v>43213</v>
      </c>
    </row>
    <row r="1096" spans="2:2">
      <c r="B1096" s="251">
        <f ca="1" t="shared" si="69"/>
        <v>43212</v>
      </c>
    </row>
    <row r="1097" spans="2:2">
      <c r="B1097" s="251">
        <f ca="1" t="shared" ref="B1097:B1112" si="70">B1096-1</f>
        <v>43211</v>
      </c>
    </row>
    <row r="1098" spans="2:2">
      <c r="B1098" s="251">
        <f ca="1" t="shared" si="70"/>
        <v>43210</v>
      </c>
    </row>
    <row r="1099" spans="2:2">
      <c r="B1099" s="251">
        <f ca="1" t="shared" si="70"/>
        <v>43209</v>
      </c>
    </row>
    <row r="1100" spans="2:2">
      <c r="B1100" s="251">
        <f ca="1" t="shared" si="70"/>
        <v>43208</v>
      </c>
    </row>
    <row r="1101" spans="2:2">
      <c r="B1101" s="251">
        <f ca="1" t="shared" si="70"/>
        <v>43207</v>
      </c>
    </row>
    <row r="1102" spans="2:2">
      <c r="B1102" s="251">
        <f ca="1" t="shared" si="70"/>
        <v>43206</v>
      </c>
    </row>
    <row r="1103" spans="2:2">
      <c r="B1103" s="251">
        <f ca="1" t="shared" si="70"/>
        <v>43205</v>
      </c>
    </row>
    <row r="1104" spans="2:2">
      <c r="B1104" s="251">
        <f ca="1" t="shared" si="70"/>
        <v>43204</v>
      </c>
    </row>
    <row r="1105" spans="2:2">
      <c r="B1105" s="251">
        <f ca="1" t="shared" si="70"/>
        <v>43203</v>
      </c>
    </row>
    <row r="1106" spans="2:2">
      <c r="B1106" s="251">
        <f ca="1" t="shared" si="70"/>
        <v>43202</v>
      </c>
    </row>
    <row r="1107" spans="2:2">
      <c r="B1107" s="251">
        <f ca="1" t="shared" si="70"/>
        <v>43201</v>
      </c>
    </row>
    <row r="1108" spans="2:2">
      <c r="B1108" s="251">
        <f ca="1" t="shared" si="70"/>
        <v>43200</v>
      </c>
    </row>
    <row r="1109" spans="2:2">
      <c r="B1109" s="251">
        <f ca="1" t="shared" si="70"/>
        <v>43199</v>
      </c>
    </row>
    <row r="1110" spans="2:2">
      <c r="B1110" s="251">
        <f ca="1" t="shared" si="70"/>
        <v>43198</v>
      </c>
    </row>
    <row r="1111" spans="2:2">
      <c r="B1111" s="251">
        <f ca="1" t="shared" si="70"/>
        <v>43197</v>
      </c>
    </row>
    <row r="1112" spans="2:2">
      <c r="B1112" s="251">
        <f ca="1" t="shared" si="70"/>
        <v>43196</v>
      </c>
    </row>
    <row r="1113" spans="2:2">
      <c r="B1113" s="251">
        <f ca="1" t="shared" ref="B1113:B1128" si="71">B1112-1</f>
        <v>43195</v>
      </c>
    </row>
    <row r="1114" spans="2:2">
      <c r="B1114" s="251">
        <f ca="1" t="shared" si="71"/>
        <v>43194</v>
      </c>
    </row>
    <row r="1115" spans="2:2">
      <c r="B1115" s="251">
        <f ca="1" t="shared" si="71"/>
        <v>43193</v>
      </c>
    </row>
    <row r="1116" spans="2:2">
      <c r="B1116" s="251">
        <f ca="1" t="shared" si="71"/>
        <v>43192</v>
      </c>
    </row>
    <row r="1117" spans="2:2">
      <c r="B1117" s="251">
        <f ca="1" t="shared" si="71"/>
        <v>43191</v>
      </c>
    </row>
    <row r="1118" spans="2:2">
      <c r="B1118" s="251">
        <f ca="1" t="shared" si="71"/>
        <v>43190</v>
      </c>
    </row>
    <row r="1119" spans="2:2">
      <c r="B1119" s="251">
        <f ca="1" t="shared" si="71"/>
        <v>43189</v>
      </c>
    </row>
    <row r="1120" spans="2:2">
      <c r="B1120" s="251">
        <f ca="1" t="shared" si="71"/>
        <v>43188</v>
      </c>
    </row>
    <row r="1121" spans="2:2">
      <c r="B1121" s="251">
        <f ca="1" t="shared" si="71"/>
        <v>43187</v>
      </c>
    </row>
    <row r="1122" spans="2:2">
      <c r="B1122" s="251">
        <f ca="1" t="shared" si="71"/>
        <v>43186</v>
      </c>
    </row>
    <row r="1123" spans="2:2">
      <c r="B1123" s="251">
        <f ca="1" t="shared" si="71"/>
        <v>43185</v>
      </c>
    </row>
    <row r="1124" spans="2:2">
      <c r="B1124" s="251">
        <f ca="1" t="shared" si="71"/>
        <v>43184</v>
      </c>
    </row>
    <row r="1125" spans="2:2">
      <c r="B1125" s="251">
        <f ca="1" t="shared" si="71"/>
        <v>43183</v>
      </c>
    </row>
    <row r="1126" spans="2:2">
      <c r="B1126" s="251">
        <f ca="1" t="shared" si="71"/>
        <v>43182</v>
      </c>
    </row>
    <row r="1127" spans="2:2">
      <c r="B1127" s="251">
        <f ca="1" t="shared" si="71"/>
        <v>43181</v>
      </c>
    </row>
    <row r="1128" spans="2:2">
      <c r="B1128" s="251">
        <f ca="1" t="shared" si="71"/>
        <v>43180</v>
      </c>
    </row>
    <row r="1129" spans="2:2">
      <c r="B1129" s="251">
        <f ca="1" t="shared" ref="B1129:B1144" si="72">B1128-1</f>
        <v>43179</v>
      </c>
    </row>
    <row r="1130" spans="2:2">
      <c r="B1130" s="251">
        <f ca="1" t="shared" si="72"/>
        <v>43178</v>
      </c>
    </row>
    <row r="1131" spans="2:2">
      <c r="B1131" s="251">
        <f ca="1" t="shared" si="72"/>
        <v>43177</v>
      </c>
    </row>
    <row r="1132" spans="2:2">
      <c r="B1132" s="251">
        <f ca="1" t="shared" si="72"/>
        <v>43176</v>
      </c>
    </row>
    <row r="1133" spans="2:2">
      <c r="B1133" s="251">
        <f ca="1" t="shared" si="72"/>
        <v>43175</v>
      </c>
    </row>
    <row r="1134" spans="2:2">
      <c r="B1134" s="251">
        <f ca="1" t="shared" si="72"/>
        <v>43174</v>
      </c>
    </row>
    <row r="1135" spans="2:2">
      <c r="B1135" s="251">
        <f ca="1" t="shared" si="72"/>
        <v>43173</v>
      </c>
    </row>
    <row r="1136" spans="2:2">
      <c r="B1136" s="251">
        <f ca="1" t="shared" si="72"/>
        <v>43172</v>
      </c>
    </row>
    <row r="1137" spans="2:2">
      <c r="B1137" s="251">
        <f ca="1" t="shared" si="72"/>
        <v>43171</v>
      </c>
    </row>
    <row r="1138" spans="2:2">
      <c r="B1138" s="251">
        <f ca="1" t="shared" si="72"/>
        <v>43170</v>
      </c>
    </row>
    <row r="1139" spans="2:2">
      <c r="B1139" s="251">
        <f ca="1" t="shared" si="72"/>
        <v>43169</v>
      </c>
    </row>
    <row r="1140" spans="2:2">
      <c r="B1140" s="251">
        <f ca="1" t="shared" si="72"/>
        <v>43168</v>
      </c>
    </row>
    <row r="1141" spans="2:2">
      <c r="B1141" s="251">
        <f ca="1" t="shared" si="72"/>
        <v>43167</v>
      </c>
    </row>
    <row r="1142" spans="2:2">
      <c r="B1142" s="251">
        <f ca="1" t="shared" si="72"/>
        <v>43166</v>
      </c>
    </row>
    <row r="1143" spans="2:2">
      <c r="B1143" s="251">
        <f ca="1" t="shared" si="72"/>
        <v>43165</v>
      </c>
    </row>
    <row r="1144" spans="2:2">
      <c r="B1144" s="251">
        <f ca="1" t="shared" si="72"/>
        <v>43164</v>
      </c>
    </row>
    <row r="1145" spans="2:2">
      <c r="B1145" s="251">
        <f ca="1" t="shared" ref="B1145:B1160" si="73">B1144-1</f>
        <v>43163</v>
      </c>
    </row>
    <row r="1146" spans="2:2">
      <c r="B1146" s="251">
        <f ca="1" t="shared" si="73"/>
        <v>43162</v>
      </c>
    </row>
    <row r="1147" spans="2:2">
      <c r="B1147" s="251">
        <f ca="1" t="shared" si="73"/>
        <v>43161</v>
      </c>
    </row>
    <row r="1148" spans="2:2">
      <c r="B1148" s="251">
        <f ca="1" t="shared" si="73"/>
        <v>43160</v>
      </c>
    </row>
    <row r="1149" spans="2:2">
      <c r="B1149" s="251">
        <f ca="1" t="shared" si="73"/>
        <v>43159</v>
      </c>
    </row>
    <row r="1150" spans="2:2">
      <c r="B1150" s="251">
        <f ca="1" t="shared" si="73"/>
        <v>43158</v>
      </c>
    </row>
    <row r="1151" spans="2:2">
      <c r="B1151" s="251">
        <f ca="1" t="shared" si="73"/>
        <v>43157</v>
      </c>
    </row>
    <row r="1152" spans="2:2">
      <c r="B1152" s="251">
        <f ca="1" t="shared" si="73"/>
        <v>43156</v>
      </c>
    </row>
    <row r="1153" spans="2:2">
      <c r="B1153" s="251">
        <f ca="1" t="shared" si="73"/>
        <v>43155</v>
      </c>
    </row>
    <row r="1154" spans="2:2">
      <c r="B1154" s="251">
        <f ca="1" t="shared" si="73"/>
        <v>43154</v>
      </c>
    </row>
    <row r="1155" spans="2:2">
      <c r="B1155" s="251">
        <f ca="1" t="shared" si="73"/>
        <v>43153</v>
      </c>
    </row>
    <row r="1156" spans="2:2">
      <c r="B1156" s="251">
        <f ca="1" t="shared" si="73"/>
        <v>43152</v>
      </c>
    </row>
    <row r="1157" spans="2:2">
      <c r="B1157" s="251">
        <f ca="1" t="shared" si="73"/>
        <v>43151</v>
      </c>
    </row>
    <row r="1158" spans="2:2">
      <c r="B1158" s="251">
        <f ca="1" t="shared" si="73"/>
        <v>43150</v>
      </c>
    </row>
    <row r="1159" spans="2:2">
      <c r="B1159" s="251">
        <f ca="1" t="shared" si="73"/>
        <v>43149</v>
      </c>
    </row>
    <row r="1160" spans="2:2">
      <c r="B1160" s="251">
        <f ca="1" t="shared" si="73"/>
        <v>43148</v>
      </c>
    </row>
    <row r="1161" spans="2:2">
      <c r="B1161" s="251">
        <f ca="1" t="shared" ref="B1161:B1176" si="74">B1160-1</f>
        <v>43147</v>
      </c>
    </row>
    <row r="1162" spans="2:2">
      <c r="B1162" s="251">
        <f ca="1" t="shared" si="74"/>
        <v>43146</v>
      </c>
    </row>
    <row r="1163" spans="2:2">
      <c r="B1163" s="251">
        <f ca="1" t="shared" si="74"/>
        <v>43145</v>
      </c>
    </row>
    <row r="1164" spans="2:2">
      <c r="B1164" s="251">
        <f ca="1" t="shared" si="74"/>
        <v>43144</v>
      </c>
    </row>
    <row r="1165" spans="2:2">
      <c r="B1165" s="251">
        <f ca="1" t="shared" si="74"/>
        <v>43143</v>
      </c>
    </row>
    <row r="1166" spans="2:2">
      <c r="B1166" s="251">
        <f ca="1" t="shared" si="74"/>
        <v>43142</v>
      </c>
    </row>
    <row r="1167" spans="2:2">
      <c r="B1167" s="251">
        <f ca="1" t="shared" si="74"/>
        <v>43141</v>
      </c>
    </row>
    <row r="1168" spans="2:2">
      <c r="B1168" s="251">
        <f ca="1" t="shared" si="74"/>
        <v>43140</v>
      </c>
    </row>
    <row r="1169" spans="2:2">
      <c r="B1169" s="251">
        <f ca="1" t="shared" si="74"/>
        <v>43139</v>
      </c>
    </row>
    <row r="1170" spans="2:2">
      <c r="B1170" s="251">
        <f ca="1" t="shared" si="74"/>
        <v>43138</v>
      </c>
    </row>
    <row r="1171" spans="2:2">
      <c r="B1171" s="251">
        <f ca="1" t="shared" si="74"/>
        <v>43137</v>
      </c>
    </row>
    <row r="1172" spans="2:2">
      <c r="B1172" s="251">
        <f ca="1" t="shared" si="74"/>
        <v>43136</v>
      </c>
    </row>
    <row r="1173" spans="2:2">
      <c r="B1173" s="251">
        <f ca="1" t="shared" si="74"/>
        <v>43135</v>
      </c>
    </row>
    <row r="1174" spans="2:2">
      <c r="B1174" s="251">
        <f ca="1" t="shared" si="74"/>
        <v>43134</v>
      </c>
    </row>
    <row r="1175" spans="2:2">
      <c r="B1175" s="251">
        <f ca="1" t="shared" si="74"/>
        <v>43133</v>
      </c>
    </row>
    <row r="1176" spans="2:2">
      <c r="B1176" s="251">
        <f ca="1" t="shared" si="74"/>
        <v>43132</v>
      </c>
    </row>
    <row r="1177" spans="2:2">
      <c r="B1177" s="251">
        <f ca="1" t="shared" ref="B1177:B1192" si="75">B1176-1</f>
        <v>43131</v>
      </c>
    </row>
    <row r="1178" spans="2:2">
      <c r="B1178" s="251">
        <f ca="1" t="shared" si="75"/>
        <v>43130</v>
      </c>
    </row>
    <row r="1179" spans="2:2">
      <c r="B1179" s="251">
        <f ca="1" t="shared" si="75"/>
        <v>43129</v>
      </c>
    </row>
    <row r="1180" spans="2:2">
      <c r="B1180" s="251">
        <f ca="1" t="shared" si="75"/>
        <v>43128</v>
      </c>
    </row>
    <row r="1181" spans="2:2">
      <c r="B1181" s="251">
        <f ca="1" t="shared" si="75"/>
        <v>43127</v>
      </c>
    </row>
    <row r="1182" spans="2:2">
      <c r="B1182" s="251">
        <f ca="1" t="shared" si="75"/>
        <v>43126</v>
      </c>
    </row>
    <row r="1183" spans="2:2">
      <c r="B1183" s="251">
        <f ca="1" t="shared" si="75"/>
        <v>43125</v>
      </c>
    </row>
    <row r="1184" spans="2:2">
      <c r="B1184" s="251">
        <f ca="1" t="shared" si="75"/>
        <v>43124</v>
      </c>
    </row>
    <row r="1185" spans="2:2">
      <c r="B1185" s="251">
        <f ca="1" t="shared" si="75"/>
        <v>43123</v>
      </c>
    </row>
    <row r="1186" spans="2:2">
      <c r="B1186" s="251">
        <f ca="1" t="shared" si="75"/>
        <v>43122</v>
      </c>
    </row>
    <row r="1187" spans="2:2">
      <c r="B1187" s="251">
        <f ca="1" t="shared" si="75"/>
        <v>43121</v>
      </c>
    </row>
    <row r="1188" spans="2:2">
      <c r="B1188" s="251">
        <f ca="1" t="shared" si="75"/>
        <v>43120</v>
      </c>
    </row>
    <row r="1189" spans="2:2">
      <c r="B1189" s="251">
        <f ca="1" t="shared" si="75"/>
        <v>43119</v>
      </c>
    </row>
    <row r="1190" spans="2:2">
      <c r="B1190" s="251">
        <f ca="1" t="shared" si="75"/>
        <v>43118</v>
      </c>
    </row>
    <row r="1191" spans="2:2">
      <c r="B1191" s="251">
        <f ca="1" t="shared" si="75"/>
        <v>43117</v>
      </c>
    </row>
    <row r="1192" spans="2:2">
      <c r="B1192" s="251">
        <f ca="1" t="shared" si="75"/>
        <v>43116</v>
      </c>
    </row>
    <row r="1193" spans="2:2">
      <c r="B1193" s="251">
        <f ca="1" t="shared" ref="B1193:B1208" si="76">B1192-1</f>
        <v>43115</v>
      </c>
    </row>
    <row r="1194" spans="2:2">
      <c r="B1194" s="251">
        <f ca="1" t="shared" si="76"/>
        <v>43114</v>
      </c>
    </row>
    <row r="1195" spans="2:2">
      <c r="B1195" s="251">
        <f ca="1" t="shared" si="76"/>
        <v>43113</v>
      </c>
    </row>
    <row r="1196" spans="2:2">
      <c r="B1196" s="251">
        <f ca="1" t="shared" si="76"/>
        <v>43112</v>
      </c>
    </row>
    <row r="1197" spans="2:2">
      <c r="B1197" s="251">
        <f ca="1" t="shared" si="76"/>
        <v>43111</v>
      </c>
    </row>
    <row r="1198" spans="2:2">
      <c r="B1198" s="251">
        <f ca="1" t="shared" si="76"/>
        <v>43110</v>
      </c>
    </row>
    <row r="1199" spans="2:2">
      <c r="B1199" s="251">
        <f ca="1" t="shared" si="76"/>
        <v>43109</v>
      </c>
    </row>
    <row r="1200" spans="2:2">
      <c r="B1200" s="251">
        <f ca="1" t="shared" si="76"/>
        <v>43108</v>
      </c>
    </row>
    <row r="1201" spans="2:2">
      <c r="B1201" s="251">
        <f ca="1" t="shared" si="76"/>
        <v>43107</v>
      </c>
    </row>
    <row r="1202" spans="2:2">
      <c r="B1202" s="251">
        <f ca="1" t="shared" si="76"/>
        <v>43106</v>
      </c>
    </row>
    <row r="1203" spans="2:2">
      <c r="B1203" s="251">
        <f ca="1" t="shared" si="76"/>
        <v>43105</v>
      </c>
    </row>
    <row r="1204" spans="2:2">
      <c r="B1204" s="251">
        <f ca="1" t="shared" si="76"/>
        <v>43104</v>
      </c>
    </row>
    <row r="1205" spans="2:2">
      <c r="B1205" s="251">
        <f ca="1" t="shared" si="76"/>
        <v>43103</v>
      </c>
    </row>
    <row r="1206" spans="2:2">
      <c r="B1206" s="251">
        <f ca="1" t="shared" si="76"/>
        <v>43102</v>
      </c>
    </row>
    <row r="1207" spans="2:2">
      <c r="B1207" s="251">
        <f ca="1" t="shared" si="76"/>
        <v>43101</v>
      </c>
    </row>
    <row r="1208" spans="2:2">
      <c r="B1208" s="251">
        <f ca="1" t="shared" si="76"/>
        <v>43100</v>
      </c>
    </row>
    <row r="1209" spans="2:2">
      <c r="B1209" s="251">
        <f ca="1" t="shared" ref="B1209:B1224" si="77">B1208-1</f>
        <v>43099</v>
      </c>
    </row>
    <row r="1210" spans="2:2">
      <c r="B1210" s="251">
        <f ca="1" t="shared" si="77"/>
        <v>43098</v>
      </c>
    </row>
    <row r="1211" spans="2:2">
      <c r="B1211" s="251">
        <f ca="1" t="shared" si="77"/>
        <v>43097</v>
      </c>
    </row>
    <row r="1212" spans="2:2">
      <c r="B1212" s="251">
        <f ca="1" t="shared" si="77"/>
        <v>43096</v>
      </c>
    </row>
    <row r="1213" spans="2:2">
      <c r="B1213" s="251">
        <f ca="1" t="shared" si="77"/>
        <v>43095</v>
      </c>
    </row>
    <row r="1214" spans="2:2">
      <c r="B1214" s="251">
        <f ca="1" t="shared" si="77"/>
        <v>43094</v>
      </c>
    </row>
    <row r="1215" spans="2:2">
      <c r="B1215" s="251">
        <f ca="1" t="shared" si="77"/>
        <v>43093</v>
      </c>
    </row>
    <row r="1216" spans="2:2">
      <c r="B1216" s="251">
        <f ca="1" t="shared" si="77"/>
        <v>43092</v>
      </c>
    </row>
    <row r="1217" spans="2:2">
      <c r="B1217" s="251">
        <f ca="1" t="shared" si="77"/>
        <v>43091</v>
      </c>
    </row>
    <row r="1218" spans="2:2">
      <c r="B1218" s="251">
        <f ca="1" t="shared" si="77"/>
        <v>43090</v>
      </c>
    </row>
    <row r="1219" spans="2:2">
      <c r="B1219" s="251">
        <f ca="1" t="shared" si="77"/>
        <v>43089</v>
      </c>
    </row>
    <row r="1220" spans="2:2">
      <c r="B1220" s="251">
        <f ca="1" t="shared" si="77"/>
        <v>43088</v>
      </c>
    </row>
    <row r="1221" spans="2:2">
      <c r="B1221" s="251">
        <f ca="1" t="shared" si="77"/>
        <v>43087</v>
      </c>
    </row>
    <row r="1222" spans="2:2">
      <c r="B1222" s="251">
        <f ca="1" t="shared" si="77"/>
        <v>43086</v>
      </c>
    </row>
    <row r="1223" spans="2:2">
      <c r="B1223" s="251">
        <f ca="1" t="shared" si="77"/>
        <v>43085</v>
      </c>
    </row>
    <row r="1224" spans="2:2">
      <c r="B1224" s="251">
        <f ca="1" t="shared" si="77"/>
        <v>43084</v>
      </c>
    </row>
    <row r="1225" spans="2:2">
      <c r="B1225" s="251">
        <f ca="1" t="shared" ref="B1225:B1240" si="78">B1224-1</f>
        <v>43083</v>
      </c>
    </row>
    <row r="1226" spans="2:2">
      <c r="B1226" s="251">
        <f ca="1" t="shared" si="78"/>
        <v>43082</v>
      </c>
    </row>
    <row r="1227" spans="2:2">
      <c r="B1227" s="251">
        <f ca="1" t="shared" si="78"/>
        <v>43081</v>
      </c>
    </row>
    <row r="1228" spans="2:2">
      <c r="B1228" s="251">
        <f ca="1" t="shared" si="78"/>
        <v>43080</v>
      </c>
    </row>
    <row r="1229" spans="2:2">
      <c r="B1229" s="251">
        <f ca="1" t="shared" si="78"/>
        <v>43079</v>
      </c>
    </row>
    <row r="1230" spans="2:2">
      <c r="B1230" s="251">
        <f ca="1" t="shared" si="78"/>
        <v>43078</v>
      </c>
    </row>
    <row r="1231" spans="2:2">
      <c r="B1231" s="251">
        <f ca="1" t="shared" si="78"/>
        <v>43077</v>
      </c>
    </row>
    <row r="1232" spans="2:2">
      <c r="B1232" s="251">
        <f ca="1" t="shared" si="78"/>
        <v>43076</v>
      </c>
    </row>
    <row r="1233" spans="2:2">
      <c r="B1233" s="251">
        <f ca="1" t="shared" si="78"/>
        <v>43075</v>
      </c>
    </row>
    <row r="1234" spans="2:2">
      <c r="B1234" s="251">
        <f ca="1" t="shared" si="78"/>
        <v>43074</v>
      </c>
    </row>
    <row r="1235" spans="2:2">
      <c r="B1235" s="251">
        <f ca="1" t="shared" si="78"/>
        <v>43073</v>
      </c>
    </row>
    <row r="1236" spans="2:2">
      <c r="B1236" s="251">
        <f ca="1" t="shared" si="78"/>
        <v>43072</v>
      </c>
    </row>
    <row r="1237" spans="2:2">
      <c r="B1237" s="251">
        <f ca="1" t="shared" si="78"/>
        <v>43071</v>
      </c>
    </row>
    <row r="1238" spans="2:2">
      <c r="B1238" s="251">
        <f ca="1" t="shared" si="78"/>
        <v>43070</v>
      </c>
    </row>
    <row r="1239" spans="2:2">
      <c r="B1239" s="251">
        <f ca="1" t="shared" si="78"/>
        <v>43069</v>
      </c>
    </row>
    <row r="1240" spans="2:2">
      <c r="B1240" s="251">
        <f ca="1" t="shared" si="78"/>
        <v>43068</v>
      </c>
    </row>
    <row r="1241" spans="2:2">
      <c r="B1241" s="251">
        <f ca="1" t="shared" ref="B1241:B1256" si="79">B1240-1</f>
        <v>43067</v>
      </c>
    </row>
    <row r="1242" spans="2:2">
      <c r="B1242" s="251">
        <f ca="1" t="shared" si="79"/>
        <v>43066</v>
      </c>
    </row>
    <row r="1243" spans="2:2">
      <c r="B1243" s="251">
        <f ca="1" t="shared" si="79"/>
        <v>43065</v>
      </c>
    </row>
    <row r="1244" spans="2:2">
      <c r="B1244" s="251">
        <f ca="1" t="shared" si="79"/>
        <v>43064</v>
      </c>
    </row>
    <row r="1245" spans="2:2">
      <c r="B1245" s="251">
        <f ca="1" t="shared" si="79"/>
        <v>43063</v>
      </c>
    </row>
    <row r="1246" spans="2:2">
      <c r="B1246" s="251">
        <f ca="1" t="shared" si="79"/>
        <v>43062</v>
      </c>
    </row>
    <row r="1247" spans="2:2">
      <c r="B1247" s="251">
        <f ca="1" t="shared" si="79"/>
        <v>43061</v>
      </c>
    </row>
    <row r="1248" spans="2:2">
      <c r="B1248" s="251">
        <f ca="1" t="shared" si="79"/>
        <v>43060</v>
      </c>
    </row>
    <row r="1249" spans="2:2">
      <c r="B1249" s="251">
        <f ca="1" t="shared" si="79"/>
        <v>43059</v>
      </c>
    </row>
    <row r="1250" spans="2:2">
      <c r="B1250" s="251">
        <f ca="1" t="shared" si="79"/>
        <v>43058</v>
      </c>
    </row>
    <row r="1251" spans="2:2">
      <c r="B1251" s="251">
        <f ca="1" t="shared" si="79"/>
        <v>43057</v>
      </c>
    </row>
    <row r="1252" spans="2:2">
      <c r="B1252" s="251">
        <f ca="1" t="shared" si="79"/>
        <v>43056</v>
      </c>
    </row>
    <row r="1253" spans="2:2">
      <c r="B1253" s="251">
        <f ca="1" t="shared" si="79"/>
        <v>43055</v>
      </c>
    </row>
    <row r="1254" spans="2:2">
      <c r="B1254" s="251">
        <f ca="1" t="shared" si="79"/>
        <v>43054</v>
      </c>
    </row>
    <row r="1255" spans="2:2">
      <c r="B1255" s="251">
        <f ca="1" t="shared" si="79"/>
        <v>43053</v>
      </c>
    </row>
    <row r="1256" spans="2:2">
      <c r="B1256" s="251">
        <f ca="1" t="shared" si="79"/>
        <v>43052</v>
      </c>
    </row>
    <row r="1257" spans="2:2">
      <c r="B1257" s="251">
        <f ca="1" t="shared" ref="B1257:B1272" si="80">B1256-1</f>
        <v>43051</v>
      </c>
    </row>
    <row r="1258" spans="2:2">
      <c r="B1258" s="251">
        <f ca="1" t="shared" si="80"/>
        <v>43050</v>
      </c>
    </row>
    <row r="1259" spans="2:2">
      <c r="B1259" s="251">
        <f ca="1" t="shared" si="80"/>
        <v>43049</v>
      </c>
    </row>
    <row r="1260" spans="2:2">
      <c r="B1260" s="251">
        <f ca="1" t="shared" si="80"/>
        <v>43048</v>
      </c>
    </row>
    <row r="1261" spans="2:2">
      <c r="B1261" s="251">
        <f ca="1" t="shared" si="80"/>
        <v>43047</v>
      </c>
    </row>
    <row r="1262" spans="2:2">
      <c r="B1262" s="251">
        <f ca="1" t="shared" si="80"/>
        <v>43046</v>
      </c>
    </row>
    <row r="1263" spans="2:2">
      <c r="B1263" s="251">
        <f ca="1" t="shared" si="80"/>
        <v>43045</v>
      </c>
    </row>
    <row r="1264" spans="2:2">
      <c r="B1264" s="251">
        <f ca="1" t="shared" si="80"/>
        <v>43044</v>
      </c>
    </row>
    <row r="1265" spans="2:2">
      <c r="B1265" s="251">
        <f ca="1" t="shared" si="80"/>
        <v>43043</v>
      </c>
    </row>
    <row r="1266" spans="2:2">
      <c r="B1266" s="251">
        <f ca="1" t="shared" si="80"/>
        <v>43042</v>
      </c>
    </row>
    <row r="1267" spans="2:2">
      <c r="B1267" s="251">
        <f ca="1" t="shared" si="80"/>
        <v>43041</v>
      </c>
    </row>
    <row r="1268" spans="2:2">
      <c r="B1268" s="251">
        <f ca="1" t="shared" si="80"/>
        <v>43040</v>
      </c>
    </row>
    <row r="1269" spans="2:2">
      <c r="B1269" s="251">
        <f ca="1" t="shared" si="80"/>
        <v>43039</v>
      </c>
    </row>
    <row r="1270" spans="2:2">
      <c r="B1270" s="251">
        <f ca="1" t="shared" si="80"/>
        <v>43038</v>
      </c>
    </row>
    <row r="1271" spans="2:2">
      <c r="B1271" s="251">
        <f ca="1" t="shared" si="80"/>
        <v>43037</v>
      </c>
    </row>
    <row r="1272" spans="2:2">
      <c r="B1272" s="251">
        <f ca="1" t="shared" si="80"/>
        <v>43036</v>
      </c>
    </row>
    <row r="1273" spans="2:2">
      <c r="B1273" s="251">
        <f ca="1" t="shared" ref="B1273:B1288" si="81">B1272-1</f>
        <v>43035</v>
      </c>
    </row>
    <row r="1274" spans="2:2">
      <c r="B1274" s="251">
        <f ca="1" t="shared" si="81"/>
        <v>43034</v>
      </c>
    </row>
    <row r="1275" spans="2:2">
      <c r="B1275" s="251">
        <f ca="1" t="shared" si="81"/>
        <v>43033</v>
      </c>
    </row>
    <row r="1276" spans="2:2">
      <c r="B1276" s="251">
        <f ca="1" t="shared" si="81"/>
        <v>43032</v>
      </c>
    </row>
    <row r="1277" spans="2:2">
      <c r="B1277" s="251">
        <f ca="1" t="shared" si="81"/>
        <v>43031</v>
      </c>
    </row>
    <row r="1278" spans="2:2">
      <c r="B1278" s="251">
        <f ca="1" t="shared" si="81"/>
        <v>43030</v>
      </c>
    </row>
    <row r="1279" spans="2:2">
      <c r="B1279" s="251">
        <f ca="1" t="shared" si="81"/>
        <v>43029</v>
      </c>
    </row>
    <row r="1280" spans="2:2">
      <c r="B1280" s="251">
        <f ca="1" t="shared" si="81"/>
        <v>43028</v>
      </c>
    </row>
    <row r="1281" spans="2:2">
      <c r="B1281" s="251">
        <f ca="1" t="shared" si="81"/>
        <v>43027</v>
      </c>
    </row>
    <row r="1282" spans="2:2">
      <c r="B1282" s="251">
        <f ca="1" t="shared" si="81"/>
        <v>43026</v>
      </c>
    </row>
    <row r="1283" spans="2:2">
      <c r="B1283" s="251">
        <f ca="1" t="shared" si="81"/>
        <v>43025</v>
      </c>
    </row>
    <row r="1284" spans="2:2">
      <c r="B1284" s="251">
        <f ca="1" t="shared" si="81"/>
        <v>43024</v>
      </c>
    </row>
    <row r="1285" spans="2:2">
      <c r="B1285" s="251">
        <f ca="1" t="shared" si="81"/>
        <v>43023</v>
      </c>
    </row>
    <row r="1286" spans="2:2">
      <c r="B1286" s="251">
        <f ca="1" t="shared" si="81"/>
        <v>43022</v>
      </c>
    </row>
    <row r="1287" spans="2:2">
      <c r="B1287" s="251">
        <f ca="1" t="shared" si="81"/>
        <v>43021</v>
      </c>
    </row>
    <row r="1288" spans="2:2">
      <c r="B1288" s="251">
        <f ca="1" t="shared" si="81"/>
        <v>43020</v>
      </c>
    </row>
    <row r="1289" spans="2:2">
      <c r="B1289" s="251">
        <f ca="1" t="shared" ref="B1289:B1304" si="82">B1288-1</f>
        <v>43019</v>
      </c>
    </row>
    <row r="1290" spans="2:2">
      <c r="B1290" s="251">
        <f ca="1" t="shared" si="82"/>
        <v>43018</v>
      </c>
    </row>
    <row r="1291" spans="2:2">
      <c r="B1291" s="251">
        <f ca="1" t="shared" si="82"/>
        <v>43017</v>
      </c>
    </row>
    <row r="1292" spans="2:2">
      <c r="B1292" s="251">
        <f ca="1" t="shared" si="82"/>
        <v>43016</v>
      </c>
    </row>
    <row r="1293" spans="2:2">
      <c r="B1293" s="251">
        <f ca="1" t="shared" si="82"/>
        <v>43015</v>
      </c>
    </row>
    <row r="1294" spans="2:2">
      <c r="B1294" s="251">
        <f ca="1" t="shared" si="82"/>
        <v>43014</v>
      </c>
    </row>
    <row r="1295" spans="2:2">
      <c r="B1295" s="251">
        <f ca="1" t="shared" si="82"/>
        <v>43013</v>
      </c>
    </row>
    <row r="1296" spans="2:2">
      <c r="B1296" s="251">
        <f ca="1" t="shared" si="82"/>
        <v>43012</v>
      </c>
    </row>
    <row r="1297" spans="2:2">
      <c r="B1297" s="251">
        <f ca="1" t="shared" si="82"/>
        <v>43011</v>
      </c>
    </row>
    <row r="1298" spans="2:2">
      <c r="B1298" s="251">
        <f ca="1" t="shared" si="82"/>
        <v>43010</v>
      </c>
    </row>
    <row r="1299" spans="2:2">
      <c r="B1299" s="251">
        <f ca="1" t="shared" si="82"/>
        <v>43009</v>
      </c>
    </row>
    <row r="1300" spans="2:2">
      <c r="B1300" s="251">
        <f ca="1" t="shared" si="82"/>
        <v>43008</v>
      </c>
    </row>
    <row r="1301" spans="2:2">
      <c r="B1301" s="251">
        <f ca="1" t="shared" si="82"/>
        <v>43007</v>
      </c>
    </row>
    <row r="1302" spans="2:2">
      <c r="B1302" s="251">
        <f ca="1" t="shared" si="82"/>
        <v>43006</v>
      </c>
    </row>
    <row r="1303" spans="2:2">
      <c r="B1303" s="251">
        <f ca="1" t="shared" si="82"/>
        <v>43005</v>
      </c>
    </row>
    <row r="1304" spans="2:2">
      <c r="B1304" s="251">
        <f ca="1" t="shared" si="82"/>
        <v>43004</v>
      </c>
    </row>
    <row r="1305" spans="2:2">
      <c r="B1305" s="251">
        <f ca="1" t="shared" ref="B1305:B1320" si="83">B1304-1</f>
        <v>43003</v>
      </c>
    </row>
    <row r="1306" spans="2:2">
      <c r="B1306" s="251">
        <f ca="1" t="shared" si="83"/>
        <v>43002</v>
      </c>
    </row>
    <row r="1307" spans="2:2">
      <c r="B1307" s="251">
        <f ca="1" t="shared" si="83"/>
        <v>43001</v>
      </c>
    </row>
    <row r="1308" spans="2:2">
      <c r="B1308" s="251">
        <f ca="1" t="shared" si="83"/>
        <v>43000</v>
      </c>
    </row>
    <row r="1309" spans="2:2">
      <c r="B1309" s="251">
        <f ca="1" t="shared" si="83"/>
        <v>42999</v>
      </c>
    </row>
    <row r="1310" spans="2:2">
      <c r="B1310" s="251">
        <f ca="1" t="shared" si="83"/>
        <v>42998</v>
      </c>
    </row>
    <row r="1311" spans="2:2">
      <c r="B1311" s="251">
        <f ca="1" t="shared" si="83"/>
        <v>42997</v>
      </c>
    </row>
    <row r="1312" spans="2:2">
      <c r="B1312" s="251">
        <f ca="1" t="shared" si="83"/>
        <v>42996</v>
      </c>
    </row>
    <row r="1313" spans="2:2">
      <c r="B1313" s="251">
        <f ca="1" t="shared" si="83"/>
        <v>42995</v>
      </c>
    </row>
    <row r="1314" spans="2:2">
      <c r="B1314" s="251">
        <f ca="1" t="shared" si="83"/>
        <v>42994</v>
      </c>
    </row>
    <row r="1315" spans="2:2">
      <c r="B1315" s="251">
        <f ca="1" t="shared" si="83"/>
        <v>42993</v>
      </c>
    </row>
    <row r="1316" spans="2:2">
      <c r="B1316" s="251">
        <f ca="1" t="shared" si="83"/>
        <v>42992</v>
      </c>
    </row>
    <row r="1317" spans="2:2">
      <c r="B1317" s="251">
        <f ca="1" t="shared" si="83"/>
        <v>42991</v>
      </c>
    </row>
    <row r="1318" spans="2:2">
      <c r="B1318" s="251">
        <f ca="1" t="shared" si="83"/>
        <v>42990</v>
      </c>
    </row>
    <row r="1319" spans="2:2">
      <c r="B1319" s="251">
        <f ca="1" t="shared" si="83"/>
        <v>42989</v>
      </c>
    </row>
    <row r="1320" spans="2:2">
      <c r="B1320" s="251">
        <f ca="1" t="shared" si="83"/>
        <v>42988</v>
      </c>
    </row>
    <row r="1321" spans="2:2">
      <c r="B1321" s="251">
        <f ca="1" t="shared" ref="B1321:B1336" si="84">B1320-1</f>
        <v>42987</v>
      </c>
    </row>
    <row r="1322" spans="2:2">
      <c r="B1322" s="251">
        <f ca="1" t="shared" si="84"/>
        <v>42986</v>
      </c>
    </row>
    <row r="1323" spans="2:2">
      <c r="B1323" s="251">
        <f ca="1" t="shared" si="84"/>
        <v>42985</v>
      </c>
    </row>
    <row r="1324" spans="2:2">
      <c r="B1324" s="251">
        <f ca="1" t="shared" si="84"/>
        <v>42984</v>
      </c>
    </row>
    <row r="1325" spans="2:2">
      <c r="B1325" s="251">
        <f ca="1" t="shared" si="84"/>
        <v>42983</v>
      </c>
    </row>
    <row r="1326" spans="2:2">
      <c r="B1326" s="251">
        <f ca="1" t="shared" si="84"/>
        <v>42982</v>
      </c>
    </row>
    <row r="1327" spans="2:2">
      <c r="B1327" s="251">
        <f ca="1" t="shared" si="84"/>
        <v>42981</v>
      </c>
    </row>
    <row r="1328" spans="2:2">
      <c r="B1328" s="251">
        <f ca="1" t="shared" si="84"/>
        <v>42980</v>
      </c>
    </row>
    <row r="1329" spans="2:2">
      <c r="B1329" s="251">
        <f ca="1" t="shared" si="84"/>
        <v>42979</v>
      </c>
    </row>
    <row r="1330" spans="2:2">
      <c r="B1330" s="251">
        <f ca="1" t="shared" si="84"/>
        <v>42978</v>
      </c>
    </row>
    <row r="1331" spans="2:2">
      <c r="B1331" s="251">
        <f ca="1" t="shared" si="84"/>
        <v>42977</v>
      </c>
    </row>
    <row r="1332" spans="2:2">
      <c r="B1332" s="251">
        <f ca="1" t="shared" si="84"/>
        <v>42976</v>
      </c>
    </row>
    <row r="1333" spans="2:2">
      <c r="B1333" s="251">
        <f ca="1" t="shared" si="84"/>
        <v>42975</v>
      </c>
    </row>
    <row r="1334" spans="2:2">
      <c r="B1334" s="251">
        <f ca="1" t="shared" si="84"/>
        <v>42974</v>
      </c>
    </row>
    <row r="1335" spans="2:2">
      <c r="B1335" s="251">
        <f ca="1" t="shared" si="84"/>
        <v>42973</v>
      </c>
    </row>
    <row r="1336" spans="2:2">
      <c r="B1336" s="251">
        <f ca="1" t="shared" si="84"/>
        <v>42972</v>
      </c>
    </row>
    <row r="1337" spans="2:2">
      <c r="B1337" s="251">
        <f ca="1" t="shared" ref="B1337:B1352" si="85">B1336-1</f>
        <v>42971</v>
      </c>
    </row>
    <row r="1338" spans="2:2">
      <c r="B1338" s="251">
        <f ca="1" t="shared" si="85"/>
        <v>42970</v>
      </c>
    </row>
    <row r="1339" spans="2:2">
      <c r="B1339" s="251">
        <f ca="1" t="shared" si="85"/>
        <v>42969</v>
      </c>
    </row>
    <row r="1340" spans="2:2">
      <c r="B1340" s="251">
        <f ca="1" t="shared" si="85"/>
        <v>42968</v>
      </c>
    </row>
    <row r="1341" spans="2:2">
      <c r="B1341" s="251">
        <f ca="1" t="shared" si="85"/>
        <v>42967</v>
      </c>
    </row>
    <row r="1342" spans="2:2">
      <c r="B1342" s="251">
        <f ca="1" t="shared" si="85"/>
        <v>42966</v>
      </c>
    </row>
    <row r="1343" spans="2:2">
      <c r="B1343" s="251">
        <f ca="1" t="shared" si="85"/>
        <v>42965</v>
      </c>
    </row>
    <row r="1344" spans="2:2">
      <c r="B1344" s="251">
        <f ca="1" t="shared" si="85"/>
        <v>42964</v>
      </c>
    </row>
    <row r="1345" spans="2:2">
      <c r="B1345" s="251">
        <f ca="1" t="shared" si="85"/>
        <v>42963</v>
      </c>
    </row>
    <row r="1346" spans="2:2">
      <c r="B1346" s="251">
        <f ca="1" t="shared" si="85"/>
        <v>42962</v>
      </c>
    </row>
    <row r="1347" spans="2:2">
      <c r="B1347" s="251">
        <f ca="1" t="shared" si="85"/>
        <v>42961</v>
      </c>
    </row>
    <row r="1348" spans="2:2">
      <c r="B1348" s="251">
        <f ca="1" t="shared" si="85"/>
        <v>42960</v>
      </c>
    </row>
    <row r="1349" spans="2:2">
      <c r="B1349" s="251">
        <f ca="1" t="shared" si="85"/>
        <v>42959</v>
      </c>
    </row>
    <row r="1350" spans="2:2">
      <c r="B1350" s="251">
        <f ca="1" t="shared" si="85"/>
        <v>42958</v>
      </c>
    </row>
    <row r="1351" spans="2:2">
      <c r="B1351" s="251">
        <f ca="1" t="shared" si="85"/>
        <v>42957</v>
      </c>
    </row>
    <row r="1352" spans="2:2">
      <c r="B1352" s="251">
        <f ca="1" t="shared" si="85"/>
        <v>42956</v>
      </c>
    </row>
    <row r="1353" spans="2:2">
      <c r="B1353" s="251">
        <f ca="1" t="shared" ref="B1353:B1368" si="86">B1352-1</f>
        <v>42955</v>
      </c>
    </row>
    <row r="1354" spans="2:2">
      <c r="B1354" s="251">
        <f ca="1" t="shared" si="86"/>
        <v>42954</v>
      </c>
    </row>
    <row r="1355" spans="2:2">
      <c r="B1355" s="251">
        <f ca="1" t="shared" si="86"/>
        <v>42953</v>
      </c>
    </row>
    <row r="1356" spans="2:2">
      <c r="B1356" s="251">
        <f ca="1" t="shared" si="86"/>
        <v>42952</v>
      </c>
    </row>
    <row r="1357" spans="2:2">
      <c r="B1357" s="251">
        <f ca="1" t="shared" si="86"/>
        <v>42951</v>
      </c>
    </row>
    <row r="1358" spans="2:2">
      <c r="B1358" s="251">
        <f ca="1" t="shared" si="86"/>
        <v>42950</v>
      </c>
    </row>
    <row r="1359" spans="2:2">
      <c r="B1359" s="251">
        <f ca="1" t="shared" si="86"/>
        <v>42949</v>
      </c>
    </row>
    <row r="1360" spans="2:2">
      <c r="B1360" s="251">
        <f ca="1" t="shared" si="86"/>
        <v>42948</v>
      </c>
    </row>
    <row r="1361" spans="2:2">
      <c r="B1361" s="251">
        <f ca="1" t="shared" si="86"/>
        <v>42947</v>
      </c>
    </row>
    <row r="1362" spans="2:2">
      <c r="B1362" s="251">
        <f ca="1" t="shared" si="86"/>
        <v>42946</v>
      </c>
    </row>
    <row r="1363" spans="2:2">
      <c r="B1363" s="251">
        <f ca="1" t="shared" si="86"/>
        <v>42945</v>
      </c>
    </row>
    <row r="1364" spans="2:2">
      <c r="B1364" s="251">
        <f ca="1" t="shared" si="86"/>
        <v>42944</v>
      </c>
    </row>
    <row r="1365" spans="2:2">
      <c r="B1365" s="251">
        <f ca="1" t="shared" si="86"/>
        <v>42943</v>
      </c>
    </row>
    <row r="1366" spans="2:2">
      <c r="B1366" s="251">
        <f ca="1" t="shared" si="86"/>
        <v>42942</v>
      </c>
    </row>
    <row r="1367" spans="2:2">
      <c r="B1367" s="251">
        <f ca="1" t="shared" si="86"/>
        <v>42941</v>
      </c>
    </row>
    <row r="1368" spans="2:2">
      <c r="B1368" s="251">
        <f ca="1" t="shared" si="86"/>
        <v>42940</v>
      </c>
    </row>
    <row r="1369" spans="2:2">
      <c r="B1369" s="251">
        <f ca="1" t="shared" ref="B1369:B1384" si="87">B1368-1</f>
        <v>42939</v>
      </c>
    </row>
    <row r="1370" spans="2:2">
      <c r="B1370" s="251">
        <f ca="1" t="shared" si="87"/>
        <v>42938</v>
      </c>
    </row>
    <row r="1371" spans="2:2">
      <c r="B1371" s="251">
        <f ca="1" t="shared" si="87"/>
        <v>42937</v>
      </c>
    </row>
    <row r="1372" spans="2:2">
      <c r="B1372" s="251">
        <f ca="1" t="shared" si="87"/>
        <v>42936</v>
      </c>
    </row>
    <row r="1373" spans="2:2">
      <c r="B1373" s="251">
        <f ca="1" t="shared" si="87"/>
        <v>42935</v>
      </c>
    </row>
    <row r="1374" spans="2:2">
      <c r="B1374" s="251">
        <f ca="1" t="shared" si="87"/>
        <v>42934</v>
      </c>
    </row>
    <row r="1375" spans="2:2">
      <c r="B1375" s="251">
        <f ca="1" t="shared" si="87"/>
        <v>42933</v>
      </c>
    </row>
    <row r="1376" spans="2:2">
      <c r="B1376" s="251">
        <f ca="1" t="shared" si="87"/>
        <v>42932</v>
      </c>
    </row>
    <row r="1377" spans="2:2">
      <c r="B1377" s="251">
        <f ca="1" t="shared" si="87"/>
        <v>42931</v>
      </c>
    </row>
    <row r="1378" spans="2:2">
      <c r="B1378" s="251">
        <f ca="1" t="shared" si="87"/>
        <v>42930</v>
      </c>
    </row>
    <row r="1379" spans="2:2">
      <c r="B1379" s="251">
        <f ca="1" t="shared" si="87"/>
        <v>42929</v>
      </c>
    </row>
    <row r="1380" spans="2:2">
      <c r="B1380" s="251">
        <f ca="1" t="shared" si="87"/>
        <v>42928</v>
      </c>
    </row>
    <row r="1381" spans="2:2">
      <c r="B1381" s="251">
        <f ca="1" t="shared" si="87"/>
        <v>42927</v>
      </c>
    </row>
    <row r="1382" spans="2:2">
      <c r="B1382" s="251">
        <f ca="1" t="shared" si="87"/>
        <v>42926</v>
      </c>
    </row>
    <row r="1383" spans="2:2">
      <c r="B1383" s="251">
        <f ca="1" t="shared" si="87"/>
        <v>42925</v>
      </c>
    </row>
    <row r="1384" spans="2:2">
      <c r="B1384" s="251">
        <f ca="1" t="shared" si="87"/>
        <v>42924</v>
      </c>
    </row>
    <row r="1385" spans="2:2">
      <c r="B1385" s="251">
        <f ca="1" t="shared" ref="B1385:B1400" si="88">B1384-1</f>
        <v>42923</v>
      </c>
    </row>
    <row r="1386" spans="2:2">
      <c r="B1386" s="251">
        <f ca="1" t="shared" si="88"/>
        <v>42922</v>
      </c>
    </row>
    <row r="1387" spans="2:2">
      <c r="B1387" s="251">
        <f ca="1" t="shared" si="88"/>
        <v>42921</v>
      </c>
    </row>
    <row r="1388" spans="2:2">
      <c r="B1388" s="251">
        <f ca="1" t="shared" si="88"/>
        <v>42920</v>
      </c>
    </row>
    <row r="1389" spans="2:2">
      <c r="B1389" s="251">
        <f ca="1" t="shared" si="88"/>
        <v>42919</v>
      </c>
    </row>
    <row r="1390" spans="2:2">
      <c r="B1390" s="251">
        <f ca="1" t="shared" si="88"/>
        <v>42918</v>
      </c>
    </row>
    <row r="1391" spans="2:2">
      <c r="B1391" s="251">
        <f ca="1" t="shared" si="88"/>
        <v>42917</v>
      </c>
    </row>
    <row r="1392" spans="2:2">
      <c r="B1392" s="251">
        <f ca="1" t="shared" si="88"/>
        <v>42916</v>
      </c>
    </row>
    <row r="1393" spans="2:2">
      <c r="B1393" s="251">
        <f ca="1" t="shared" si="88"/>
        <v>42915</v>
      </c>
    </row>
    <row r="1394" spans="2:2">
      <c r="B1394" s="251">
        <f ca="1" t="shared" si="88"/>
        <v>42914</v>
      </c>
    </row>
    <row r="1395" spans="2:2">
      <c r="B1395" s="251">
        <f ca="1" t="shared" si="88"/>
        <v>42913</v>
      </c>
    </row>
    <row r="1396" spans="2:2">
      <c r="B1396" s="251">
        <f ca="1" t="shared" si="88"/>
        <v>42912</v>
      </c>
    </row>
    <row r="1397" spans="2:2">
      <c r="B1397" s="251">
        <f ca="1" t="shared" si="88"/>
        <v>42911</v>
      </c>
    </row>
    <row r="1398" spans="2:2">
      <c r="B1398" s="251">
        <f ca="1" t="shared" si="88"/>
        <v>42910</v>
      </c>
    </row>
    <row r="1399" spans="2:2">
      <c r="B1399" s="251">
        <f ca="1" t="shared" si="88"/>
        <v>42909</v>
      </c>
    </row>
    <row r="1400" spans="2:2">
      <c r="B1400" s="251">
        <f ca="1" t="shared" si="88"/>
        <v>42908</v>
      </c>
    </row>
    <row r="1401" spans="2:2">
      <c r="B1401" s="251">
        <f ca="1" t="shared" ref="B1401:B1416" si="89">B1400-1</f>
        <v>42907</v>
      </c>
    </row>
    <row r="1402" spans="2:2">
      <c r="B1402" s="251">
        <f ca="1" t="shared" si="89"/>
        <v>42906</v>
      </c>
    </row>
    <row r="1403" spans="2:2">
      <c r="B1403" s="251">
        <f ca="1" t="shared" si="89"/>
        <v>42905</v>
      </c>
    </row>
    <row r="1404" spans="2:2">
      <c r="B1404" s="251">
        <f ca="1" t="shared" si="89"/>
        <v>42904</v>
      </c>
    </row>
    <row r="1405" spans="2:2">
      <c r="B1405" s="251">
        <f ca="1" t="shared" si="89"/>
        <v>42903</v>
      </c>
    </row>
    <row r="1406" spans="2:2">
      <c r="B1406" s="251">
        <f ca="1" t="shared" si="89"/>
        <v>42902</v>
      </c>
    </row>
    <row r="1407" spans="2:2">
      <c r="B1407" s="251">
        <f ca="1" t="shared" si="89"/>
        <v>42901</v>
      </c>
    </row>
    <row r="1408" spans="2:2">
      <c r="B1408" s="251">
        <f ca="1" t="shared" si="89"/>
        <v>42900</v>
      </c>
    </row>
    <row r="1409" spans="2:2">
      <c r="B1409" s="251">
        <f ca="1" t="shared" si="89"/>
        <v>42899</v>
      </c>
    </row>
    <row r="1410" spans="2:2">
      <c r="B1410" s="251">
        <f ca="1" t="shared" si="89"/>
        <v>42898</v>
      </c>
    </row>
    <row r="1411" spans="2:2">
      <c r="B1411" s="251">
        <f ca="1" t="shared" si="89"/>
        <v>42897</v>
      </c>
    </row>
    <row r="1412" spans="2:2">
      <c r="B1412" s="251">
        <f ca="1" t="shared" si="89"/>
        <v>42896</v>
      </c>
    </row>
    <row r="1413" spans="2:2">
      <c r="B1413" s="251">
        <f ca="1" t="shared" si="89"/>
        <v>42895</v>
      </c>
    </row>
    <row r="1414" spans="2:2">
      <c r="B1414" s="251">
        <f ca="1" t="shared" si="89"/>
        <v>42894</v>
      </c>
    </row>
    <row r="1415" spans="2:2">
      <c r="B1415" s="251">
        <f ca="1" t="shared" si="89"/>
        <v>42893</v>
      </c>
    </row>
    <row r="1416" spans="2:2">
      <c r="B1416" s="251">
        <f ca="1" t="shared" si="89"/>
        <v>42892</v>
      </c>
    </row>
    <row r="1417" spans="2:2">
      <c r="B1417" s="251">
        <f ca="1" t="shared" ref="B1417:B1432" si="90">B1416-1</f>
        <v>42891</v>
      </c>
    </row>
    <row r="1418" spans="2:2">
      <c r="B1418" s="251">
        <f ca="1" t="shared" si="90"/>
        <v>42890</v>
      </c>
    </row>
    <row r="1419" spans="2:2">
      <c r="B1419" s="251">
        <f ca="1" t="shared" si="90"/>
        <v>42889</v>
      </c>
    </row>
    <row r="1420" spans="2:2">
      <c r="B1420" s="251">
        <f ca="1" t="shared" si="90"/>
        <v>42888</v>
      </c>
    </row>
    <row r="1421" spans="2:2">
      <c r="B1421" s="251">
        <f ca="1" t="shared" si="90"/>
        <v>42887</v>
      </c>
    </row>
    <row r="1422" spans="2:2">
      <c r="B1422" s="251">
        <f ca="1" t="shared" si="90"/>
        <v>42886</v>
      </c>
    </row>
    <row r="1423" spans="2:2">
      <c r="B1423" s="251">
        <f ca="1" t="shared" si="90"/>
        <v>42885</v>
      </c>
    </row>
    <row r="1424" spans="2:2">
      <c r="B1424" s="251">
        <f ca="1" t="shared" si="90"/>
        <v>42884</v>
      </c>
    </row>
    <row r="1425" spans="2:2">
      <c r="B1425" s="251">
        <f ca="1" t="shared" si="90"/>
        <v>42883</v>
      </c>
    </row>
    <row r="1426" spans="2:2">
      <c r="B1426" s="251">
        <f ca="1" t="shared" si="90"/>
        <v>42882</v>
      </c>
    </row>
    <row r="1427" spans="2:2">
      <c r="B1427" s="251">
        <f ca="1" t="shared" si="90"/>
        <v>42881</v>
      </c>
    </row>
    <row r="1428" spans="2:2">
      <c r="B1428" s="251">
        <f ca="1" t="shared" si="90"/>
        <v>42880</v>
      </c>
    </row>
    <row r="1429" spans="2:2">
      <c r="B1429" s="251">
        <f ca="1" t="shared" si="90"/>
        <v>42879</v>
      </c>
    </row>
    <row r="1430" spans="2:2">
      <c r="B1430" s="251">
        <f ca="1" t="shared" si="90"/>
        <v>42878</v>
      </c>
    </row>
    <row r="1431" spans="2:2">
      <c r="B1431" s="251">
        <f ca="1" t="shared" si="90"/>
        <v>42877</v>
      </c>
    </row>
    <row r="1432" spans="2:2">
      <c r="B1432" s="251">
        <f ca="1" t="shared" si="90"/>
        <v>42876</v>
      </c>
    </row>
    <row r="1433" spans="2:2">
      <c r="B1433" s="251">
        <f ca="1" t="shared" ref="B1433:B1448" si="91">B1432-1</f>
        <v>42875</v>
      </c>
    </row>
    <row r="1434" spans="2:2">
      <c r="B1434" s="251">
        <f ca="1" t="shared" si="91"/>
        <v>42874</v>
      </c>
    </row>
    <row r="1435" spans="2:2">
      <c r="B1435" s="251">
        <f ca="1" t="shared" si="91"/>
        <v>42873</v>
      </c>
    </row>
    <row r="1436" spans="2:2">
      <c r="B1436" s="251">
        <f ca="1" t="shared" si="91"/>
        <v>42872</v>
      </c>
    </row>
    <row r="1437" spans="2:2">
      <c r="B1437" s="251">
        <f ca="1" t="shared" si="91"/>
        <v>42871</v>
      </c>
    </row>
    <row r="1438" spans="2:2">
      <c r="B1438" s="251">
        <f ca="1" t="shared" si="91"/>
        <v>42870</v>
      </c>
    </row>
    <row r="1439" spans="2:2">
      <c r="B1439" s="251">
        <f ca="1" t="shared" si="91"/>
        <v>42869</v>
      </c>
    </row>
    <row r="1440" spans="2:2">
      <c r="B1440" s="251">
        <f ca="1" t="shared" si="91"/>
        <v>42868</v>
      </c>
    </row>
    <row r="1441" spans="2:2">
      <c r="B1441" s="251">
        <f ca="1" t="shared" si="91"/>
        <v>42867</v>
      </c>
    </row>
    <row r="1442" spans="2:2">
      <c r="B1442" s="251">
        <f ca="1" t="shared" si="91"/>
        <v>42866</v>
      </c>
    </row>
    <row r="1443" spans="2:2">
      <c r="B1443" s="251">
        <f ca="1" t="shared" si="91"/>
        <v>42865</v>
      </c>
    </row>
    <row r="1444" spans="2:2">
      <c r="B1444" s="251">
        <f ca="1" t="shared" si="91"/>
        <v>42864</v>
      </c>
    </row>
    <row r="1445" spans="2:2">
      <c r="B1445" s="251">
        <f ca="1" t="shared" si="91"/>
        <v>42863</v>
      </c>
    </row>
    <row r="1446" spans="2:2">
      <c r="B1446" s="251">
        <f ca="1" t="shared" si="91"/>
        <v>42862</v>
      </c>
    </row>
    <row r="1447" spans="2:2">
      <c r="B1447" s="251">
        <f ca="1" t="shared" si="91"/>
        <v>42861</v>
      </c>
    </row>
    <row r="1448" spans="2:2">
      <c r="B1448" s="251">
        <f ca="1" t="shared" si="91"/>
        <v>42860</v>
      </c>
    </row>
    <row r="1449" spans="2:2">
      <c r="B1449" s="251">
        <f ca="1" t="shared" ref="B1449:B1464" si="92">B1448-1</f>
        <v>42859</v>
      </c>
    </row>
    <row r="1450" spans="2:2">
      <c r="B1450" s="251">
        <f ca="1" t="shared" si="92"/>
        <v>42858</v>
      </c>
    </row>
    <row r="1451" spans="2:2">
      <c r="B1451" s="251">
        <f ca="1" t="shared" si="92"/>
        <v>42857</v>
      </c>
    </row>
    <row r="1452" spans="2:2">
      <c r="B1452" s="251">
        <f ca="1" t="shared" si="92"/>
        <v>42856</v>
      </c>
    </row>
    <row r="1453" spans="2:2">
      <c r="B1453" s="251">
        <f ca="1" t="shared" si="92"/>
        <v>42855</v>
      </c>
    </row>
    <row r="1454" spans="2:2">
      <c r="B1454" s="251">
        <f ca="1" t="shared" si="92"/>
        <v>42854</v>
      </c>
    </row>
    <row r="1455" spans="2:2">
      <c r="B1455" s="251">
        <f ca="1" t="shared" si="92"/>
        <v>42853</v>
      </c>
    </row>
    <row r="1456" spans="2:2">
      <c r="B1456" s="251">
        <f ca="1" t="shared" si="92"/>
        <v>42852</v>
      </c>
    </row>
    <row r="1457" spans="2:2">
      <c r="B1457" s="251">
        <f ca="1" t="shared" si="92"/>
        <v>42851</v>
      </c>
    </row>
    <row r="1458" spans="2:2">
      <c r="B1458" s="251">
        <f ca="1" t="shared" si="92"/>
        <v>42850</v>
      </c>
    </row>
    <row r="1459" spans="2:2">
      <c r="B1459" s="251">
        <f ca="1" t="shared" si="92"/>
        <v>42849</v>
      </c>
    </row>
    <row r="1460" spans="2:2">
      <c r="B1460" s="251">
        <f ca="1" t="shared" si="92"/>
        <v>42848</v>
      </c>
    </row>
    <row r="1461" spans="2:2">
      <c r="B1461" s="251">
        <f ca="1" t="shared" si="92"/>
        <v>42847</v>
      </c>
    </row>
    <row r="1462" spans="2:2">
      <c r="B1462" s="251">
        <f ca="1" t="shared" si="92"/>
        <v>42846</v>
      </c>
    </row>
    <row r="1463" spans="2:2">
      <c r="B1463" s="251">
        <f ca="1" t="shared" si="92"/>
        <v>42845</v>
      </c>
    </row>
    <row r="1464" spans="2:2">
      <c r="B1464" s="251">
        <f ca="1" t="shared" si="92"/>
        <v>42844</v>
      </c>
    </row>
    <row r="1465" spans="2:2">
      <c r="B1465" s="251">
        <f ca="1" t="shared" ref="B1465:B1480" si="93">B1464-1</f>
        <v>42843</v>
      </c>
    </row>
    <row r="1466" spans="2:2">
      <c r="B1466" s="251">
        <f ca="1" t="shared" si="93"/>
        <v>42842</v>
      </c>
    </row>
    <row r="1467" spans="2:2">
      <c r="B1467" s="251">
        <f ca="1" t="shared" si="93"/>
        <v>42841</v>
      </c>
    </row>
    <row r="1468" spans="2:2">
      <c r="B1468" s="251">
        <f ca="1" t="shared" si="93"/>
        <v>42840</v>
      </c>
    </row>
    <row r="1469" spans="2:2">
      <c r="B1469" s="251">
        <f ca="1" t="shared" si="93"/>
        <v>42839</v>
      </c>
    </row>
    <row r="1470" spans="2:2">
      <c r="B1470" s="251">
        <f ca="1" t="shared" si="93"/>
        <v>42838</v>
      </c>
    </row>
    <row r="1471" spans="2:2">
      <c r="B1471" s="251">
        <f ca="1" t="shared" si="93"/>
        <v>42837</v>
      </c>
    </row>
    <row r="1472" spans="2:2">
      <c r="B1472" s="251">
        <f ca="1" t="shared" si="93"/>
        <v>42836</v>
      </c>
    </row>
    <row r="1473" spans="2:2">
      <c r="B1473" s="251">
        <f ca="1" t="shared" si="93"/>
        <v>42835</v>
      </c>
    </row>
    <row r="1474" spans="2:2">
      <c r="B1474" s="251">
        <f ca="1" t="shared" si="93"/>
        <v>42834</v>
      </c>
    </row>
    <row r="1475" spans="2:2">
      <c r="B1475" s="251">
        <f ca="1" t="shared" si="93"/>
        <v>42833</v>
      </c>
    </row>
    <row r="1476" spans="2:2">
      <c r="B1476" s="251">
        <f ca="1" t="shared" si="93"/>
        <v>42832</v>
      </c>
    </row>
    <row r="1477" spans="2:2">
      <c r="B1477" s="251">
        <f ca="1" t="shared" si="93"/>
        <v>42831</v>
      </c>
    </row>
    <row r="1478" spans="2:2">
      <c r="B1478" s="251">
        <f ca="1" t="shared" si="93"/>
        <v>42830</v>
      </c>
    </row>
    <row r="1479" spans="2:2">
      <c r="B1479" s="251">
        <f ca="1" t="shared" si="93"/>
        <v>42829</v>
      </c>
    </row>
    <row r="1480" spans="2:2">
      <c r="B1480" s="251">
        <f ca="1" t="shared" si="93"/>
        <v>42828</v>
      </c>
    </row>
    <row r="1481" spans="2:2">
      <c r="B1481" s="251">
        <f ca="1" t="shared" ref="B1481:B1496" si="94">B1480-1</f>
        <v>42827</v>
      </c>
    </row>
    <row r="1482" spans="2:2">
      <c r="B1482" s="251">
        <f ca="1" t="shared" si="94"/>
        <v>42826</v>
      </c>
    </row>
    <row r="1483" spans="2:2">
      <c r="B1483" s="251">
        <f ca="1" t="shared" si="94"/>
        <v>42825</v>
      </c>
    </row>
    <row r="1484" spans="2:2">
      <c r="B1484" s="251">
        <f ca="1" t="shared" si="94"/>
        <v>42824</v>
      </c>
    </row>
    <row r="1485" spans="2:2">
      <c r="B1485" s="251">
        <f ca="1" t="shared" si="94"/>
        <v>42823</v>
      </c>
    </row>
    <row r="1486" spans="2:2">
      <c r="B1486" s="251">
        <f ca="1" t="shared" si="94"/>
        <v>42822</v>
      </c>
    </row>
    <row r="1487" spans="2:2">
      <c r="B1487" s="251">
        <f ca="1" t="shared" si="94"/>
        <v>42821</v>
      </c>
    </row>
    <row r="1488" spans="2:2">
      <c r="B1488" s="251">
        <f ca="1" t="shared" si="94"/>
        <v>42820</v>
      </c>
    </row>
    <row r="1489" spans="2:2">
      <c r="B1489" s="251">
        <f ca="1" t="shared" si="94"/>
        <v>42819</v>
      </c>
    </row>
    <row r="1490" spans="2:2">
      <c r="B1490" s="251">
        <f ca="1" t="shared" si="94"/>
        <v>42818</v>
      </c>
    </row>
    <row r="1491" spans="2:2">
      <c r="B1491" s="251">
        <f ca="1" t="shared" si="94"/>
        <v>42817</v>
      </c>
    </row>
    <row r="1492" spans="2:2">
      <c r="B1492" s="251">
        <f ca="1" t="shared" si="94"/>
        <v>42816</v>
      </c>
    </row>
    <row r="1493" spans="2:2">
      <c r="B1493" s="251">
        <f ca="1" t="shared" si="94"/>
        <v>42815</v>
      </c>
    </row>
    <row r="1494" spans="2:2">
      <c r="B1494" s="251">
        <f ca="1" t="shared" si="94"/>
        <v>42814</v>
      </c>
    </row>
    <row r="1495" spans="2:2">
      <c r="B1495" s="251">
        <f ca="1" t="shared" si="94"/>
        <v>42813</v>
      </c>
    </row>
    <row r="1496" spans="2:2">
      <c r="B1496" s="251">
        <f ca="1" t="shared" si="94"/>
        <v>42812</v>
      </c>
    </row>
    <row r="1497" spans="2:2">
      <c r="B1497" s="251">
        <f ca="1" t="shared" ref="B1497:B1512" si="95">B1496-1</f>
        <v>42811</v>
      </c>
    </row>
    <row r="1498" spans="2:2">
      <c r="B1498" s="251">
        <f ca="1" t="shared" si="95"/>
        <v>42810</v>
      </c>
    </row>
    <row r="1499" spans="2:2">
      <c r="B1499" s="251">
        <f ca="1" t="shared" si="95"/>
        <v>42809</v>
      </c>
    </row>
    <row r="1500" spans="2:2">
      <c r="B1500" s="251">
        <f ca="1" t="shared" si="95"/>
        <v>42808</v>
      </c>
    </row>
    <row r="1501" spans="2:2">
      <c r="B1501" s="251">
        <f ca="1" t="shared" si="95"/>
        <v>42807</v>
      </c>
    </row>
    <row r="1502" spans="2:2">
      <c r="B1502" s="251">
        <f ca="1" t="shared" si="95"/>
        <v>42806</v>
      </c>
    </row>
    <row r="1503" spans="2:2">
      <c r="B1503" s="251">
        <f ca="1" t="shared" si="95"/>
        <v>42805</v>
      </c>
    </row>
    <row r="1504" spans="2:2">
      <c r="B1504" s="251">
        <f ca="1" t="shared" si="95"/>
        <v>42804</v>
      </c>
    </row>
    <row r="1505" spans="2:2">
      <c r="B1505" s="251">
        <f ca="1" t="shared" si="95"/>
        <v>42803</v>
      </c>
    </row>
    <row r="1506" spans="2:2">
      <c r="B1506" s="251">
        <f ca="1" t="shared" si="95"/>
        <v>42802</v>
      </c>
    </row>
    <row r="1507" spans="2:2">
      <c r="B1507" s="251">
        <f ca="1" t="shared" si="95"/>
        <v>42801</v>
      </c>
    </row>
    <row r="1508" spans="2:2">
      <c r="B1508" s="251">
        <f ca="1" t="shared" si="95"/>
        <v>42800</v>
      </c>
    </row>
    <row r="1509" spans="2:2">
      <c r="B1509" s="251">
        <f ca="1" t="shared" si="95"/>
        <v>42799</v>
      </c>
    </row>
    <row r="1510" spans="2:2">
      <c r="B1510" s="251">
        <f ca="1" t="shared" si="95"/>
        <v>42798</v>
      </c>
    </row>
    <row r="1511" spans="2:2">
      <c r="B1511" s="251">
        <f ca="1" t="shared" si="95"/>
        <v>42797</v>
      </c>
    </row>
    <row r="1512" spans="2:2">
      <c r="B1512" s="251">
        <f ca="1" t="shared" si="95"/>
        <v>42796</v>
      </c>
    </row>
    <row r="1513" spans="2:2">
      <c r="B1513" s="251">
        <f ca="1" t="shared" ref="B1513:B1528" si="96">B1512-1</f>
        <v>42795</v>
      </c>
    </row>
    <row r="1514" spans="2:2">
      <c r="B1514" s="251">
        <f ca="1" t="shared" si="96"/>
        <v>42794</v>
      </c>
    </row>
    <row r="1515" spans="2:2">
      <c r="B1515" s="251">
        <f ca="1" t="shared" si="96"/>
        <v>42793</v>
      </c>
    </row>
    <row r="1516" spans="2:2">
      <c r="B1516" s="251">
        <f ca="1" t="shared" si="96"/>
        <v>42792</v>
      </c>
    </row>
    <row r="1517" spans="2:2">
      <c r="B1517" s="251">
        <f ca="1" t="shared" si="96"/>
        <v>42791</v>
      </c>
    </row>
    <row r="1518" spans="2:2">
      <c r="B1518" s="251">
        <f ca="1" t="shared" si="96"/>
        <v>42790</v>
      </c>
    </row>
    <row r="1519" spans="2:2">
      <c r="B1519" s="251">
        <f ca="1" t="shared" si="96"/>
        <v>42789</v>
      </c>
    </row>
    <row r="1520" spans="2:2">
      <c r="B1520" s="251">
        <f ca="1" t="shared" si="96"/>
        <v>42788</v>
      </c>
    </row>
    <row r="1521" spans="2:2">
      <c r="B1521" s="251">
        <f ca="1" t="shared" si="96"/>
        <v>42787</v>
      </c>
    </row>
    <row r="1522" spans="2:2">
      <c r="B1522" s="251">
        <f ca="1" t="shared" si="96"/>
        <v>42786</v>
      </c>
    </row>
    <row r="1523" spans="2:2">
      <c r="B1523" s="251">
        <f ca="1" t="shared" si="96"/>
        <v>42785</v>
      </c>
    </row>
    <row r="1524" spans="2:2">
      <c r="B1524" s="251">
        <f ca="1" t="shared" si="96"/>
        <v>42784</v>
      </c>
    </row>
    <row r="1525" spans="2:2">
      <c r="B1525" s="251">
        <f ca="1" t="shared" si="96"/>
        <v>42783</v>
      </c>
    </row>
    <row r="1526" spans="2:2">
      <c r="B1526" s="251">
        <f ca="1" t="shared" si="96"/>
        <v>42782</v>
      </c>
    </row>
    <row r="1527" spans="2:2">
      <c r="B1527" s="251">
        <f ca="1" t="shared" si="96"/>
        <v>42781</v>
      </c>
    </row>
    <row r="1528" spans="2:2">
      <c r="B1528" s="251">
        <f ca="1" t="shared" si="96"/>
        <v>42780</v>
      </c>
    </row>
    <row r="1529" spans="2:2">
      <c r="B1529" s="251">
        <f ca="1" t="shared" ref="B1529:B1544" si="97">B1528-1</f>
        <v>42779</v>
      </c>
    </row>
    <row r="1530" spans="2:2">
      <c r="B1530" s="251">
        <f ca="1" t="shared" si="97"/>
        <v>42778</v>
      </c>
    </row>
    <row r="1531" spans="2:2">
      <c r="B1531" s="251">
        <f ca="1" t="shared" si="97"/>
        <v>42777</v>
      </c>
    </row>
    <row r="1532" spans="2:2">
      <c r="B1532" s="251">
        <f ca="1" t="shared" si="97"/>
        <v>42776</v>
      </c>
    </row>
    <row r="1533" spans="2:2">
      <c r="B1533" s="251">
        <f ca="1" t="shared" si="97"/>
        <v>42775</v>
      </c>
    </row>
    <row r="1534" spans="2:2">
      <c r="B1534" s="251">
        <f ca="1" t="shared" si="97"/>
        <v>42774</v>
      </c>
    </row>
    <row r="1535" spans="2:2">
      <c r="B1535" s="251">
        <f ca="1" t="shared" si="97"/>
        <v>42773</v>
      </c>
    </row>
    <row r="1536" spans="2:2">
      <c r="B1536" s="251">
        <f ca="1" t="shared" si="97"/>
        <v>42772</v>
      </c>
    </row>
    <row r="1537" spans="2:2">
      <c r="B1537" s="251">
        <f ca="1" t="shared" si="97"/>
        <v>42771</v>
      </c>
    </row>
    <row r="1538" spans="2:2">
      <c r="B1538" s="251">
        <f ca="1" t="shared" si="97"/>
        <v>42770</v>
      </c>
    </row>
    <row r="1539" spans="2:2">
      <c r="B1539" s="251">
        <f ca="1" t="shared" si="97"/>
        <v>42769</v>
      </c>
    </row>
    <row r="1540" spans="2:2">
      <c r="B1540" s="251">
        <f ca="1" t="shared" si="97"/>
        <v>42768</v>
      </c>
    </row>
    <row r="1541" spans="2:2">
      <c r="B1541" s="251">
        <f ca="1" t="shared" si="97"/>
        <v>42767</v>
      </c>
    </row>
    <row r="1542" spans="2:2">
      <c r="B1542" s="251">
        <f ca="1" t="shared" si="97"/>
        <v>42766</v>
      </c>
    </row>
    <row r="1543" spans="2:2">
      <c r="B1543" s="251">
        <f ca="1" t="shared" si="97"/>
        <v>42765</v>
      </c>
    </row>
    <row r="1544" spans="2:2">
      <c r="B1544" s="251">
        <f ca="1" t="shared" si="97"/>
        <v>42764</v>
      </c>
    </row>
    <row r="1545" spans="2:2">
      <c r="B1545" s="251">
        <f ca="1" t="shared" ref="B1545:B1560" si="98">B1544-1</f>
        <v>42763</v>
      </c>
    </row>
    <row r="1546" spans="2:2">
      <c r="B1546" s="251">
        <f ca="1" t="shared" si="98"/>
        <v>42762</v>
      </c>
    </row>
    <row r="1547" spans="2:2">
      <c r="B1547" s="251">
        <f ca="1" t="shared" si="98"/>
        <v>42761</v>
      </c>
    </row>
    <row r="1548" spans="2:2">
      <c r="B1548" s="251">
        <f ca="1" t="shared" si="98"/>
        <v>42760</v>
      </c>
    </row>
    <row r="1549" spans="2:2">
      <c r="B1549" s="251">
        <f ca="1" t="shared" si="98"/>
        <v>42759</v>
      </c>
    </row>
    <row r="1550" spans="2:2">
      <c r="B1550" s="251">
        <f ca="1" t="shared" si="98"/>
        <v>42758</v>
      </c>
    </row>
    <row r="1551" spans="2:2">
      <c r="B1551" s="251">
        <f ca="1" t="shared" si="98"/>
        <v>42757</v>
      </c>
    </row>
    <row r="1552" spans="2:2">
      <c r="B1552" s="251">
        <f ca="1" t="shared" si="98"/>
        <v>42756</v>
      </c>
    </row>
    <row r="1553" spans="2:2">
      <c r="B1553" s="251">
        <f ca="1" t="shared" si="98"/>
        <v>42755</v>
      </c>
    </row>
    <row r="1554" spans="2:2">
      <c r="B1554" s="251">
        <f ca="1" t="shared" si="98"/>
        <v>42754</v>
      </c>
    </row>
    <row r="1555" spans="2:2">
      <c r="B1555" s="251">
        <f ca="1" t="shared" si="98"/>
        <v>42753</v>
      </c>
    </row>
    <row r="1556" spans="2:2">
      <c r="B1556" s="251">
        <f ca="1" t="shared" si="98"/>
        <v>42752</v>
      </c>
    </row>
    <row r="1557" spans="2:2">
      <c r="B1557" s="251">
        <f ca="1" t="shared" si="98"/>
        <v>42751</v>
      </c>
    </row>
    <row r="1558" spans="2:2">
      <c r="B1558" s="251">
        <f ca="1" t="shared" si="98"/>
        <v>42750</v>
      </c>
    </row>
    <row r="1559" spans="2:2">
      <c r="B1559" s="251">
        <f ca="1" t="shared" si="98"/>
        <v>42749</v>
      </c>
    </row>
    <row r="1560" spans="2:2">
      <c r="B1560" s="251">
        <f ca="1" t="shared" si="98"/>
        <v>42748</v>
      </c>
    </row>
    <row r="1561" spans="2:2">
      <c r="B1561" s="251">
        <f ca="1" t="shared" ref="B1561:B1576" si="99">B1560-1</f>
        <v>42747</v>
      </c>
    </row>
    <row r="1562" spans="2:2">
      <c r="B1562" s="251">
        <f ca="1" t="shared" si="99"/>
        <v>42746</v>
      </c>
    </row>
    <row r="1563" spans="2:2">
      <c r="B1563" s="251">
        <f ca="1" t="shared" si="99"/>
        <v>42745</v>
      </c>
    </row>
    <row r="1564" spans="2:2">
      <c r="B1564" s="251">
        <f ca="1" t="shared" si="99"/>
        <v>42744</v>
      </c>
    </row>
    <row r="1565" spans="2:2">
      <c r="B1565" s="251">
        <f ca="1" t="shared" si="99"/>
        <v>42743</v>
      </c>
    </row>
    <row r="1566" spans="2:2">
      <c r="B1566" s="251">
        <f ca="1" t="shared" si="99"/>
        <v>42742</v>
      </c>
    </row>
    <row r="1567" spans="2:2">
      <c r="B1567" s="251">
        <f ca="1" t="shared" si="99"/>
        <v>42741</v>
      </c>
    </row>
    <row r="1568" spans="2:2">
      <c r="B1568" s="251">
        <f ca="1" t="shared" si="99"/>
        <v>42740</v>
      </c>
    </row>
    <row r="1569" spans="2:2">
      <c r="B1569" s="251">
        <f ca="1" t="shared" si="99"/>
        <v>42739</v>
      </c>
    </row>
    <row r="1570" spans="2:2">
      <c r="B1570" s="251">
        <f ca="1" t="shared" si="99"/>
        <v>42738</v>
      </c>
    </row>
    <row r="1571" spans="2:2">
      <c r="B1571" s="251">
        <f ca="1" t="shared" si="99"/>
        <v>42737</v>
      </c>
    </row>
    <row r="1572" spans="2:2">
      <c r="B1572" s="251">
        <f ca="1" t="shared" si="99"/>
        <v>42736</v>
      </c>
    </row>
    <row r="1573" spans="2:2">
      <c r="B1573" s="251">
        <f ca="1" t="shared" si="99"/>
        <v>42735</v>
      </c>
    </row>
    <row r="1574" spans="2:2">
      <c r="B1574" s="251">
        <f ca="1" t="shared" si="99"/>
        <v>42734</v>
      </c>
    </row>
    <row r="1575" spans="2:2">
      <c r="B1575" s="251">
        <f ca="1" t="shared" si="99"/>
        <v>42733</v>
      </c>
    </row>
    <row r="1576" spans="2:2">
      <c r="B1576" s="251">
        <f ca="1" t="shared" si="99"/>
        <v>42732</v>
      </c>
    </row>
    <row r="1577" spans="2:2">
      <c r="B1577" s="251">
        <f ca="1" t="shared" ref="B1577:B1592" si="100">B1576-1</f>
        <v>42731</v>
      </c>
    </row>
    <row r="1578" spans="2:2">
      <c r="B1578" s="251">
        <f ca="1" t="shared" si="100"/>
        <v>42730</v>
      </c>
    </row>
    <row r="1579" spans="2:2">
      <c r="B1579" s="251">
        <f ca="1" t="shared" si="100"/>
        <v>42729</v>
      </c>
    </row>
    <row r="1580" spans="2:2">
      <c r="B1580" s="251">
        <f ca="1" t="shared" si="100"/>
        <v>42728</v>
      </c>
    </row>
    <row r="1581" spans="2:2">
      <c r="B1581" s="251">
        <f ca="1" t="shared" si="100"/>
        <v>42727</v>
      </c>
    </row>
    <row r="1582" spans="2:2">
      <c r="B1582" s="251">
        <f ca="1" t="shared" si="100"/>
        <v>42726</v>
      </c>
    </row>
    <row r="1583" spans="2:2">
      <c r="B1583" s="251">
        <f ca="1" t="shared" si="100"/>
        <v>42725</v>
      </c>
    </row>
    <row r="1584" spans="2:2">
      <c r="B1584" s="251">
        <f ca="1" t="shared" si="100"/>
        <v>42724</v>
      </c>
    </row>
    <row r="1585" spans="2:2">
      <c r="B1585" s="251">
        <f ca="1" t="shared" si="100"/>
        <v>42723</v>
      </c>
    </row>
    <row r="1586" spans="2:2">
      <c r="B1586" s="251">
        <f ca="1" t="shared" si="100"/>
        <v>42722</v>
      </c>
    </row>
    <row r="1587" spans="2:2">
      <c r="B1587" s="251">
        <f ca="1" t="shared" si="100"/>
        <v>42721</v>
      </c>
    </row>
    <row r="1588" spans="2:2">
      <c r="B1588" s="251">
        <f ca="1" t="shared" si="100"/>
        <v>42720</v>
      </c>
    </row>
    <row r="1589" spans="2:2">
      <c r="B1589" s="251">
        <f ca="1" t="shared" si="100"/>
        <v>42719</v>
      </c>
    </row>
    <row r="1590" spans="2:2">
      <c r="B1590" s="251">
        <f ca="1" t="shared" si="100"/>
        <v>42718</v>
      </c>
    </row>
    <row r="1591" spans="2:2">
      <c r="B1591" s="251">
        <f ca="1" t="shared" si="100"/>
        <v>42717</v>
      </c>
    </row>
    <row r="1592" spans="2:2">
      <c r="B1592" s="251">
        <f ca="1" t="shared" si="100"/>
        <v>42716</v>
      </c>
    </row>
    <row r="1593" spans="2:2">
      <c r="B1593" s="251">
        <f ca="1" t="shared" ref="B1593:B1608" si="101">B1592-1</f>
        <v>42715</v>
      </c>
    </row>
    <row r="1594" spans="2:2">
      <c r="B1594" s="251">
        <f ca="1" t="shared" si="101"/>
        <v>42714</v>
      </c>
    </row>
    <row r="1595" spans="2:2">
      <c r="B1595" s="251">
        <f ca="1" t="shared" si="101"/>
        <v>42713</v>
      </c>
    </row>
    <row r="1596" spans="2:2">
      <c r="B1596" s="251">
        <f ca="1" t="shared" si="101"/>
        <v>42712</v>
      </c>
    </row>
    <row r="1597" spans="2:2">
      <c r="B1597" s="251">
        <f ca="1" t="shared" si="101"/>
        <v>42711</v>
      </c>
    </row>
    <row r="1598" spans="2:2">
      <c r="B1598" s="251">
        <f ca="1" t="shared" si="101"/>
        <v>42710</v>
      </c>
    </row>
    <row r="1599" spans="2:2">
      <c r="B1599" s="251">
        <f ca="1" t="shared" si="101"/>
        <v>42709</v>
      </c>
    </row>
    <row r="1600" spans="2:2">
      <c r="B1600" s="251">
        <f ca="1" t="shared" si="101"/>
        <v>42708</v>
      </c>
    </row>
    <row r="1601" spans="2:2">
      <c r="B1601" s="251">
        <f ca="1" t="shared" si="101"/>
        <v>42707</v>
      </c>
    </row>
    <row r="1602" spans="2:2">
      <c r="B1602" s="251">
        <f ca="1" t="shared" si="101"/>
        <v>42706</v>
      </c>
    </row>
    <row r="1603" spans="2:2">
      <c r="B1603" s="251">
        <f ca="1" t="shared" si="101"/>
        <v>42705</v>
      </c>
    </row>
    <row r="1604" spans="2:2">
      <c r="B1604" s="251">
        <f ca="1" t="shared" si="101"/>
        <v>42704</v>
      </c>
    </row>
    <row r="1605" spans="2:2">
      <c r="B1605" s="251">
        <f ca="1" t="shared" si="101"/>
        <v>42703</v>
      </c>
    </row>
    <row r="1606" spans="2:2">
      <c r="B1606" s="251">
        <f ca="1" t="shared" si="101"/>
        <v>42702</v>
      </c>
    </row>
    <row r="1607" spans="2:2">
      <c r="B1607" s="251">
        <f ca="1" t="shared" si="101"/>
        <v>42701</v>
      </c>
    </row>
    <row r="1608" spans="2:2">
      <c r="B1608" s="251">
        <f ca="1" t="shared" si="101"/>
        <v>42700</v>
      </c>
    </row>
    <row r="1609" spans="2:2">
      <c r="B1609" s="251">
        <f ca="1" t="shared" ref="B1609:B1624" si="102">B1608-1</f>
        <v>42699</v>
      </c>
    </row>
    <row r="1610" spans="2:2">
      <c r="B1610" s="251">
        <f ca="1" t="shared" si="102"/>
        <v>42698</v>
      </c>
    </row>
    <row r="1611" spans="2:2">
      <c r="B1611" s="251">
        <f ca="1" t="shared" si="102"/>
        <v>42697</v>
      </c>
    </row>
    <row r="1612" spans="2:2">
      <c r="B1612" s="251">
        <f ca="1" t="shared" si="102"/>
        <v>42696</v>
      </c>
    </row>
    <row r="1613" spans="2:2">
      <c r="B1613" s="251">
        <f ca="1" t="shared" si="102"/>
        <v>42695</v>
      </c>
    </row>
    <row r="1614" spans="2:2">
      <c r="B1614" s="251">
        <f ca="1" t="shared" si="102"/>
        <v>42694</v>
      </c>
    </row>
    <row r="1615" spans="2:2">
      <c r="B1615" s="251">
        <f ca="1" t="shared" si="102"/>
        <v>42693</v>
      </c>
    </row>
    <row r="1616" spans="2:2">
      <c r="B1616" s="251">
        <f ca="1" t="shared" si="102"/>
        <v>42692</v>
      </c>
    </row>
    <row r="1617" spans="2:2">
      <c r="B1617" s="251">
        <f ca="1" t="shared" si="102"/>
        <v>42691</v>
      </c>
    </row>
    <row r="1618" spans="2:2">
      <c r="B1618" s="251">
        <f ca="1" t="shared" si="102"/>
        <v>42690</v>
      </c>
    </row>
    <row r="1619" spans="2:2">
      <c r="B1619" s="251">
        <f ca="1" t="shared" si="102"/>
        <v>42689</v>
      </c>
    </row>
    <row r="1620" spans="2:2">
      <c r="B1620" s="251">
        <f ca="1" t="shared" si="102"/>
        <v>42688</v>
      </c>
    </row>
    <row r="1621" spans="2:2">
      <c r="B1621" s="251">
        <f ca="1" t="shared" si="102"/>
        <v>42687</v>
      </c>
    </row>
    <row r="1622" spans="2:2">
      <c r="B1622" s="251">
        <f ca="1" t="shared" si="102"/>
        <v>42686</v>
      </c>
    </row>
    <row r="1623" spans="2:2">
      <c r="B1623" s="251">
        <f ca="1" t="shared" si="102"/>
        <v>42685</v>
      </c>
    </row>
    <row r="1624" spans="2:2">
      <c r="B1624" s="251">
        <f ca="1" t="shared" si="102"/>
        <v>42684</v>
      </c>
    </row>
    <row r="1625" spans="2:2">
      <c r="B1625" s="251">
        <f ca="1" t="shared" ref="B1625:B1640" si="103">B1624-1</f>
        <v>42683</v>
      </c>
    </row>
    <row r="1626" spans="2:2">
      <c r="B1626" s="251">
        <f ca="1" t="shared" si="103"/>
        <v>42682</v>
      </c>
    </row>
    <row r="1627" spans="2:2">
      <c r="B1627" s="251">
        <f ca="1" t="shared" si="103"/>
        <v>42681</v>
      </c>
    </row>
    <row r="1628" spans="2:2">
      <c r="B1628" s="251">
        <f ca="1" t="shared" si="103"/>
        <v>42680</v>
      </c>
    </row>
    <row r="1629" spans="2:2">
      <c r="B1629" s="251">
        <f ca="1" t="shared" si="103"/>
        <v>42679</v>
      </c>
    </row>
    <row r="1630" spans="2:2">
      <c r="B1630" s="251">
        <f ca="1" t="shared" si="103"/>
        <v>42678</v>
      </c>
    </row>
    <row r="1631" spans="2:2">
      <c r="B1631" s="251">
        <f ca="1" t="shared" si="103"/>
        <v>42677</v>
      </c>
    </row>
    <row r="1632" spans="2:2">
      <c r="B1632" s="251">
        <f ca="1" t="shared" si="103"/>
        <v>42676</v>
      </c>
    </row>
    <row r="1633" spans="2:2">
      <c r="B1633" s="251">
        <f ca="1" t="shared" si="103"/>
        <v>42675</v>
      </c>
    </row>
    <row r="1634" spans="2:2">
      <c r="B1634" s="251">
        <f ca="1" t="shared" si="103"/>
        <v>42674</v>
      </c>
    </row>
    <row r="1635" spans="2:2">
      <c r="B1635" s="251">
        <f ca="1" t="shared" si="103"/>
        <v>42673</v>
      </c>
    </row>
    <row r="1636" spans="2:2">
      <c r="B1636" s="251">
        <f ca="1" t="shared" si="103"/>
        <v>42672</v>
      </c>
    </row>
    <row r="1637" spans="2:2">
      <c r="B1637" s="251">
        <f ca="1" t="shared" si="103"/>
        <v>42671</v>
      </c>
    </row>
    <row r="1638" spans="2:2">
      <c r="B1638" s="251">
        <f ca="1" t="shared" si="103"/>
        <v>42670</v>
      </c>
    </row>
    <row r="1639" spans="2:2">
      <c r="B1639" s="251">
        <f ca="1" t="shared" si="103"/>
        <v>42669</v>
      </c>
    </row>
    <row r="1640" spans="2:2">
      <c r="B1640" s="251">
        <f ca="1" t="shared" si="103"/>
        <v>42668</v>
      </c>
    </row>
    <row r="1641" spans="2:2">
      <c r="B1641" s="251">
        <f ca="1" t="shared" ref="B1641:B1656" si="104">B1640-1</f>
        <v>42667</v>
      </c>
    </row>
    <row r="1642" spans="2:2">
      <c r="B1642" s="251">
        <f ca="1" t="shared" si="104"/>
        <v>42666</v>
      </c>
    </row>
    <row r="1643" spans="2:2">
      <c r="B1643" s="251">
        <f ca="1" t="shared" si="104"/>
        <v>42665</v>
      </c>
    </row>
    <row r="1644" spans="2:2">
      <c r="B1644" s="251">
        <f ca="1" t="shared" si="104"/>
        <v>42664</v>
      </c>
    </row>
    <row r="1645" spans="2:2">
      <c r="B1645" s="251">
        <f ca="1" t="shared" si="104"/>
        <v>42663</v>
      </c>
    </row>
    <row r="1646" spans="2:2">
      <c r="B1646" s="251">
        <f ca="1" t="shared" si="104"/>
        <v>42662</v>
      </c>
    </row>
    <row r="1647" spans="2:2">
      <c r="B1647" s="251">
        <f ca="1" t="shared" si="104"/>
        <v>42661</v>
      </c>
    </row>
    <row r="1648" spans="2:2">
      <c r="B1648" s="251">
        <f ca="1" t="shared" si="104"/>
        <v>42660</v>
      </c>
    </row>
    <row r="1649" spans="2:2">
      <c r="B1649" s="251">
        <f ca="1" t="shared" si="104"/>
        <v>42659</v>
      </c>
    </row>
    <row r="1650" spans="2:2">
      <c r="B1650" s="251">
        <f ca="1" t="shared" si="104"/>
        <v>42658</v>
      </c>
    </row>
    <row r="1651" spans="2:2">
      <c r="B1651" s="251">
        <f ca="1" t="shared" si="104"/>
        <v>42657</v>
      </c>
    </row>
    <row r="1652" spans="2:2">
      <c r="B1652" s="251">
        <f ca="1" t="shared" si="104"/>
        <v>42656</v>
      </c>
    </row>
    <row r="1653" spans="2:2">
      <c r="B1653" s="251">
        <f ca="1" t="shared" si="104"/>
        <v>42655</v>
      </c>
    </row>
    <row r="1654" spans="2:2">
      <c r="B1654" s="251">
        <f ca="1" t="shared" si="104"/>
        <v>42654</v>
      </c>
    </row>
    <row r="1655" spans="2:2">
      <c r="B1655" s="251">
        <f ca="1" t="shared" si="104"/>
        <v>42653</v>
      </c>
    </row>
    <row r="1656" spans="2:2">
      <c r="B1656" s="251">
        <f ca="1" t="shared" si="104"/>
        <v>42652</v>
      </c>
    </row>
    <row r="1657" spans="2:2">
      <c r="B1657" s="251">
        <f ca="1" t="shared" ref="B1657:B1672" si="105">B1656-1</f>
        <v>42651</v>
      </c>
    </row>
    <row r="1658" spans="2:2">
      <c r="B1658" s="251">
        <f ca="1" t="shared" si="105"/>
        <v>42650</v>
      </c>
    </row>
    <row r="1659" spans="2:2">
      <c r="B1659" s="251">
        <f ca="1" t="shared" si="105"/>
        <v>42649</v>
      </c>
    </row>
    <row r="1660" spans="2:2">
      <c r="B1660" s="251">
        <f ca="1" t="shared" si="105"/>
        <v>42648</v>
      </c>
    </row>
    <row r="1661" spans="2:2">
      <c r="B1661" s="251">
        <f ca="1" t="shared" si="105"/>
        <v>42647</v>
      </c>
    </row>
    <row r="1662" spans="2:2">
      <c r="B1662" s="251">
        <f ca="1" t="shared" si="105"/>
        <v>42646</v>
      </c>
    </row>
    <row r="1663" spans="2:2">
      <c r="B1663" s="251">
        <f ca="1" t="shared" si="105"/>
        <v>42645</v>
      </c>
    </row>
    <row r="1664" spans="2:2">
      <c r="B1664" s="251">
        <f ca="1" t="shared" si="105"/>
        <v>42644</v>
      </c>
    </row>
    <row r="1665" spans="2:2">
      <c r="B1665" s="251">
        <f ca="1" t="shared" si="105"/>
        <v>42643</v>
      </c>
    </row>
    <row r="1666" spans="2:2">
      <c r="B1666" s="251">
        <f ca="1" t="shared" si="105"/>
        <v>42642</v>
      </c>
    </row>
    <row r="1667" spans="2:2">
      <c r="B1667" s="251">
        <f ca="1" t="shared" si="105"/>
        <v>42641</v>
      </c>
    </row>
    <row r="1668" spans="2:2">
      <c r="B1668" s="251">
        <f ca="1" t="shared" si="105"/>
        <v>42640</v>
      </c>
    </row>
    <row r="1669" spans="2:2">
      <c r="B1669" s="251">
        <f ca="1" t="shared" si="105"/>
        <v>42639</v>
      </c>
    </row>
    <row r="1670" spans="2:2">
      <c r="B1670" s="251">
        <f ca="1" t="shared" si="105"/>
        <v>42638</v>
      </c>
    </row>
    <row r="1671" spans="2:2">
      <c r="B1671" s="251">
        <f ca="1" t="shared" si="105"/>
        <v>42637</v>
      </c>
    </row>
    <row r="1672" spans="2:2">
      <c r="B1672" s="251">
        <f ca="1" t="shared" si="105"/>
        <v>42636</v>
      </c>
    </row>
    <row r="1673" spans="2:2">
      <c r="B1673" s="251">
        <f ca="1" t="shared" ref="B1673:B1688" si="106">B1672-1</f>
        <v>42635</v>
      </c>
    </row>
    <row r="1674" spans="2:2">
      <c r="B1674" s="251">
        <f ca="1" t="shared" si="106"/>
        <v>42634</v>
      </c>
    </row>
    <row r="1675" spans="2:2">
      <c r="B1675" s="251">
        <f ca="1" t="shared" si="106"/>
        <v>42633</v>
      </c>
    </row>
    <row r="1676" spans="2:2">
      <c r="B1676" s="251">
        <f ca="1" t="shared" si="106"/>
        <v>42632</v>
      </c>
    </row>
    <row r="1677" spans="2:2">
      <c r="B1677" s="251">
        <f ca="1" t="shared" si="106"/>
        <v>42631</v>
      </c>
    </row>
    <row r="1678" spans="2:2">
      <c r="B1678" s="251">
        <f ca="1" t="shared" si="106"/>
        <v>42630</v>
      </c>
    </row>
    <row r="1679" spans="2:2">
      <c r="B1679" s="251">
        <f ca="1" t="shared" si="106"/>
        <v>42629</v>
      </c>
    </row>
    <row r="1680" spans="2:2">
      <c r="B1680" s="251">
        <f ca="1" t="shared" si="106"/>
        <v>42628</v>
      </c>
    </row>
    <row r="1681" spans="2:2">
      <c r="B1681" s="251">
        <f ca="1" t="shared" si="106"/>
        <v>42627</v>
      </c>
    </row>
    <row r="1682" spans="2:2">
      <c r="B1682" s="251">
        <f ca="1" t="shared" si="106"/>
        <v>42626</v>
      </c>
    </row>
    <row r="1683" spans="2:2">
      <c r="B1683" s="251">
        <f ca="1" t="shared" si="106"/>
        <v>42625</v>
      </c>
    </row>
    <row r="1684" spans="2:2">
      <c r="B1684" s="251">
        <f ca="1" t="shared" si="106"/>
        <v>42624</v>
      </c>
    </row>
    <row r="1685" spans="2:2">
      <c r="B1685" s="251">
        <f ca="1" t="shared" si="106"/>
        <v>42623</v>
      </c>
    </row>
    <row r="1686" spans="2:2">
      <c r="B1686" s="251">
        <f ca="1" t="shared" si="106"/>
        <v>42622</v>
      </c>
    </row>
    <row r="1687" spans="2:2">
      <c r="B1687" s="251">
        <f ca="1" t="shared" si="106"/>
        <v>42621</v>
      </c>
    </row>
    <row r="1688" spans="2:2">
      <c r="B1688" s="251">
        <f ca="1" t="shared" si="106"/>
        <v>42620</v>
      </c>
    </row>
    <row r="1689" spans="2:2">
      <c r="B1689" s="251">
        <f ca="1" t="shared" ref="B1689:B1704" si="107">B1688-1</f>
        <v>42619</v>
      </c>
    </row>
    <row r="1690" spans="2:2">
      <c r="B1690" s="251">
        <f ca="1" t="shared" si="107"/>
        <v>42618</v>
      </c>
    </row>
    <row r="1691" spans="2:2">
      <c r="B1691" s="251">
        <f ca="1" t="shared" si="107"/>
        <v>42617</v>
      </c>
    </row>
    <row r="1692" spans="2:2">
      <c r="B1692" s="251">
        <f ca="1" t="shared" si="107"/>
        <v>42616</v>
      </c>
    </row>
    <row r="1693" spans="2:2">
      <c r="B1693" s="251">
        <f ca="1" t="shared" si="107"/>
        <v>42615</v>
      </c>
    </row>
    <row r="1694" spans="2:2">
      <c r="B1694" s="251">
        <f ca="1" t="shared" si="107"/>
        <v>42614</v>
      </c>
    </row>
    <row r="1695" spans="2:2">
      <c r="B1695" s="251">
        <f ca="1" t="shared" si="107"/>
        <v>42613</v>
      </c>
    </row>
    <row r="1696" spans="2:2">
      <c r="B1696" s="251">
        <f ca="1" t="shared" si="107"/>
        <v>42612</v>
      </c>
    </row>
    <row r="1697" spans="2:2">
      <c r="B1697" s="251">
        <f ca="1" t="shared" si="107"/>
        <v>42611</v>
      </c>
    </row>
    <row r="1698" spans="2:2">
      <c r="B1698" s="251">
        <f ca="1" t="shared" si="107"/>
        <v>42610</v>
      </c>
    </row>
    <row r="1699" spans="2:2">
      <c r="B1699" s="251">
        <f ca="1" t="shared" si="107"/>
        <v>42609</v>
      </c>
    </row>
    <row r="1700" spans="2:2">
      <c r="B1700" s="251">
        <f ca="1" t="shared" si="107"/>
        <v>42608</v>
      </c>
    </row>
    <row r="1701" spans="2:2">
      <c r="B1701" s="251">
        <f ca="1" t="shared" si="107"/>
        <v>42607</v>
      </c>
    </row>
    <row r="1702" spans="2:2">
      <c r="B1702" s="251">
        <f ca="1" t="shared" si="107"/>
        <v>42606</v>
      </c>
    </row>
    <row r="1703" spans="2:2">
      <c r="B1703" s="251">
        <f ca="1" t="shared" si="107"/>
        <v>42605</v>
      </c>
    </row>
    <row r="1704" spans="2:2">
      <c r="B1704" s="251">
        <f ca="1" t="shared" si="107"/>
        <v>42604</v>
      </c>
    </row>
    <row r="1705" spans="2:2">
      <c r="B1705" s="251">
        <f ca="1" t="shared" ref="B1705:B1720" si="108">B1704-1</f>
        <v>42603</v>
      </c>
    </row>
    <row r="1706" spans="2:2">
      <c r="B1706" s="251">
        <f ca="1" t="shared" si="108"/>
        <v>42602</v>
      </c>
    </row>
    <row r="1707" spans="2:2">
      <c r="B1707" s="251">
        <f ca="1" t="shared" si="108"/>
        <v>42601</v>
      </c>
    </row>
    <row r="1708" spans="2:2">
      <c r="B1708" s="251">
        <f ca="1" t="shared" si="108"/>
        <v>42600</v>
      </c>
    </row>
    <row r="1709" spans="2:2">
      <c r="B1709" s="251">
        <f ca="1" t="shared" si="108"/>
        <v>42599</v>
      </c>
    </row>
    <row r="1710" spans="2:2">
      <c r="B1710" s="251">
        <f ca="1" t="shared" si="108"/>
        <v>42598</v>
      </c>
    </row>
    <row r="1711" spans="2:2">
      <c r="B1711" s="251">
        <f ca="1" t="shared" si="108"/>
        <v>42597</v>
      </c>
    </row>
    <row r="1712" spans="2:2">
      <c r="B1712" s="251">
        <f ca="1" t="shared" si="108"/>
        <v>42596</v>
      </c>
    </row>
    <row r="1713" spans="2:2">
      <c r="B1713" s="251">
        <f ca="1" t="shared" si="108"/>
        <v>42595</v>
      </c>
    </row>
    <row r="1714" spans="2:2">
      <c r="B1714" s="251">
        <f ca="1" t="shared" si="108"/>
        <v>42594</v>
      </c>
    </row>
    <row r="1715" spans="2:2">
      <c r="B1715" s="251">
        <f ca="1" t="shared" si="108"/>
        <v>42593</v>
      </c>
    </row>
    <row r="1716" spans="2:2">
      <c r="B1716" s="251">
        <f ca="1" t="shared" si="108"/>
        <v>42592</v>
      </c>
    </row>
    <row r="1717" spans="2:2">
      <c r="B1717" s="251">
        <f ca="1" t="shared" si="108"/>
        <v>42591</v>
      </c>
    </row>
    <row r="1718" spans="2:2">
      <c r="B1718" s="251">
        <f ca="1" t="shared" si="108"/>
        <v>42590</v>
      </c>
    </row>
    <row r="1719" spans="2:2">
      <c r="B1719" s="251">
        <f ca="1" t="shared" si="108"/>
        <v>42589</v>
      </c>
    </row>
    <row r="1720" spans="2:2">
      <c r="B1720" s="251">
        <f ca="1" t="shared" si="108"/>
        <v>42588</v>
      </c>
    </row>
    <row r="1721" spans="2:2">
      <c r="B1721" s="251">
        <f ca="1" t="shared" ref="B1721:B1736" si="109">B1720-1</f>
        <v>42587</v>
      </c>
    </row>
    <row r="1722" spans="2:2">
      <c r="B1722" s="251">
        <f ca="1" t="shared" si="109"/>
        <v>42586</v>
      </c>
    </row>
    <row r="1723" spans="2:2">
      <c r="B1723" s="251">
        <f ca="1" t="shared" si="109"/>
        <v>42585</v>
      </c>
    </row>
    <row r="1724" spans="2:2">
      <c r="B1724" s="251">
        <f ca="1" t="shared" si="109"/>
        <v>42584</v>
      </c>
    </row>
    <row r="1725" spans="2:2">
      <c r="B1725" s="251">
        <f ca="1" t="shared" si="109"/>
        <v>42583</v>
      </c>
    </row>
    <row r="1726" spans="2:2">
      <c r="B1726" s="251">
        <f ca="1" t="shared" si="109"/>
        <v>42582</v>
      </c>
    </row>
    <row r="1727" spans="2:2">
      <c r="B1727" s="251">
        <f ca="1" t="shared" si="109"/>
        <v>42581</v>
      </c>
    </row>
    <row r="1728" spans="2:2">
      <c r="B1728" s="251">
        <f ca="1" t="shared" si="109"/>
        <v>42580</v>
      </c>
    </row>
    <row r="1729" spans="2:2">
      <c r="B1729" s="251">
        <f ca="1" t="shared" si="109"/>
        <v>42579</v>
      </c>
    </row>
    <row r="1730" spans="2:2">
      <c r="B1730" s="251">
        <f ca="1" t="shared" si="109"/>
        <v>42578</v>
      </c>
    </row>
    <row r="1731" spans="2:2">
      <c r="B1731" s="251">
        <f ca="1" t="shared" si="109"/>
        <v>42577</v>
      </c>
    </row>
    <row r="1732" spans="2:2">
      <c r="B1732" s="251">
        <f ca="1" t="shared" si="109"/>
        <v>42576</v>
      </c>
    </row>
    <row r="1733" spans="2:2">
      <c r="B1733" s="251">
        <f ca="1" t="shared" si="109"/>
        <v>42575</v>
      </c>
    </row>
    <row r="1734" spans="2:2">
      <c r="B1734" s="251">
        <f ca="1" t="shared" si="109"/>
        <v>42574</v>
      </c>
    </row>
    <row r="1735" spans="2:2">
      <c r="B1735" s="251">
        <f ca="1" t="shared" si="109"/>
        <v>42573</v>
      </c>
    </row>
    <row r="1736" spans="2:2">
      <c r="B1736" s="251">
        <f ca="1" t="shared" si="109"/>
        <v>42572</v>
      </c>
    </row>
    <row r="1737" spans="2:2">
      <c r="B1737" s="251">
        <f ca="1" t="shared" ref="B1737:B1752" si="110">B1736-1</f>
        <v>42571</v>
      </c>
    </row>
    <row r="1738" spans="2:2">
      <c r="B1738" s="251">
        <f ca="1" t="shared" si="110"/>
        <v>42570</v>
      </c>
    </row>
    <row r="1739" spans="2:2">
      <c r="B1739" s="251">
        <f ca="1" t="shared" si="110"/>
        <v>42569</v>
      </c>
    </row>
    <row r="1740" spans="2:2">
      <c r="B1740" s="251">
        <f ca="1" t="shared" si="110"/>
        <v>42568</v>
      </c>
    </row>
    <row r="1741" spans="2:2">
      <c r="B1741" s="251">
        <f ca="1" t="shared" si="110"/>
        <v>42567</v>
      </c>
    </row>
    <row r="1742" spans="2:2">
      <c r="B1742" s="251">
        <f ca="1" t="shared" si="110"/>
        <v>42566</v>
      </c>
    </row>
    <row r="1743" spans="2:2">
      <c r="B1743" s="251">
        <f ca="1" t="shared" si="110"/>
        <v>42565</v>
      </c>
    </row>
    <row r="1744" spans="2:2">
      <c r="B1744" s="251">
        <f ca="1" t="shared" si="110"/>
        <v>42564</v>
      </c>
    </row>
    <row r="1745" spans="2:2">
      <c r="B1745" s="251">
        <f ca="1" t="shared" si="110"/>
        <v>42563</v>
      </c>
    </row>
    <row r="1746" spans="2:2">
      <c r="B1746" s="251">
        <f ca="1" t="shared" si="110"/>
        <v>42562</v>
      </c>
    </row>
    <row r="1747" spans="2:2">
      <c r="B1747" s="251">
        <f ca="1" t="shared" si="110"/>
        <v>42561</v>
      </c>
    </row>
    <row r="1748" spans="2:2">
      <c r="B1748" s="251">
        <f ca="1" t="shared" si="110"/>
        <v>42560</v>
      </c>
    </row>
    <row r="1749" spans="2:2">
      <c r="B1749" s="251">
        <f ca="1" t="shared" si="110"/>
        <v>42559</v>
      </c>
    </row>
    <row r="1750" spans="2:2">
      <c r="B1750" s="251">
        <f ca="1" t="shared" si="110"/>
        <v>42558</v>
      </c>
    </row>
    <row r="1751" spans="2:2">
      <c r="B1751" s="251">
        <f ca="1" t="shared" si="110"/>
        <v>42557</v>
      </c>
    </row>
    <row r="1752" spans="2:2">
      <c r="B1752" s="251">
        <f ca="1" t="shared" si="110"/>
        <v>42556</v>
      </c>
    </row>
    <row r="1753" spans="2:2">
      <c r="B1753" s="251">
        <f ca="1" t="shared" ref="B1753:B1768" si="111">B1752-1</f>
        <v>42555</v>
      </c>
    </row>
    <row r="1754" spans="2:2">
      <c r="B1754" s="251">
        <f ca="1" t="shared" si="111"/>
        <v>42554</v>
      </c>
    </row>
    <row r="1755" spans="2:2">
      <c r="B1755" s="251">
        <f ca="1" t="shared" si="111"/>
        <v>42553</v>
      </c>
    </row>
    <row r="1756" spans="2:2">
      <c r="B1756" s="251">
        <f ca="1" t="shared" si="111"/>
        <v>42552</v>
      </c>
    </row>
    <row r="1757" spans="2:2">
      <c r="B1757" s="251">
        <f ca="1" t="shared" si="111"/>
        <v>42551</v>
      </c>
    </row>
    <row r="1758" spans="2:2">
      <c r="B1758" s="251">
        <f ca="1" t="shared" si="111"/>
        <v>42550</v>
      </c>
    </row>
    <row r="1759" spans="2:2">
      <c r="B1759" s="251">
        <f ca="1" t="shared" si="111"/>
        <v>42549</v>
      </c>
    </row>
    <row r="1760" spans="2:2">
      <c r="B1760" s="251">
        <f ca="1" t="shared" si="111"/>
        <v>42548</v>
      </c>
    </row>
    <row r="1761" spans="2:2">
      <c r="B1761" s="251">
        <f ca="1" t="shared" si="111"/>
        <v>42547</v>
      </c>
    </row>
    <row r="1762" spans="2:2">
      <c r="B1762" s="251">
        <f ca="1" t="shared" si="111"/>
        <v>42546</v>
      </c>
    </row>
    <row r="1763" spans="2:2">
      <c r="B1763" s="251">
        <f ca="1" t="shared" si="111"/>
        <v>42545</v>
      </c>
    </row>
    <row r="1764" spans="2:2">
      <c r="B1764" s="251">
        <f ca="1" t="shared" si="111"/>
        <v>42544</v>
      </c>
    </row>
    <row r="1765" spans="2:2">
      <c r="B1765" s="251">
        <f ca="1" t="shared" si="111"/>
        <v>42543</v>
      </c>
    </row>
    <row r="1766" spans="2:2">
      <c r="B1766" s="251">
        <f ca="1" t="shared" si="111"/>
        <v>42542</v>
      </c>
    </row>
    <row r="1767" spans="2:2">
      <c r="B1767" s="251">
        <f ca="1" t="shared" si="111"/>
        <v>42541</v>
      </c>
    </row>
    <row r="1768" spans="2:2">
      <c r="B1768" s="251">
        <f ca="1" t="shared" si="111"/>
        <v>42540</v>
      </c>
    </row>
    <row r="1769" spans="2:2">
      <c r="B1769" s="251">
        <f ca="1" t="shared" ref="B1769:B1784" si="112">B1768-1</f>
        <v>42539</v>
      </c>
    </row>
    <row r="1770" spans="2:2">
      <c r="B1770" s="251">
        <f ca="1" t="shared" si="112"/>
        <v>42538</v>
      </c>
    </row>
    <row r="1771" spans="2:2">
      <c r="B1771" s="251">
        <f ca="1" t="shared" si="112"/>
        <v>42537</v>
      </c>
    </row>
    <row r="1772" spans="2:2">
      <c r="B1772" s="251">
        <f ca="1" t="shared" si="112"/>
        <v>42536</v>
      </c>
    </row>
    <row r="1773" spans="2:2">
      <c r="B1773" s="251">
        <f ca="1" t="shared" si="112"/>
        <v>42535</v>
      </c>
    </row>
    <row r="1774" spans="2:2">
      <c r="B1774" s="251">
        <f ca="1" t="shared" si="112"/>
        <v>42534</v>
      </c>
    </row>
    <row r="1775" spans="2:2">
      <c r="B1775" s="251">
        <f ca="1" t="shared" si="112"/>
        <v>42533</v>
      </c>
    </row>
    <row r="1776" spans="2:2">
      <c r="B1776" s="251">
        <f ca="1" t="shared" si="112"/>
        <v>42532</v>
      </c>
    </row>
    <row r="1777" spans="2:2">
      <c r="B1777" s="251">
        <f ca="1" t="shared" si="112"/>
        <v>42531</v>
      </c>
    </row>
    <row r="1778" spans="2:2">
      <c r="B1778" s="251">
        <f ca="1" t="shared" si="112"/>
        <v>42530</v>
      </c>
    </row>
    <row r="1779" spans="2:2">
      <c r="B1779" s="251">
        <f ca="1" t="shared" si="112"/>
        <v>42529</v>
      </c>
    </row>
    <row r="1780" spans="2:2">
      <c r="B1780" s="251">
        <f ca="1" t="shared" si="112"/>
        <v>42528</v>
      </c>
    </row>
    <row r="1781" spans="2:2">
      <c r="B1781" s="251">
        <f ca="1" t="shared" si="112"/>
        <v>42527</v>
      </c>
    </row>
    <row r="1782" spans="2:2">
      <c r="B1782" s="251">
        <f ca="1" t="shared" si="112"/>
        <v>42526</v>
      </c>
    </row>
    <row r="1783" spans="2:2">
      <c r="B1783" s="251">
        <f ca="1" t="shared" si="112"/>
        <v>42525</v>
      </c>
    </row>
    <row r="1784" spans="2:2">
      <c r="B1784" s="251">
        <f ca="1" t="shared" si="112"/>
        <v>42524</v>
      </c>
    </row>
    <row r="1785" spans="2:2">
      <c r="B1785" s="251">
        <f ca="1" t="shared" ref="B1785:B1800" si="113">B1784-1</f>
        <v>42523</v>
      </c>
    </row>
    <row r="1786" spans="2:2">
      <c r="B1786" s="251">
        <f ca="1" t="shared" si="113"/>
        <v>42522</v>
      </c>
    </row>
    <row r="1787" spans="2:2">
      <c r="B1787" s="251">
        <f ca="1" t="shared" si="113"/>
        <v>42521</v>
      </c>
    </row>
    <row r="1788" spans="2:2">
      <c r="B1788" s="251">
        <f ca="1" t="shared" si="113"/>
        <v>42520</v>
      </c>
    </row>
    <row r="1789" spans="2:2">
      <c r="B1789" s="251">
        <f ca="1" t="shared" si="113"/>
        <v>42519</v>
      </c>
    </row>
    <row r="1790" spans="2:2">
      <c r="B1790" s="251">
        <f ca="1" t="shared" si="113"/>
        <v>42518</v>
      </c>
    </row>
    <row r="1791" spans="2:2">
      <c r="B1791" s="251">
        <f ca="1" t="shared" si="113"/>
        <v>42517</v>
      </c>
    </row>
    <row r="1792" spans="2:2">
      <c r="B1792" s="251">
        <f ca="1" t="shared" si="113"/>
        <v>42516</v>
      </c>
    </row>
    <row r="1793" spans="2:2">
      <c r="B1793" s="251">
        <f ca="1" t="shared" si="113"/>
        <v>42515</v>
      </c>
    </row>
    <row r="1794" spans="2:2">
      <c r="B1794" s="251">
        <f ca="1" t="shared" si="113"/>
        <v>42514</v>
      </c>
    </row>
    <row r="1795" spans="2:2">
      <c r="B1795" s="251">
        <f ca="1" t="shared" si="113"/>
        <v>42513</v>
      </c>
    </row>
    <row r="1796" spans="2:2">
      <c r="B1796" s="251">
        <f ca="1" t="shared" si="113"/>
        <v>42512</v>
      </c>
    </row>
    <row r="1797" spans="2:2">
      <c r="B1797" s="251">
        <f ca="1" t="shared" si="113"/>
        <v>42511</v>
      </c>
    </row>
    <row r="1798" spans="2:2">
      <c r="B1798" s="251">
        <f ca="1" t="shared" si="113"/>
        <v>42510</v>
      </c>
    </row>
    <row r="1799" spans="2:2">
      <c r="B1799" s="251">
        <f ca="1" t="shared" si="113"/>
        <v>42509</v>
      </c>
    </row>
    <row r="1800" spans="2:2">
      <c r="B1800" s="251">
        <f ca="1" t="shared" si="113"/>
        <v>42508</v>
      </c>
    </row>
    <row r="1801" spans="2:2">
      <c r="B1801" s="251">
        <f ca="1" t="shared" ref="B1801:B1816" si="114">B1800-1</f>
        <v>42507</v>
      </c>
    </row>
    <row r="1802" spans="2:2">
      <c r="B1802" s="251">
        <f ca="1" t="shared" si="114"/>
        <v>42506</v>
      </c>
    </row>
    <row r="1803" spans="2:2">
      <c r="B1803" s="251">
        <f ca="1" t="shared" si="114"/>
        <v>42505</v>
      </c>
    </row>
    <row r="1804" spans="2:2">
      <c r="B1804" s="251">
        <f ca="1" t="shared" si="114"/>
        <v>42504</v>
      </c>
    </row>
    <row r="1805" spans="2:2">
      <c r="B1805" s="251">
        <f ca="1" t="shared" si="114"/>
        <v>42503</v>
      </c>
    </row>
    <row r="1806" spans="2:2">
      <c r="B1806" s="251">
        <f ca="1" t="shared" si="114"/>
        <v>42502</v>
      </c>
    </row>
    <row r="1807" spans="2:2">
      <c r="B1807" s="251">
        <f ca="1" t="shared" si="114"/>
        <v>42501</v>
      </c>
    </row>
    <row r="1808" spans="2:2">
      <c r="B1808" s="251">
        <f ca="1" t="shared" si="114"/>
        <v>42500</v>
      </c>
    </row>
    <row r="1809" spans="2:2">
      <c r="B1809" s="251">
        <f ca="1" t="shared" si="114"/>
        <v>42499</v>
      </c>
    </row>
    <row r="1810" spans="2:2">
      <c r="B1810" s="251">
        <f ca="1" t="shared" si="114"/>
        <v>42498</v>
      </c>
    </row>
    <row r="1811" spans="2:2">
      <c r="B1811" s="251">
        <f ca="1" t="shared" si="114"/>
        <v>42497</v>
      </c>
    </row>
    <row r="1812" spans="2:2">
      <c r="B1812" s="251">
        <f ca="1" t="shared" si="114"/>
        <v>42496</v>
      </c>
    </row>
    <row r="1813" spans="2:2">
      <c r="B1813" s="251">
        <f ca="1" t="shared" si="114"/>
        <v>42495</v>
      </c>
    </row>
    <row r="1814" spans="2:2">
      <c r="B1814" s="251">
        <f ca="1" t="shared" si="114"/>
        <v>42494</v>
      </c>
    </row>
    <row r="1815" spans="2:2">
      <c r="B1815" s="251">
        <f ca="1" t="shared" si="114"/>
        <v>42493</v>
      </c>
    </row>
    <row r="1816" spans="2:2">
      <c r="B1816" s="251">
        <f ca="1" t="shared" si="114"/>
        <v>42492</v>
      </c>
    </row>
    <row r="1817" spans="2:2">
      <c r="B1817" s="251">
        <f ca="1" t="shared" ref="B1817:B1832" si="115">B1816-1</f>
        <v>42491</v>
      </c>
    </row>
    <row r="1818" spans="2:2">
      <c r="B1818" s="251">
        <f ca="1" t="shared" si="115"/>
        <v>42490</v>
      </c>
    </row>
    <row r="1819" spans="2:2">
      <c r="B1819" s="251">
        <f ca="1" t="shared" si="115"/>
        <v>42489</v>
      </c>
    </row>
    <row r="1820" spans="2:2">
      <c r="B1820" s="251">
        <f ca="1" t="shared" si="115"/>
        <v>42488</v>
      </c>
    </row>
    <row r="1821" spans="2:2">
      <c r="B1821" s="251">
        <f ca="1" t="shared" si="115"/>
        <v>42487</v>
      </c>
    </row>
    <row r="1822" spans="2:2">
      <c r="B1822" s="251">
        <f ca="1" t="shared" si="115"/>
        <v>42486</v>
      </c>
    </row>
    <row r="1823" spans="2:2">
      <c r="B1823" s="251">
        <f ca="1" t="shared" si="115"/>
        <v>42485</v>
      </c>
    </row>
    <row r="1824" spans="2:2">
      <c r="B1824" s="251">
        <f ca="1" t="shared" si="115"/>
        <v>42484</v>
      </c>
    </row>
    <row r="1825" spans="2:2">
      <c r="B1825" s="251">
        <f ca="1" t="shared" si="115"/>
        <v>42483</v>
      </c>
    </row>
    <row r="1826" spans="2:2">
      <c r="B1826" s="251">
        <f ca="1" t="shared" si="115"/>
        <v>42482</v>
      </c>
    </row>
    <row r="1827" spans="2:2">
      <c r="B1827" s="251">
        <f ca="1" t="shared" si="115"/>
        <v>42481</v>
      </c>
    </row>
    <row r="1828" spans="2:2">
      <c r="B1828" s="251">
        <f ca="1" t="shared" si="115"/>
        <v>42480</v>
      </c>
    </row>
    <row r="1829" spans="2:2">
      <c r="B1829" s="251">
        <f ca="1" t="shared" si="115"/>
        <v>42479</v>
      </c>
    </row>
    <row r="1830" spans="2:2">
      <c r="B1830" s="251">
        <f ca="1" t="shared" si="115"/>
        <v>42478</v>
      </c>
    </row>
    <row r="1831" spans="2:2">
      <c r="B1831" s="251">
        <f ca="1" t="shared" si="115"/>
        <v>42477</v>
      </c>
    </row>
    <row r="1832" spans="2:2">
      <c r="B1832" s="251">
        <f ca="1" t="shared" si="115"/>
        <v>42476</v>
      </c>
    </row>
    <row r="1833" spans="2:2">
      <c r="B1833" s="251">
        <f ca="1" t="shared" ref="B1833:B1848" si="116">B1832-1</f>
        <v>42475</v>
      </c>
    </row>
    <row r="1834" spans="2:2">
      <c r="B1834" s="251">
        <f ca="1" t="shared" si="116"/>
        <v>42474</v>
      </c>
    </row>
    <row r="1835" spans="2:2">
      <c r="B1835" s="251">
        <f ca="1" t="shared" si="116"/>
        <v>42473</v>
      </c>
    </row>
    <row r="1836" spans="2:2">
      <c r="B1836" s="251">
        <f ca="1" t="shared" si="116"/>
        <v>42472</v>
      </c>
    </row>
    <row r="1837" spans="2:2">
      <c r="B1837" s="251">
        <f ca="1" t="shared" si="116"/>
        <v>42471</v>
      </c>
    </row>
    <row r="1838" spans="2:2">
      <c r="B1838" s="251">
        <f ca="1" t="shared" si="116"/>
        <v>42470</v>
      </c>
    </row>
    <row r="1839" spans="2:2">
      <c r="B1839" s="251">
        <f ca="1" t="shared" si="116"/>
        <v>42469</v>
      </c>
    </row>
    <row r="1840" spans="2:2">
      <c r="B1840" s="251">
        <f ca="1" t="shared" si="116"/>
        <v>42468</v>
      </c>
    </row>
    <row r="1841" spans="2:2">
      <c r="B1841" s="251">
        <f ca="1" t="shared" si="116"/>
        <v>42467</v>
      </c>
    </row>
    <row r="1842" spans="2:2">
      <c r="B1842" s="251">
        <f ca="1" t="shared" si="116"/>
        <v>42466</v>
      </c>
    </row>
    <row r="1843" spans="2:2">
      <c r="B1843" s="251">
        <f ca="1" t="shared" si="116"/>
        <v>42465</v>
      </c>
    </row>
    <row r="1844" spans="2:2">
      <c r="B1844" s="251">
        <f ca="1" t="shared" si="116"/>
        <v>42464</v>
      </c>
    </row>
    <row r="1845" spans="2:2">
      <c r="B1845" s="251">
        <f ca="1" t="shared" si="116"/>
        <v>42463</v>
      </c>
    </row>
    <row r="1846" spans="2:2">
      <c r="B1846" s="251">
        <f ca="1" t="shared" si="116"/>
        <v>42462</v>
      </c>
    </row>
    <row r="1847" spans="2:2">
      <c r="B1847" s="251">
        <f ca="1" t="shared" si="116"/>
        <v>42461</v>
      </c>
    </row>
    <row r="1848" spans="2:2">
      <c r="B1848" s="251">
        <f ca="1" t="shared" si="116"/>
        <v>42460</v>
      </c>
    </row>
    <row r="1849" spans="2:2">
      <c r="B1849" s="251">
        <f ca="1" t="shared" ref="B1849:B1864" si="117">B1848-1</f>
        <v>42459</v>
      </c>
    </row>
    <row r="1850" spans="2:2">
      <c r="B1850" s="251">
        <f ca="1" t="shared" si="117"/>
        <v>42458</v>
      </c>
    </row>
    <row r="1851" spans="2:2">
      <c r="B1851" s="251">
        <f ca="1" t="shared" si="117"/>
        <v>42457</v>
      </c>
    </row>
    <row r="1852" spans="2:2">
      <c r="B1852" s="251">
        <f ca="1" t="shared" si="117"/>
        <v>42456</v>
      </c>
    </row>
    <row r="1853" spans="2:2">
      <c r="B1853" s="251">
        <f ca="1" t="shared" si="117"/>
        <v>42455</v>
      </c>
    </row>
    <row r="1854" spans="2:2">
      <c r="B1854" s="251">
        <f ca="1" t="shared" si="117"/>
        <v>42454</v>
      </c>
    </row>
    <row r="1855" spans="2:2">
      <c r="B1855" s="251">
        <f ca="1" t="shared" si="117"/>
        <v>42453</v>
      </c>
    </row>
    <row r="1856" spans="2:2">
      <c r="B1856" s="251">
        <f ca="1" t="shared" si="117"/>
        <v>42452</v>
      </c>
    </row>
    <row r="1857" spans="2:2">
      <c r="B1857" s="251">
        <f ca="1" t="shared" si="117"/>
        <v>42451</v>
      </c>
    </row>
    <row r="1858" spans="2:2">
      <c r="B1858" s="251">
        <f ca="1" t="shared" si="117"/>
        <v>42450</v>
      </c>
    </row>
    <row r="1859" spans="2:2">
      <c r="B1859" s="251">
        <f ca="1" t="shared" si="117"/>
        <v>42449</v>
      </c>
    </row>
    <row r="1860" spans="2:2">
      <c r="B1860" s="251">
        <f ca="1" t="shared" si="117"/>
        <v>42448</v>
      </c>
    </row>
    <row r="1861" spans="2:2">
      <c r="B1861" s="251">
        <f ca="1" t="shared" si="117"/>
        <v>42447</v>
      </c>
    </row>
    <row r="1862" spans="2:2">
      <c r="B1862" s="251">
        <f ca="1" t="shared" si="117"/>
        <v>42446</v>
      </c>
    </row>
    <row r="1863" spans="2:2">
      <c r="B1863" s="251">
        <f ca="1" t="shared" si="117"/>
        <v>42445</v>
      </c>
    </row>
    <row r="1864" spans="2:2">
      <c r="B1864" s="251">
        <f ca="1" t="shared" si="117"/>
        <v>42444</v>
      </c>
    </row>
    <row r="1865" spans="2:2">
      <c r="B1865" s="251">
        <f ca="1" t="shared" ref="B1865:B1880" si="118">B1864-1</f>
        <v>42443</v>
      </c>
    </row>
    <row r="1866" spans="2:2">
      <c r="B1866" s="251">
        <f ca="1" t="shared" si="118"/>
        <v>42442</v>
      </c>
    </row>
    <row r="1867" spans="2:2">
      <c r="B1867" s="251">
        <f ca="1" t="shared" si="118"/>
        <v>42441</v>
      </c>
    </row>
    <row r="1868" spans="2:2">
      <c r="B1868" s="251">
        <f ca="1" t="shared" si="118"/>
        <v>42440</v>
      </c>
    </row>
    <row r="1869" spans="2:2">
      <c r="B1869" s="251">
        <f ca="1" t="shared" si="118"/>
        <v>42439</v>
      </c>
    </row>
    <row r="1870" spans="2:2">
      <c r="B1870" s="251">
        <f ca="1" t="shared" si="118"/>
        <v>42438</v>
      </c>
    </row>
    <row r="1871" spans="2:2">
      <c r="B1871" s="251">
        <f ca="1" t="shared" si="118"/>
        <v>42437</v>
      </c>
    </row>
    <row r="1872" spans="2:2">
      <c r="B1872" s="251">
        <f ca="1" t="shared" si="118"/>
        <v>42436</v>
      </c>
    </row>
    <row r="1873" spans="2:2">
      <c r="B1873" s="251">
        <f ca="1" t="shared" si="118"/>
        <v>42435</v>
      </c>
    </row>
    <row r="1874" spans="2:2">
      <c r="B1874" s="251">
        <f ca="1" t="shared" si="118"/>
        <v>42434</v>
      </c>
    </row>
    <row r="1875" spans="2:2">
      <c r="B1875" s="251">
        <f ca="1" t="shared" si="118"/>
        <v>42433</v>
      </c>
    </row>
    <row r="1876" spans="2:2">
      <c r="B1876" s="251">
        <f ca="1" t="shared" si="118"/>
        <v>42432</v>
      </c>
    </row>
    <row r="1877" spans="2:2">
      <c r="B1877" s="251">
        <f ca="1" t="shared" si="118"/>
        <v>42431</v>
      </c>
    </row>
    <row r="1878" spans="2:2">
      <c r="B1878" s="251">
        <f ca="1" t="shared" si="118"/>
        <v>42430</v>
      </c>
    </row>
    <row r="1879" spans="2:2">
      <c r="B1879" s="251">
        <f ca="1" t="shared" si="118"/>
        <v>42429</v>
      </c>
    </row>
    <row r="1880" spans="2:2">
      <c r="B1880" s="251">
        <f ca="1" t="shared" si="118"/>
        <v>42428</v>
      </c>
    </row>
    <row r="1881" spans="2:2">
      <c r="B1881" s="251">
        <f ca="1" t="shared" ref="B1881:B1896" si="119">B1880-1</f>
        <v>42427</v>
      </c>
    </row>
    <row r="1882" spans="2:2">
      <c r="B1882" s="251">
        <f ca="1" t="shared" si="119"/>
        <v>42426</v>
      </c>
    </row>
    <row r="1883" spans="2:2">
      <c r="B1883" s="251">
        <f ca="1" t="shared" si="119"/>
        <v>42425</v>
      </c>
    </row>
    <row r="1884" spans="2:2">
      <c r="B1884" s="251">
        <f ca="1" t="shared" si="119"/>
        <v>42424</v>
      </c>
    </row>
    <row r="1885" spans="2:2">
      <c r="B1885" s="251">
        <f ca="1" t="shared" si="119"/>
        <v>42423</v>
      </c>
    </row>
    <row r="1886" spans="2:2">
      <c r="B1886" s="251">
        <f ca="1" t="shared" si="119"/>
        <v>42422</v>
      </c>
    </row>
    <row r="1887" spans="2:2">
      <c r="B1887" s="251">
        <f ca="1" t="shared" si="119"/>
        <v>42421</v>
      </c>
    </row>
    <row r="1888" spans="2:2">
      <c r="B1888" s="251">
        <f ca="1" t="shared" si="119"/>
        <v>42420</v>
      </c>
    </row>
    <row r="1889" spans="2:2">
      <c r="B1889" s="251">
        <f ca="1" t="shared" si="119"/>
        <v>42419</v>
      </c>
    </row>
    <row r="1890" spans="2:2">
      <c r="B1890" s="251">
        <f ca="1" t="shared" si="119"/>
        <v>42418</v>
      </c>
    </row>
    <row r="1891" spans="2:2">
      <c r="B1891" s="251">
        <f ca="1" t="shared" si="119"/>
        <v>42417</v>
      </c>
    </row>
    <row r="1892" spans="2:2">
      <c r="B1892" s="251">
        <f ca="1" t="shared" si="119"/>
        <v>42416</v>
      </c>
    </row>
    <row r="1893" spans="2:2">
      <c r="B1893" s="251">
        <f ca="1" t="shared" si="119"/>
        <v>42415</v>
      </c>
    </row>
    <row r="1894" spans="2:2">
      <c r="B1894" s="251">
        <f ca="1" t="shared" si="119"/>
        <v>42414</v>
      </c>
    </row>
    <row r="1895" spans="2:2">
      <c r="B1895" s="251">
        <f ca="1" t="shared" si="119"/>
        <v>42413</v>
      </c>
    </row>
    <row r="1896" spans="2:2">
      <c r="B1896" s="251">
        <f ca="1" t="shared" si="119"/>
        <v>42412</v>
      </c>
    </row>
    <row r="1897" spans="2:2">
      <c r="B1897" s="251">
        <f ca="1" t="shared" ref="B1897:B1912" si="120">B1896-1</f>
        <v>42411</v>
      </c>
    </row>
    <row r="1898" spans="2:2">
      <c r="B1898" s="251">
        <f ca="1" t="shared" si="120"/>
        <v>42410</v>
      </c>
    </row>
    <row r="1899" spans="2:2">
      <c r="B1899" s="251">
        <f ca="1" t="shared" si="120"/>
        <v>42409</v>
      </c>
    </row>
    <row r="1900" spans="2:2">
      <c r="B1900" s="251">
        <f ca="1" t="shared" si="120"/>
        <v>42408</v>
      </c>
    </row>
    <row r="1901" spans="2:2">
      <c r="B1901" s="251">
        <f ca="1" t="shared" si="120"/>
        <v>42407</v>
      </c>
    </row>
    <row r="1902" spans="2:2">
      <c r="B1902" s="251">
        <f ca="1" t="shared" si="120"/>
        <v>42406</v>
      </c>
    </row>
    <row r="1903" spans="2:2">
      <c r="B1903" s="251">
        <f ca="1" t="shared" si="120"/>
        <v>42405</v>
      </c>
    </row>
    <row r="1904" spans="2:2">
      <c r="B1904" s="251">
        <f ca="1" t="shared" si="120"/>
        <v>42404</v>
      </c>
    </row>
    <row r="1905" spans="2:2">
      <c r="B1905" s="251">
        <f ca="1" t="shared" si="120"/>
        <v>42403</v>
      </c>
    </row>
    <row r="1906" spans="2:2">
      <c r="B1906" s="251">
        <f ca="1" t="shared" si="120"/>
        <v>42402</v>
      </c>
    </row>
    <row r="1907" spans="2:2">
      <c r="B1907" s="251">
        <f ca="1" t="shared" si="120"/>
        <v>42401</v>
      </c>
    </row>
    <row r="1908" spans="2:2">
      <c r="B1908" s="251">
        <f ca="1" t="shared" si="120"/>
        <v>42400</v>
      </c>
    </row>
    <row r="1909" spans="2:2">
      <c r="B1909" s="251">
        <f ca="1" t="shared" si="120"/>
        <v>42399</v>
      </c>
    </row>
    <row r="1910" spans="2:2">
      <c r="B1910" s="251">
        <f ca="1" t="shared" si="120"/>
        <v>42398</v>
      </c>
    </row>
    <row r="1911" spans="2:2">
      <c r="B1911" s="251">
        <f ca="1" t="shared" si="120"/>
        <v>42397</v>
      </c>
    </row>
    <row r="1912" spans="2:2">
      <c r="B1912" s="251">
        <f ca="1" t="shared" si="120"/>
        <v>42396</v>
      </c>
    </row>
    <row r="1913" spans="2:2">
      <c r="B1913" s="251">
        <f ca="1" t="shared" ref="B1913:B1928" si="121">B1912-1</f>
        <v>42395</v>
      </c>
    </row>
    <row r="1914" spans="2:2">
      <c r="B1914" s="251">
        <f ca="1" t="shared" si="121"/>
        <v>42394</v>
      </c>
    </row>
    <row r="1915" spans="2:2">
      <c r="B1915" s="251">
        <f ca="1" t="shared" si="121"/>
        <v>42393</v>
      </c>
    </row>
    <row r="1916" spans="2:2">
      <c r="B1916" s="251">
        <f ca="1" t="shared" si="121"/>
        <v>42392</v>
      </c>
    </row>
    <row r="1917" spans="2:2">
      <c r="B1917" s="251">
        <f ca="1" t="shared" si="121"/>
        <v>42391</v>
      </c>
    </row>
    <row r="1918" spans="2:2">
      <c r="B1918" s="251">
        <f ca="1" t="shared" si="121"/>
        <v>42390</v>
      </c>
    </row>
    <row r="1919" spans="2:2">
      <c r="B1919" s="251">
        <f ca="1" t="shared" si="121"/>
        <v>42389</v>
      </c>
    </row>
    <row r="1920" spans="2:2">
      <c r="B1920" s="251">
        <f ca="1" t="shared" si="121"/>
        <v>42388</v>
      </c>
    </row>
    <row r="1921" spans="2:2">
      <c r="B1921" s="251">
        <f ca="1" t="shared" si="121"/>
        <v>42387</v>
      </c>
    </row>
    <row r="1922" spans="2:2">
      <c r="B1922" s="251">
        <f ca="1" t="shared" si="121"/>
        <v>42386</v>
      </c>
    </row>
    <row r="1923" spans="2:2">
      <c r="B1923" s="251">
        <f ca="1" t="shared" si="121"/>
        <v>42385</v>
      </c>
    </row>
    <row r="1924" spans="2:2">
      <c r="B1924" s="251">
        <f ca="1" t="shared" si="121"/>
        <v>42384</v>
      </c>
    </row>
    <row r="1925" spans="2:2">
      <c r="B1925" s="251">
        <f ca="1" t="shared" si="121"/>
        <v>42383</v>
      </c>
    </row>
    <row r="1926" spans="2:2">
      <c r="B1926" s="251">
        <f ca="1" t="shared" si="121"/>
        <v>42382</v>
      </c>
    </row>
    <row r="1927" spans="2:2">
      <c r="B1927" s="251">
        <f ca="1" t="shared" si="121"/>
        <v>42381</v>
      </c>
    </row>
    <row r="1928" spans="2:2">
      <c r="B1928" s="251">
        <f ca="1" t="shared" si="121"/>
        <v>42380</v>
      </c>
    </row>
    <row r="1929" spans="2:2">
      <c r="B1929" s="251">
        <f ca="1" t="shared" ref="B1929:B1944" si="122">B1928-1</f>
        <v>42379</v>
      </c>
    </row>
    <row r="1930" spans="2:2">
      <c r="B1930" s="251">
        <f ca="1" t="shared" si="122"/>
        <v>42378</v>
      </c>
    </row>
    <row r="1931" spans="2:2">
      <c r="B1931" s="251">
        <f ca="1" t="shared" si="122"/>
        <v>42377</v>
      </c>
    </row>
    <row r="1932" spans="2:2">
      <c r="B1932" s="251">
        <f ca="1" t="shared" si="122"/>
        <v>42376</v>
      </c>
    </row>
    <row r="1933" spans="2:2">
      <c r="B1933" s="251">
        <f ca="1" t="shared" si="122"/>
        <v>42375</v>
      </c>
    </row>
    <row r="1934" spans="2:2">
      <c r="B1934" s="251">
        <f ca="1" t="shared" si="122"/>
        <v>42374</v>
      </c>
    </row>
    <row r="1935" spans="2:2">
      <c r="B1935" s="251">
        <f ca="1" t="shared" si="122"/>
        <v>42373</v>
      </c>
    </row>
    <row r="1936" spans="2:2">
      <c r="B1936" s="251">
        <f ca="1" t="shared" si="122"/>
        <v>42372</v>
      </c>
    </row>
    <row r="1937" spans="2:2">
      <c r="B1937" s="251">
        <f ca="1" t="shared" si="122"/>
        <v>42371</v>
      </c>
    </row>
    <row r="1938" spans="2:2">
      <c r="B1938" s="251">
        <f ca="1" t="shared" si="122"/>
        <v>42370</v>
      </c>
    </row>
    <row r="1939" spans="2:2">
      <c r="B1939" s="251">
        <f ca="1" t="shared" si="122"/>
        <v>42369</v>
      </c>
    </row>
    <row r="1940" spans="2:2">
      <c r="B1940" s="251">
        <f ca="1" t="shared" si="122"/>
        <v>42368</v>
      </c>
    </row>
    <row r="1941" spans="2:2">
      <c r="B1941" s="251">
        <f ca="1" t="shared" si="122"/>
        <v>42367</v>
      </c>
    </row>
    <row r="1942" spans="2:2">
      <c r="B1942" s="251">
        <f ca="1" t="shared" si="122"/>
        <v>42366</v>
      </c>
    </row>
    <row r="1943" spans="2:2">
      <c r="B1943" s="251">
        <f ca="1" t="shared" si="122"/>
        <v>42365</v>
      </c>
    </row>
    <row r="1944" spans="2:2">
      <c r="B1944" s="251">
        <f ca="1" t="shared" si="122"/>
        <v>42364</v>
      </c>
    </row>
    <row r="1945" spans="2:2">
      <c r="B1945" s="251">
        <f ca="1" t="shared" ref="B1945:B1960" si="123">B1944-1</f>
        <v>42363</v>
      </c>
    </row>
    <row r="1946" spans="2:2">
      <c r="B1946" s="251">
        <f ca="1" t="shared" si="123"/>
        <v>42362</v>
      </c>
    </row>
    <row r="1947" spans="2:2">
      <c r="B1947" s="251">
        <f ca="1" t="shared" si="123"/>
        <v>42361</v>
      </c>
    </row>
    <row r="1948" spans="2:2">
      <c r="B1948" s="251">
        <f ca="1" t="shared" si="123"/>
        <v>42360</v>
      </c>
    </row>
    <row r="1949" spans="2:2">
      <c r="B1949" s="251">
        <f ca="1" t="shared" si="123"/>
        <v>42359</v>
      </c>
    </row>
    <row r="1950" spans="2:2">
      <c r="B1950" s="251">
        <f ca="1" t="shared" si="123"/>
        <v>42358</v>
      </c>
    </row>
    <row r="1951" spans="2:2">
      <c r="B1951" s="251">
        <f ca="1" t="shared" si="123"/>
        <v>42357</v>
      </c>
    </row>
    <row r="1952" spans="2:2">
      <c r="B1952" s="251">
        <f ca="1" t="shared" si="123"/>
        <v>42356</v>
      </c>
    </row>
    <row r="1953" spans="2:2">
      <c r="B1953" s="251">
        <f ca="1" t="shared" si="123"/>
        <v>42355</v>
      </c>
    </row>
    <row r="1954" spans="2:2">
      <c r="B1954" s="251">
        <f ca="1" t="shared" si="123"/>
        <v>42354</v>
      </c>
    </row>
    <row r="1955" spans="2:2">
      <c r="B1955" s="251">
        <f ca="1" t="shared" si="123"/>
        <v>42353</v>
      </c>
    </row>
    <row r="1956" spans="2:2">
      <c r="B1956" s="251">
        <f ca="1" t="shared" si="123"/>
        <v>42352</v>
      </c>
    </row>
    <row r="1957" spans="2:2">
      <c r="B1957" s="251">
        <f ca="1" t="shared" si="123"/>
        <v>42351</v>
      </c>
    </row>
    <row r="1958" spans="2:2">
      <c r="B1958" s="251">
        <f ca="1" t="shared" si="123"/>
        <v>42350</v>
      </c>
    </row>
    <row r="1959" spans="2:2">
      <c r="B1959" s="251">
        <f ca="1" t="shared" si="123"/>
        <v>42349</v>
      </c>
    </row>
    <row r="1960" spans="2:2">
      <c r="B1960" s="251">
        <f ca="1" t="shared" si="123"/>
        <v>42348</v>
      </c>
    </row>
    <row r="1961" spans="2:2">
      <c r="B1961" s="251">
        <f ca="1" t="shared" ref="B1961:B1976" si="124">B1960-1</f>
        <v>42347</v>
      </c>
    </row>
    <row r="1962" spans="2:2">
      <c r="B1962" s="251">
        <f ca="1" t="shared" si="124"/>
        <v>42346</v>
      </c>
    </row>
    <row r="1963" spans="2:2">
      <c r="B1963" s="251">
        <f ca="1" t="shared" si="124"/>
        <v>42345</v>
      </c>
    </row>
    <row r="1964" spans="2:2">
      <c r="B1964" s="251">
        <f ca="1" t="shared" si="124"/>
        <v>42344</v>
      </c>
    </row>
    <row r="1965" spans="2:2">
      <c r="B1965" s="251">
        <f ca="1" t="shared" si="124"/>
        <v>42343</v>
      </c>
    </row>
    <row r="1966" spans="2:2">
      <c r="B1966" s="251">
        <f ca="1" t="shared" si="124"/>
        <v>42342</v>
      </c>
    </row>
    <row r="1967" spans="2:2">
      <c r="B1967" s="251">
        <f ca="1" t="shared" si="124"/>
        <v>42341</v>
      </c>
    </row>
    <row r="1968" spans="2:2">
      <c r="B1968" s="251">
        <f ca="1" t="shared" si="124"/>
        <v>42340</v>
      </c>
    </row>
    <row r="1969" spans="2:2">
      <c r="B1969" s="251">
        <f ca="1" t="shared" si="124"/>
        <v>42339</v>
      </c>
    </row>
    <row r="1970" spans="2:2">
      <c r="B1970" s="251">
        <f ca="1" t="shared" si="124"/>
        <v>42338</v>
      </c>
    </row>
    <row r="1971" spans="2:2">
      <c r="B1971" s="251">
        <f ca="1" t="shared" si="124"/>
        <v>42337</v>
      </c>
    </row>
    <row r="1972" spans="2:2">
      <c r="B1972" s="251">
        <f ca="1" t="shared" si="124"/>
        <v>42336</v>
      </c>
    </row>
    <row r="1973" spans="2:2">
      <c r="B1973" s="251">
        <f ca="1" t="shared" si="124"/>
        <v>42335</v>
      </c>
    </row>
    <row r="1974" spans="2:2">
      <c r="B1974" s="251">
        <f ca="1" t="shared" si="124"/>
        <v>42334</v>
      </c>
    </row>
    <row r="1975" spans="2:2">
      <c r="B1975" s="251">
        <f ca="1" t="shared" si="124"/>
        <v>42333</v>
      </c>
    </row>
    <row r="1976" spans="2:2">
      <c r="B1976" s="251">
        <f ca="1" t="shared" si="124"/>
        <v>42332</v>
      </c>
    </row>
    <row r="1977" spans="2:2">
      <c r="B1977" s="251">
        <f ca="1" t="shared" ref="B1977:B1992" si="125">B1976-1</f>
        <v>42331</v>
      </c>
    </row>
    <row r="1978" spans="2:2">
      <c r="B1978" s="251">
        <f ca="1" t="shared" si="125"/>
        <v>42330</v>
      </c>
    </row>
    <row r="1979" spans="2:2">
      <c r="B1979" s="251">
        <f ca="1" t="shared" si="125"/>
        <v>42329</v>
      </c>
    </row>
    <row r="1980" spans="2:2">
      <c r="B1980" s="251">
        <f ca="1" t="shared" si="125"/>
        <v>42328</v>
      </c>
    </row>
    <row r="1981" spans="2:2">
      <c r="B1981" s="251">
        <f ca="1" t="shared" si="125"/>
        <v>42327</v>
      </c>
    </row>
    <row r="1982" spans="2:2">
      <c r="B1982" s="251">
        <f ca="1" t="shared" si="125"/>
        <v>42326</v>
      </c>
    </row>
    <row r="1983" spans="2:2">
      <c r="B1983" s="251">
        <f ca="1" t="shared" si="125"/>
        <v>42325</v>
      </c>
    </row>
    <row r="1984" spans="2:2">
      <c r="B1984" s="251">
        <f ca="1" t="shared" si="125"/>
        <v>42324</v>
      </c>
    </row>
    <row r="1985" spans="2:2">
      <c r="B1985" s="251">
        <f ca="1" t="shared" si="125"/>
        <v>42323</v>
      </c>
    </row>
    <row r="1986" spans="2:2">
      <c r="B1986" s="251">
        <f ca="1" t="shared" si="125"/>
        <v>42322</v>
      </c>
    </row>
    <row r="1987" spans="2:2">
      <c r="B1987" s="251">
        <f ca="1" t="shared" si="125"/>
        <v>42321</v>
      </c>
    </row>
    <row r="1988" spans="2:2">
      <c r="B1988" s="251">
        <f ca="1" t="shared" si="125"/>
        <v>42320</v>
      </c>
    </row>
    <row r="1989" spans="2:2">
      <c r="B1989" s="251">
        <f ca="1" t="shared" si="125"/>
        <v>42319</v>
      </c>
    </row>
    <row r="1990" spans="2:2">
      <c r="B1990" s="251">
        <f ca="1" t="shared" si="125"/>
        <v>42318</v>
      </c>
    </row>
    <row r="1991" spans="2:2">
      <c r="B1991" s="251">
        <f ca="1" t="shared" si="125"/>
        <v>42317</v>
      </c>
    </row>
    <row r="1992" spans="2:2">
      <c r="B1992" s="251">
        <f ca="1" t="shared" si="125"/>
        <v>42316</v>
      </c>
    </row>
    <row r="1993" spans="2:2">
      <c r="B1993" s="251">
        <f ca="1" t="shared" ref="B1993:B2008" si="126">B1992-1</f>
        <v>42315</v>
      </c>
    </row>
    <row r="1994" spans="2:2">
      <c r="B1994" s="251">
        <f ca="1" t="shared" si="126"/>
        <v>42314</v>
      </c>
    </row>
    <row r="1995" spans="2:2">
      <c r="B1995" s="251">
        <f ca="1" t="shared" si="126"/>
        <v>42313</v>
      </c>
    </row>
    <row r="1996" spans="2:2">
      <c r="B1996" s="251">
        <f ca="1" t="shared" si="126"/>
        <v>42312</v>
      </c>
    </row>
    <row r="1997" spans="2:2">
      <c r="B1997" s="251">
        <f ca="1" t="shared" si="126"/>
        <v>42311</v>
      </c>
    </row>
    <row r="1998" spans="2:2">
      <c r="B1998" s="251">
        <f ca="1" t="shared" si="126"/>
        <v>42310</v>
      </c>
    </row>
    <row r="1999" spans="2:2">
      <c r="B1999" s="251">
        <f ca="1" t="shared" si="126"/>
        <v>42309</v>
      </c>
    </row>
    <row r="2000" spans="2:2">
      <c r="B2000" s="251">
        <f ca="1" t="shared" si="126"/>
        <v>42308</v>
      </c>
    </row>
    <row r="2001" spans="2:2">
      <c r="B2001" s="251">
        <f ca="1" t="shared" si="126"/>
        <v>42307</v>
      </c>
    </row>
    <row r="2002" spans="2:2">
      <c r="B2002" s="251">
        <f ca="1" t="shared" si="126"/>
        <v>42306</v>
      </c>
    </row>
    <row r="2003" spans="2:2">
      <c r="B2003" s="251">
        <f ca="1" t="shared" si="126"/>
        <v>42305</v>
      </c>
    </row>
    <row r="2004" spans="2:2">
      <c r="B2004" s="251">
        <f ca="1" t="shared" si="126"/>
        <v>42304</v>
      </c>
    </row>
    <row r="2005" spans="2:2">
      <c r="B2005" s="251">
        <f ca="1" t="shared" si="126"/>
        <v>42303</v>
      </c>
    </row>
    <row r="2006" spans="2:2">
      <c r="B2006" s="251">
        <f ca="1" t="shared" si="126"/>
        <v>42302</v>
      </c>
    </row>
    <row r="2007" spans="2:2">
      <c r="B2007" s="251">
        <f ca="1" t="shared" si="126"/>
        <v>42301</v>
      </c>
    </row>
    <row r="2008" spans="2:2">
      <c r="B2008" s="251">
        <f ca="1" t="shared" si="126"/>
        <v>42300</v>
      </c>
    </row>
    <row r="2009" spans="2:2">
      <c r="B2009" s="251">
        <f ca="1" t="shared" ref="B2009:B2024" si="127">B2008-1</f>
        <v>42299</v>
      </c>
    </row>
    <row r="2010" spans="2:2">
      <c r="B2010" s="251">
        <f ca="1" t="shared" si="127"/>
        <v>42298</v>
      </c>
    </row>
    <row r="2011" spans="2:2">
      <c r="B2011" s="251">
        <f ca="1" t="shared" si="127"/>
        <v>42297</v>
      </c>
    </row>
    <row r="2012" spans="2:2">
      <c r="B2012" s="251">
        <f ca="1" t="shared" si="127"/>
        <v>42296</v>
      </c>
    </row>
    <row r="2013" spans="2:2">
      <c r="B2013" s="251">
        <f ca="1" t="shared" si="127"/>
        <v>42295</v>
      </c>
    </row>
    <row r="2014" spans="2:2">
      <c r="B2014" s="251">
        <f ca="1" t="shared" si="127"/>
        <v>42294</v>
      </c>
    </row>
    <row r="2015" spans="2:2">
      <c r="B2015" s="251">
        <f ca="1" t="shared" si="127"/>
        <v>42293</v>
      </c>
    </row>
    <row r="2016" spans="2:2">
      <c r="B2016" s="251">
        <f ca="1" t="shared" si="127"/>
        <v>42292</v>
      </c>
    </row>
    <row r="2017" spans="2:2">
      <c r="B2017" s="251">
        <f ca="1" t="shared" si="127"/>
        <v>42291</v>
      </c>
    </row>
    <row r="2018" spans="2:2">
      <c r="B2018" s="251">
        <f ca="1" t="shared" si="127"/>
        <v>42290</v>
      </c>
    </row>
    <row r="2019" spans="2:2">
      <c r="B2019" s="251">
        <f ca="1" t="shared" si="127"/>
        <v>42289</v>
      </c>
    </row>
    <row r="2020" spans="2:2">
      <c r="B2020" s="251">
        <f ca="1" t="shared" si="127"/>
        <v>42288</v>
      </c>
    </row>
    <row r="2021" spans="2:2">
      <c r="B2021" s="251">
        <f ca="1" t="shared" si="127"/>
        <v>42287</v>
      </c>
    </row>
    <row r="2022" spans="2:2">
      <c r="B2022" s="251">
        <f ca="1" t="shared" si="127"/>
        <v>42286</v>
      </c>
    </row>
    <row r="2023" spans="2:2">
      <c r="B2023" s="251">
        <f ca="1" t="shared" si="127"/>
        <v>42285</v>
      </c>
    </row>
    <row r="2024" spans="2:2">
      <c r="B2024" s="251">
        <f ca="1" t="shared" si="127"/>
        <v>42284</v>
      </c>
    </row>
    <row r="2025" spans="2:2">
      <c r="B2025" s="251">
        <f ca="1" t="shared" ref="B2025:B2040" si="128">B2024-1</f>
        <v>42283</v>
      </c>
    </row>
    <row r="2026" spans="2:2">
      <c r="B2026" s="251">
        <f ca="1" t="shared" si="128"/>
        <v>42282</v>
      </c>
    </row>
    <row r="2027" spans="2:2">
      <c r="B2027" s="251">
        <f ca="1" t="shared" si="128"/>
        <v>42281</v>
      </c>
    </row>
    <row r="2028" spans="2:2">
      <c r="B2028" s="251">
        <f ca="1" t="shared" si="128"/>
        <v>42280</v>
      </c>
    </row>
    <row r="2029" spans="2:2">
      <c r="B2029" s="251">
        <f ca="1" t="shared" si="128"/>
        <v>42279</v>
      </c>
    </row>
    <row r="2030" spans="2:2">
      <c r="B2030" s="251">
        <f ca="1" t="shared" si="128"/>
        <v>42278</v>
      </c>
    </row>
    <row r="2031" spans="2:2">
      <c r="B2031" s="251">
        <f ca="1" t="shared" si="128"/>
        <v>42277</v>
      </c>
    </row>
    <row r="2032" spans="2:2">
      <c r="B2032" s="251">
        <f ca="1" t="shared" si="128"/>
        <v>42276</v>
      </c>
    </row>
    <row r="2033" spans="2:2">
      <c r="B2033" s="251">
        <f ca="1" t="shared" si="128"/>
        <v>42275</v>
      </c>
    </row>
    <row r="2034" spans="2:2">
      <c r="B2034" s="251">
        <f ca="1" t="shared" si="128"/>
        <v>42274</v>
      </c>
    </row>
    <row r="2035" spans="2:2">
      <c r="B2035" s="251">
        <f ca="1" t="shared" si="128"/>
        <v>42273</v>
      </c>
    </row>
    <row r="2036" spans="2:2">
      <c r="B2036" s="251">
        <f ca="1" t="shared" si="128"/>
        <v>42272</v>
      </c>
    </row>
    <row r="2037" spans="2:2">
      <c r="B2037" s="251">
        <f ca="1" t="shared" si="128"/>
        <v>42271</v>
      </c>
    </row>
    <row r="2038" spans="2:2">
      <c r="B2038" s="251">
        <f ca="1" t="shared" si="128"/>
        <v>42270</v>
      </c>
    </row>
    <row r="2039" spans="2:2">
      <c r="B2039" s="251">
        <f ca="1" t="shared" si="128"/>
        <v>42269</v>
      </c>
    </row>
    <row r="2040" spans="2:2">
      <c r="B2040" s="251">
        <f ca="1" t="shared" si="128"/>
        <v>42268</v>
      </c>
    </row>
    <row r="2041" spans="2:2">
      <c r="B2041" s="251">
        <f ca="1" t="shared" ref="B2041:B2056" si="129">B2040-1</f>
        <v>42267</v>
      </c>
    </row>
    <row r="2042" spans="2:2">
      <c r="B2042" s="251">
        <f ca="1" t="shared" si="129"/>
        <v>42266</v>
      </c>
    </row>
    <row r="2043" spans="2:2">
      <c r="B2043" s="251">
        <f ca="1" t="shared" si="129"/>
        <v>42265</v>
      </c>
    </row>
    <row r="2044" spans="2:2">
      <c r="B2044" s="251">
        <f ca="1" t="shared" si="129"/>
        <v>42264</v>
      </c>
    </row>
    <row r="2045" spans="2:2">
      <c r="B2045" s="251">
        <f ca="1" t="shared" si="129"/>
        <v>42263</v>
      </c>
    </row>
    <row r="2046" spans="2:2">
      <c r="B2046" s="251">
        <f ca="1" t="shared" si="129"/>
        <v>42262</v>
      </c>
    </row>
    <row r="2047" spans="2:2">
      <c r="B2047" s="251">
        <f ca="1" t="shared" si="129"/>
        <v>42261</v>
      </c>
    </row>
    <row r="2048" spans="2:2">
      <c r="B2048" s="251">
        <f ca="1" t="shared" si="129"/>
        <v>42260</v>
      </c>
    </row>
    <row r="2049" spans="2:2">
      <c r="B2049" s="251">
        <f ca="1" t="shared" si="129"/>
        <v>42259</v>
      </c>
    </row>
    <row r="2050" spans="2:2">
      <c r="B2050" s="251">
        <f ca="1" t="shared" si="129"/>
        <v>42258</v>
      </c>
    </row>
    <row r="2051" spans="2:2">
      <c r="B2051" s="251">
        <f ca="1" t="shared" si="129"/>
        <v>42257</v>
      </c>
    </row>
    <row r="2052" spans="2:2">
      <c r="B2052" s="251">
        <f ca="1" t="shared" si="129"/>
        <v>42256</v>
      </c>
    </row>
    <row r="2053" spans="2:2">
      <c r="B2053" s="251">
        <f ca="1" t="shared" si="129"/>
        <v>42255</v>
      </c>
    </row>
    <row r="2054" spans="2:2">
      <c r="B2054" s="251">
        <f ca="1" t="shared" si="129"/>
        <v>42254</v>
      </c>
    </row>
    <row r="2055" spans="2:2">
      <c r="B2055" s="251">
        <f ca="1" t="shared" si="129"/>
        <v>42253</v>
      </c>
    </row>
    <row r="2056" spans="2:2">
      <c r="B2056" s="251">
        <f ca="1" t="shared" si="129"/>
        <v>42252</v>
      </c>
    </row>
    <row r="2057" spans="2:2">
      <c r="B2057" s="251">
        <f ca="1" t="shared" ref="B2057:B2072" si="130">B2056-1</f>
        <v>42251</v>
      </c>
    </row>
    <row r="2058" spans="2:2">
      <c r="B2058" s="251">
        <f ca="1" t="shared" si="130"/>
        <v>42250</v>
      </c>
    </row>
    <row r="2059" spans="2:2">
      <c r="B2059" s="251">
        <f ca="1" t="shared" si="130"/>
        <v>42249</v>
      </c>
    </row>
    <row r="2060" spans="2:2">
      <c r="B2060" s="251">
        <f ca="1" t="shared" si="130"/>
        <v>42248</v>
      </c>
    </row>
    <row r="2061" spans="2:2">
      <c r="B2061" s="251">
        <f ca="1" t="shared" si="130"/>
        <v>42247</v>
      </c>
    </row>
    <row r="2062" spans="2:2">
      <c r="B2062" s="251">
        <f ca="1" t="shared" si="130"/>
        <v>42246</v>
      </c>
    </row>
    <row r="2063" spans="2:2">
      <c r="B2063" s="251">
        <f ca="1" t="shared" si="130"/>
        <v>42245</v>
      </c>
    </row>
    <row r="2064" spans="2:2">
      <c r="B2064" s="251">
        <f ca="1" t="shared" si="130"/>
        <v>42244</v>
      </c>
    </row>
    <row r="2065" spans="2:2">
      <c r="B2065" s="251">
        <f ca="1" t="shared" si="130"/>
        <v>42243</v>
      </c>
    </row>
    <row r="2066" spans="2:2">
      <c r="B2066" s="251">
        <f ca="1" t="shared" si="130"/>
        <v>42242</v>
      </c>
    </row>
    <row r="2067" spans="2:2">
      <c r="B2067" s="251">
        <f ca="1" t="shared" si="130"/>
        <v>42241</v>
      </c>
    </row>
    <row r="2068" spans="2:2">
      <c r="B2068" s="251">
        <f ca="1" t="shared" si="130"/>
        <v>42240</v>
      </c>
    </row>
    <row r="2069" spans="2:2">
      <c r="B2069" s="251">
        <f ca="1" t="shared" si="130"/>
        <v>42239</v>
      </c>
    </row>
    <row r="2070" spans="2:2">
      <c r="B2070" s="251">
        <f ca="1" t="shared" si="130"/>
        <v>42238</v>
      </c>
    </row>
    <row r="2071" spans="2:2">
      <c r="B2071" s="251">
        <f ca="1" t="shared" si="130"/>
        <v>42237</v>
      </c>
    </row>
    <row r="2072" spans="2:2">
      <c r="B2072" s="251">
        <f ca="1" t="shared" si="130"/>
        <v>42236</v>
      </c>
    </row>
    <row r="2073" spans="2:2">
      <c r="B2073" s="251">
        <f ca="1" t="shared" ref="B2073:B2088" si="131">B2072-1</f>
        <v>42235</v>
      </c>
    </row>
    <row r="2074" spans="2:2">
      <c r="B2074" s="251">
        <f ca="1" t="shared" si="131"/>
        <v>42234</v>
      </c>
    </row>
    <row r="2075" spans="2:2">
      <c r="B2075" s="251">
        <f ca="1" t="shared" si="131"/>
        <v>42233</v>
      </c>
    </row>
    <row r="2076" spans="2:2">
      <c r="B2076" s="251">
        <f ca="1" t="shared" si="131"/>
        <v>42232</v>
      </c>
    </row>
    <row r="2077" spans="2:2">
      <c r="B2077" s="251">
        <f ca="1" t="shared" si="131"/>
        <v>42231</v>
      </c>
    </row>
    <row r="2078" spans="2:2">
      <c r="B2078" s="251">
        <f ca="1" t="shared" si="131"/>
        <v>42230</v>
      </c>
    </row>
    <row r="2079" spans="2:2">
      <c r="B2079" s="251">
        <f ca="1" t="shared" si="131"/>
        <v>42229</v>
      </c>
    </row>
    <row r="2080" spans="2:2">
      <c r="B2080" s="251">
        <f ca="1" t="shared" si="131"/>
        <v>42228</v>
      </c>
    </row>
    <row r="2081" spans="2:2">
      <c r="B2081" s="251">
        <f ca="1" t="shared" si="131"/>
        <v>42227</v>
      </c>
    </row>
    <row r="2082" spans="2:2">
      <c r="B2082" s="251">
        <f ca="1" t="shared" si="131"/>
        <v>42226</v>
      </c>
    </row>
    <row r="2083" spans="2:2">
      <c r="B2083" s="251">
        <f ca="1" t="shared" si="131"/>
        <v>42225</v>
      </c>
    </row>
    <row r="2084" spans="2:2">
      <c r="B2084" s="251">
        <f ca="1" t="shared" si="131"/>
        <v>42224</v>
      </c>
    </row>
    <row r="2085" spans="2:2">
      <c r="B2085" s="251">
        <f ca="1" t="shared" si="131"/>
        <v>42223</v>
      </c>
    </row>
    <row r="2086" spans="2:2">
      <c r="B2086" s="251">
        <f ca="1" t="shared" si="131"/>
        <v>42222</v>
      </c>
    </row>
    <row r="2087" spans="2:2">
      <c r="B2087" s="251">
        <f ca="1" t="shared" si="131"/>
        <v>42221</v>
      </c>
    </row>
    <row r="2088" spans="2:2">
      <c r="B2088" s="251">
        <f ca="1" t="shared" si="131"/>
        <v>42220</v>
      </c>
    </row>
    <row r="2089" spans="2:2">
      <c r="B2089" s="251">
        <f ca="1" t="shared" ref="B2089:B2104" si="132">B2088-1</f>
        <v>42219</v>
      </c>
    </row>
    <row r="2090" spans="2:2">
      <c r="B2090" s="251">
        <f ca="1" t="shared" si="132"/>
        <v>42218</v>
      </c>
    </row>
    <row r="2091" spans="2:2">
      <c r="B2091" s="251">
        <f ca="1" t="shared" si="132"/>
        <v>42217</v>
      </c>
    </row>
    <row r="2092" spans="2:2">
      <c r="B2092" s="251">
        <f ca="1" t="shared" si="132"/>
        <v>42216</v>
      </c>
    </row>
    <row r="2093" spans="2:2">
      <c r="B2093" s="251">
        <f ca="1" t="shared" si="132"/>
        <v>42215</v>
      </c>
    </row>
    <row r="2094" spans="2:2">
      <c r="B2094" s="251">
        <f ca="1" t="shared" si="132"/>
        <v>42214</v>
      </c>
    </row>
    <row r="2095" spans="2:2">
      <c r="B2095" s="251">
        <f ca="1" t="shared" si="132"/>
        <v>42213</v>
      </c>
    </row>
    <row r="2096" spans="2:2">
      <c r="B2096" s="251">
        <f ca="1" t="shared" si="132"/>
        <v>42212</v>
      </c>
    </row>
    <row r="2097" spans="2:2">
      <c r="B2097" s="251">
        <f ca="1" t="shared" si="132"/>
        <v>42211</v>
      </c>
    </row>
    <row r="2098" spans="2:2">
      <c r="B2098" s="251">
        <f ca="1" t="shared" si="132"/>
        <v>42210</v>
      </c>
    </row>
    <row r="2099" spans="2:2">
      <c r="B2099" s="251">
        <f ca="1" t="shared" si="132"/>
        <v>42209</v>
      </c>
    </row>
    <row r="2100" spans="2:2">
      <c r="B2100" s="251">
        <f ca="1" t="shared" si="132"/>
        <v>42208</v>
      </c>
    </row>
    <row r="2101" spans="2:2">
      <c r="B2101" s="251">
        <f ca="1" t="shared" si="132"/>
        <v>42207</v>
      </c>
    </row>
    <row r="2102" spans="2:2">
      <c r="B2102" s="251">
        <f ca="1" t="shared" si="132"/>
        <v>42206</v>
      </c>
    </row>
    <row r="2103" spans="2:2">
      <c r="B2103" s="251">
        <f ca="1" t="shared" si="132"/>
        <v>42205</v>
      </c>
    </row>
    <row r="2104" spans="2:2">
      <c r="B2104" s="251">
        <f ca="1" t="shared" si="132"/>
        <v>42204</v>
      </c>
    </row>
    <row r="2105" spans="2:2">
      <c r="B2105" s="251">
        <f ca="1" t="shared" ref="B2105:B2120" si="133">B2104-1</f>
        <v>42203</v>
      </c>
    </row>
    <row r="2106" spans="2:2">
      <c r="B2106" s="251">
        <f ca="1" t="shared" si="133"/>
        <v>42202</v>
      </c>
    </row>
    <row r="2107" spans="2:2">
      <c r="B2107" s="251">
        <f ca="1" t="shared" si="133"/>
        <v>42201</v>
      </c>
    </row>
    <row r="2108" spans="2:2">
      <c r="B2108" s="251">
        <f ca="1" t="shared" si="133"/>
        <v>42200</v>
      </c>
    </row>
    <row r="2109" spans="2:2">
      <c r="B2109" s="251">
        <f ca="1" t="shared" si="133"/>
        <v>42199</v>
      </c>
    </row>
    <row r="2110" spans="2:2">
      <c r="B2110" s="251">
        <f ca="1" t="shared" si="133"/>
        <v>42198</v>
      </c>
    </row>
    <row r="2111" spans="2:2">
      <c r="B2111" s="251">
        <f ca="1" t="shared" si="133"/>
        <v>42197</v>
      </c>
    </row>
    <row r="2112" spans="2:2">
      <c r="B2112" s="251">
        <f ca="1" t="shared" si="133"/>
        <v>42196</v>
      </c>
    </row>
    <row r="2113" spans="2:2">
      <c r="B2113" s="251">
        <f ca="1" t="shared" si="133"/>
        <v>42195</v>
      </c>
    </row>
    <row r="2114" spans="2:2">
      <c r="B2114" s="251">
        <f ca="1" t="shared" si="133"/>
        <v>42194</v>
      </c>
    </row>
    <row r="2115" spans="2:2">
      <c r="B2115" s="251">
        <f ca="1" t="shared" si="133"/>
        <v>42193</v>
      </c>
    </row>
    <row r="2116" spans="2:2">
      <c r="B2116" s="251">
        <f ca="1" t="shared" si="133"/>
        <v>42192</v>
      </c>
    </row>
    <row r="2117" spans="2:2">
      <c r="B2117" s="251">
        <f ca="1" t="shared" si="133"/>
        <v>42191</v>
      </c>
    </row>
    <row r="2118" spans="2:2">
      <c r="B2118" s="251">
        <f ca="1" t="shared" si="133"/>
        <v>42190</v>
      </c>
    </row>
    <row r="2119" spans="2:2">
      <c r="B2119" s="251">
        <f ca="1" t="shared" si="133"/>
        <v>42189</v>
      </c>
    </row>
    <row r="2120" spans="2:2">
      <c r="B2120" s="251">
        <f ca="1" t="shared" si="133"/>
        <v>42188</v>
      </c>
    </row>
    <row r="2121" spans="2:2">
      <c r="B2121" s="251">
        <f ca="1" t="shared" ref="B2121:B2136" si="134">B2120-1</f>
        <v>42187</v>
      </c>
    </row>
    <row r="2122" spans="2:2">
      <c r="B2122" s="251">
        <f ca="1" t="shared" si="134"/>
        <v>42186</v>
      </c>
    </row>
    <row r="2123" spans="2:2">
      <c r="B2123" s="251">
        <f ca="1" t="shared" si="134"/>
        <v>42185</v>
      </c>
    </row>
    <row r="2124" spans="2:2">
      <c r="B2124" s="251">
        <f ca="1" t="shared" si="134"/>
        <v>42184</v>
      </c>
    </row>
    <row r="2125" spans="2:2">
      <c r="B2125" s="251">
        <f ca="1" t="shared" si="134"/>
        <v>42183</v>
      </c>
    </row>
    <row r="2126" spans="2:2">
      <c r="B2126" s="251">
        <f ca="1" t="shared" si="134"/>
        <v>42182</v>
      </c>
    </row>
    <row r="2127" spans="2:2">
      <c r="B2127" s="251">
        <f ca="1" t="shared" si="134"/>
        <v>42181</v>
      </c>
    </row>
    <row r="2128" spans="2:2">
      <c r="B2128" s="251">
        <f ca="1" t="shared" si="134"/>
        <v>42180</v>
      </c>
    </row>
    <row r="2129" spans="2:2">
      <c r="B2129" s="251">
        <f ca="1" t="shared" si="134"/>
        <v>42179</v>
      </c>
    </row>
    <row r="2130" spans="2:2">
      <c r="B2130" s="251">
        <f ca="1" t="shared" si="134"/>
        <v>42178</v>
      </c>
    </row>
    <row r="2131" spans="2:2">
      <c r="B2131" s="251">
        <f ca="1" t="shared" si="134"/>
        <v>42177</v>
      </c>
    </row>
    <row r="2132" spans="2:2">
      <c r="B2132" s="251">
        <f ca="1" t="shared" si="134"/>
        <v>42176</v>
      </c>
    </row>
    <row r="2133" spans="2:2">
      <c r="B2133" s="251">
        <f ca="1" t="shared" si="134"/>
        <v>42175</v>
      </c>
    </row>
    <row r="2134" spans="2:2">
      <c r="B2134" s="251">
        <f ca="1" t="shared" si="134"/>
        <v>42174</v>
      </c>
    </row>
    <row r="2135" spans="2:2">
      <c r="B2135" s="251">
        <f ca="1" t="shared" si="134"/>
        <v>42173</v>
      </c>
    </row>
    <row r="2136" spans="2:2">
      <c r="B2136" s="251">
        <f ca="1" t="shared" si="134"/>
        <v>42172</v>
      </c>
    </row>
    <row r="2137" spans="2:2">
      <c r="B2137" s="251">
        <f ca="1" t="shared" ref="B2137:B2152" si="135">B2136-1</f>
        <v>42171</v>
      </c>
    </row>
    <row r="2138" spans="2:2">
      <c r="B2138" s="251">
        <f ca="1" t="shared" si="135"/>
        <v>42170</v>
      </c>
    </row>
    <row r="2139" spans="2:2">
      <c r="B2139" s="251">
        <f ca="1" t="shared" si="135"/>
        <v>42169</v>
      </c>
    </row>
    <row r="2140" spans="2:2">
      <c r="B2140" s="251">
        <f ca="1" t="shared" si="135"/>
        <v>42168</v>
      </c>
    </row>
    <row r="2141" spans="2:2">
      <c r="B2141" s="251">
        <f ca="1" t="shared" si="135"/>
        <v>42167</v>
      </c>
    </row>
    <row r="2142" spans="2:2">
      <c r="B2142" s="251">
        <f ca="1" t="shared" si="135"/>
        <v>42166</v>
      </c>
    </row>
    <row r="2143" spans="2:2">
      <c r="B2143" s="251">
        <f ca="1" t="shared" si="135"/>
        <v>42165</v>
      </c>
    </row>
    <row r="2144" spans="2:2">
      <c r="B2144" s="251">
        <f ca="1" t="shared" si="135"/>
        <v>42164</v>
      </c>
    </row>
    <row r="2145" spans="2:2">
      <c r="B2145" s="251">
        <f ca="1" t="shared" si="135"/>
        <v>42163</v>
      </c>
    </row>
    <row r="2146" spans="2:2">
      <c r="B2146" s="251">
        <f ca="1" t="shared" si="135"/>
        <v>42162</v>
      </c>
    </row>
    <row r="2147" spans="2:2">
      <c r="B2147" s="251">
        <f ca="1" t="shared" si="135"/>
        <v>42161</v>
      </c>
    </row>
    <row r="2148" spans="2:2">
      <c r="B2148" s="251">
        <f ca="1" t="shared" si="135"/>
        <v>42160</v>
      </c>
    </row>
    <row r="2149" spans="2:2">
      <c r="B2149" s="251">
        <f ca="1" t="shared" si="135"/>
        <v>42159</v>
      </c>
    </row>
    <row r="2150" spans="2:2">
      <c r="B2150" s="251">
        <f ca="1" t="shared" si="135"/>
        <v>42158</v>
      </c>
    </row>
    <row r="2151" spans="2:2">
      <c r="B2151" s="251">
        <f ca="1" t="shared" si="135"/>
        <v>42157</v>
      </c>
    </row>
    <row r="2152" spans="2:2">
      <c r="B2152" s="251">
        <f ca="1" t="shared" si="135"/>
        <v>42156</v>
      </c>
    </row>
    <row r="2153" spans="2:2">
      <c r="B2153" s="251">
        <f ca="1" t="shared" ref="B2153:B2168" si="136">B2152-1</f>
        <v>42155</v>
      </c>
    </row>
    <row r="2154" spans="2:2">
      <c r="B2154" s="251">
        <f ca="1" t="shared" si="136"/>
        <v>42154</v>
      </c>
    </row>
    <row r="2155" spans="2:2">
      <c r="B2155" s="251">
        <f ca="1" t="shared" si="136"/>
        <v>42153</v>
      </c>
    </row>
    <row r="2156" spans="2:2">
      <c r="B2156" s="251">
        <f ca="1" t="shared" si="136"/>
        <v>42152</v>
      </c>
    </row>
    <row r="2157" spans="2:2">
      <c r="B2157" s="251">
        <f ca="1" t="shared" si="136"/>
        <v>42151</v>
      </c>
    </row>
    <row r="2158" spans="2:2">
      <c r="B2158" s="251">
        <f ca="1" t="shared" si="136"/>
        <v>42150</v>
      </c>
    </row>
    <row r="2159" spans="2:2">
      <c r="B2159" s="251">
        <f ca="1" t="shared" si="136"/>
        <v>42149</v>
      </c>
    </row>
    <row r="2160" spans="2:2">
      <c r="B2160" s="251">
        <f ca="1" t="shared" si="136"/>
        <v>42148</v>
      </c>
    </row>
    <row r="2161" spans="2:2">
      <c r="B2161" s="251">
        <f ca="1" t="shared" si="136"/>
        <v>42147</v>
      </c>
    </row>
    <row r="2162" spans="2:2">
      <c r="B2162" s="251">
        <f ca="1" t="shared" si="136"/>
        <v>42146</v>
      </c>
    </row>
    <row r="2163" spans="2:2">
      <c r="B2163" s="251">
        <f ca="1" t="shared" si="136"/>
        <v>42145</v>
      </c>
    </row>
    <row r="2164" spans="2:2">
      <c r="B2164" s="251">
        <f ca="1" t="shared" si="136"/>
        <v>42144</v>
      </c>
    </row>
    <row r="2165" spans="2:2">
      <c r="B2165" s="251">
        <f ca="1" t="shared" si="136"/>
        <v>42143</v>
      </c>
    </row>
    <row r="2166" spans="2:2">
      <c r="B2166" s="251">
        <f ca="1" t="shared" si="136"/>
        <v>42142</v>
      </c>
    </row>
    <row r="2167" spans="2:2">
      <c r="B2167" s="251">
        <f ca="1" t="shared" si="136"/>
        <v>42141</v>
      </c>
    </row>
    <row r="2168" spans="2:2">
      <c r="B2168" s="251">
        <f ca="1" t="shared" si="136"/>
        <v>42140</v>
      </c>
    </row>
    <row r="2169" spans="2:2">
      <c r="B2169" s="251">
        <f ca="1" t="shared" ref="B2169:B2184" si="137">B2168-1</f>
        <v>42139</v>
      </c>
    </row>
    <row r="2170" spans="2:2">
      <c r="B2170" s="251">
        <f ca="1" t="shared" si="137"/>
        <v>42138</v>
      </c>
    </row>
    <row r="2171" spans="2:2">
      <c r="B2171" s="251">
        <f ca="1" t="shared" si="137"/>
        <v>42137</v>
      </c>
    </row>
    <row r="2172" spans="2:2">
      <c r="B2172" s="251">
        <f ca="1" t="shared" si="137"/>
        <v>42136</v>
      </c>
    </row>
    <row r="2173" spans="2:2">
      <c r="B2173" s="251">
        <f ca="1" t="shared" si="137"/>
        <v>42135</v>
      </c>
    </row>
    <row r="2174" spans="2:2">
      <c r="B2174" s="251">
        <f ca="1" t="shared" si="137"/>
        <v>42134</v>
      </c>
    </row>
    <row r="2175" spans="2:2">
      <c r="B2175" s="251">
        <f ca="1" t="shared" si="137"/>
        <v>42133</v>
      </c>
    </row>
    <row r="2176" spans="2:2">
      <c r="B2176" s="251">
        <f ca="1" t="shared" si="137"/>
        <v>42132</v>
      </c>
    </row>
    <row r="2177" spans="2:2">
      <c r="B2177" s="251">
        <f ca="1" t="shared" si="137"/>
        <v>42131</v>
      </c>
    </row>
    <row r="2178" spans="2:2">
      <c r="B2178" s="251">
        <f ca="1" t="shared" si="137"/>
        <v>42130</v>
      </c>
    </row>
    <row r="2179" spans="2:2">
      <c r="B2179" s="251">
        <f ca="1" t="shared" si="137"/>
        <v>42129</v>
      </c>
    </row>
    <row r="2180" spans="2:2">
      <c r="B2180" s="251">
        <f ca="1" t="shared" si="137"/>
        <v>42128</v>
      </c>
    </row>
    <row r="2181" spans="2:2">
      <c r="B2181" s="251">
        <f ca="1" t="shared" si="137"/>
        <v>42127</v>
      </c>
    </row>
    <row r="2182" spans="2:2">
      <c r="B2182" s="251">
        <f ca="1" t="shared" si="137"/>
        <v>42126</v>
      </c>
    </row>
    <row r="2183" spans="2:2">
      <c r="B2183" s="251">
        <f ca="1" t="shared" si="137"/>
        <v>42125</v>
      </c>
    </row>
    <row r="2184" spans="2:2">
      <c r="B2184" s="251">
        <f ca="1" t="shared" si="137"/>
        <v>42124</v>
      </c>
    </row>
    <row r="2185" spans="2:2">
      <c r="B2185" s="251">
        <f ca="1" t="shared" ref="B2185:B2200" si="138">B2184-1</f>
        <v>42123</v>
      </c>
    </row>
    <row r="2186" spans="2:2">
      <c r="B2186" s="251">
        <f ca="1" t="shared" si="138"/>
        <v>42122</v>
      </c>
    </row>
    <row r="2187" spans="2:2">
      <c r="B2187" s="251">
        <f ca="1" t="shared" si="138"/>
        <v>42121</v>
      </c>
    </row>
    <row r="2188" spans="2:2">
      <c r="B2188" s="251">
        <f ca="1" t="shared" si="138"/>
        <v>42120</v>
      </c>
    </row>
    <row r="2189" spans="2:2">
      <c r="B2189" s="251">
        <f ca="1" t="shared" si="138"/>
        <v>42119</v>
      </c>
    </row>
    <row r="2190" spans="2:2">
      <c r="B2190" s="251">
        <f ca="1" t="shared" si="138"/>
        <v>42118</v>
      </c>
    </row>
    <row r="2191" spans="2:2">
      <c r="B2191" s="251">
        <f ca="1" t="shared" si="138"/>
        <v>42117</v>
      </c>
    </row>
    <row r="2192" spans="2:2">
      <c r="B2192" s="251">
        <f ca="1" t="shared" si="138"/>
        <v>42116</v>
      </c>
    </row>
    <row r="2193" spans="2:2">
      <c r="B2193" s="251">
        <f ca="1" t="shared" si="138"/>
        <v>42115</v>
      </c>
    </row>
    <row r="2194" spans="2:2">
      <c r="B2194" s="251">
        <f ca="1" t="shared" si="138"/>
        <v>42114</v>
      </c>
    </row>
    <row r="2195" spans="2:2">
      <c r="B2195" s="251">
        <f ca="1" t="shared" si="138"/>
        <v>42113</v>
      </c>
    </row>
    <row r="2196" spans="2:2">
      <c r="B2196" s="251">
        <f ca="1" t="shared" si="138"/>
        <v>42112</v>
      </c>
    </row>
    <row r="2197" spans="2:2">
      <c r="B2197" s="251">
        <f ca="1" t="shared" si="138"/>
        <v>42111</v>
      </c>
    </row>
    <row r="2198" spans="2:2">
      <c r="B2198" s="251">
        <f ca="1" t="shared" si="138"/>
        <v>42110</v>
      </c>
    </row>
    <row r="2199" spans="2:2">
      <c r="B2199" s="251">
        <f ca="1" t="shared" si="138"/>
        <v>42109</v>
      </c>
    </row>
    <row r="2200" spans="2:2">
      <c r="B2200" s="251">
        <f ca="1" t="shared" si="138"/>
        <v>42108</v>
      </c>
    </row>
    <row r="2201" spans="2:2">
      <c r="B2201" s="251">
        <f ca="1" t="shared" ref="B2201:B2216" si="139">B2200-1</f>
        <v>42107</v>
      </c>
    </row>
    <row r="2202" spans="2:2">
      <c r="B2202" s="251">
        <f ca="1" t="shared" si="139"/>
        <v>42106</v>
      </c>
    </row>
    <row r="2203" spans="2:2">
      <c r="B2203" s="251">
        <f ca="1" t="shared" si="139"/>
        <v>42105</v>
      </c>
    </row>
    <row r="2204" spans="2:2">
      <c r="B2204" s="251">
        <f ca="1" t="shared" si="139"/>
        <v>42104</v>
      </c>
    </row>
    <row r="2205" spans="2:2">
      <c r="B2205" s="251">
        <f ca="1" t="shared" si="139"/>
        <v>42103</v>
      </c>
    </row>
    <row r="2206" spans="2:2">
      <c r="B2206" s="251">
        <f ca="1" t="shared" si="139"/>
        <v>42102</v>
      </c>
    </row>
    <row r="2207" spans="2:2">
      <c r="B2207" s="251">
        <f ca="1" t="shared" si="139"/>
        <v>42101</v>
      </c>
    </row>
    <row r="2208" spans="2:2">
      <c r="B2208" s="251">
        <f ca="1" t="shared" si="139"/>
        <v>42100</v>
      </c>
    </row>
    <row r="2209" spans="2:2">
      <c r="B2209" s="251">
        <f ca="1" t="shared" si="139"/>
        <v>42099</v>
      </c>
    </row>
    <row r="2210" spans="2:2">
      <c r="B2210" s="251">
        <f ca="1" t="shared" si="139"/>
        <v>42098</v>
      </c>
    </row>
    <row r="2211" spans="2:2">
      <c r="B2211" s="251">
        <f ca="1" t="shared" si="139"/>
        <v>42097</v>
      </c>
    </row>
    <row r="2212" spans="2:2">
      <c r="B2212" s="251">
        <f ca="1" t="shared" si="139"/>
        <v>42096</v>
      </c>
    </row>
    <row r="2213" spans="2:2">
      <c r="B2213" s="251">
        <f ca="1" t="shared" si="139"/>
        <v>42095</v>
      </c>
    </row>
    <row r="2214" spans="2:2">
      <c r="B2214" s="251">
        <f ca="1" t="shared" si="139"/>
        <v>42094</v>
      </c>
    </row>
    <row r="2215" spans="2:2">
      <c r="B2215" s="251">
        <f ca="1" t="shared" si="139"/>
        <v>42093</v>
      </c>
    </row>
    <row r="2216" spans="2:2">
      <c r="B2216" s="251">
        <f ca="1" t="shared" si="139"/>
        <v>42092</v>
      </c>
    </row>
    <row r="2217" spans="2:2">
      <c r="B2217" s="251">
        <f ca="1" t="shared" ref="B2217:B2232" si="140">B2216-1</f>
        <v>42091</v>
      </c>
    </row>
    <row r="2218" spans="2:2">
      <c r="B2218" s="251">
        <f ca="1" t="shared" si="140"/>
        <v>42090</v>
      </c>
    </row>
    <row r="2219" spans="2:2">
      <c r="B2219" s="251">
        <f ca="1" t="shared" si="140"/>
        <v>42089</v>
      </c>
    </row>
    <row r="2220" spans="2:2">
      <c r="B2220" s="251">
        <f ca="1" t="shared" si="140"/>
        <v>42088</v>
      </c>
    </row>
    <row r="2221" spans="2:2">
      <c r="B2221" s="251">
        <f ca="1" t="shared" si="140"/>
        <v>42087</v>
      </c>
    </row>
    <row r="2222" spans="2:2">
      <c r="B2222" s="251">
        <f ca="1" t="shared" si="140"/>
        <v>42086</v>
      </c>
    </row>
    <row r="2223" spans="2:2">
      <c r="B2223" s="251">
        <f ca="1" t="shared" si="140"/>
        <v>42085</v>
      </c>
    </row>
    <row r="2224" spans="2:2">
      <c r="B2224" s="251">
        <f ca="1" t="shared" si="140"/>
        <v>42084</v>
      </c>
    </row>
    <row r="2225" spans="2:2">
      <c r="B2225" s="251">
        <f ca="1" t="shared" si="140"/>
        <v>42083</v>
      </c>
    </row>
    <row r="2226" spans="2:2">
      <c r="B2226" s="251">
        <f ca="1" t="shared" si="140"/>
        <v>42082</v>
      </c>
    </row>
    <row r="2227" spans="2:2">
      <c r="B2227" s="251">
        <f ca="1" t="shared" si="140"/>
        <v>42081</v>
      </c>
    </row>
    <row r="2228" spans="2:2">
      <c r="B2228" s="251">
        <f ca="1" t="shared" si="140"/>
        <v>42080</v>
      </c>
    </row>
    <row r="2229" spans="2:2">
      <c r="B2229" s="251">
        <f ca="1" t="shared" si="140"/>
        <v>42079</v>
      </c>
    </row>
    <row r="2230" spans="2:2">
      <c r="B2230" s="251">
        <f ca="1" t="shared" si="140"/>
        <v>42078</v>
      </c>
    </row>
    <row r="2231" spans="2:2">
      <c r="B2231" s="251">
        <f ca="1" t="shared" si="140"/>
        <v>42077</v>
      </c>
    </row>
    <row r="2232" spans="2:2">
      <c r="B2232" s="251">
        <f ca="1" t="shared" si="140"/>
        <v>42076</v>
      </c>
    </row>
    <row r="2233" spans="2:2">
      <c r="B2233" s="251">
        <f ca="1" t="shared" ref="B2233:B2248" si="141">B2232-1</f>
        <v>42075</v>
      </c>
    </row>
    <row r="2234" spans="2:2">
      <c r="B2234" s="251">
        <f ca="1" t="shared" si="141"/>
        <v>42074</v>
      </c>
    </row>
    <row r="2235" spans="2:2">
      <c r="B2235" s="251">
        <f ca="1" t="shared" si="141"/>
        <v>42073</v>
      </c>
    </row>
    <row r="2236" spans="2:2">
      <c r="B2236" s="251">
        <f ca="1" t="shared" si="141"/>
        <v>42072</v>
      </c>
    </row>
    <row r="2237" spans="2:2">
      <c r="B2237" s="251">
        <f ca="1" t="shared" si="141"/>
        <v>42071</v>
      </c>
    </row>
    <row r="2238" spans="2:2">
      <c r="B2238" s="251">
        <f ca="1" t="shared" si="141"/>
        <v>42070</v>
      </c>
    </row>
    <row r="2239" spans="2:2">
      <c r="B2239" s="251">
        <f ca="1" t="shared" si="141"/>
        <v>42069</v>
      </c>
    </row>
    <row r="2240" spans="2:2">
      <c r="B2240" s="251">
        <f ca="1" t="shared" si="141"/>
        <v>42068</v>
      </c>
    </row>
    <row r="2241" spans="2:2">
      <c r="B2241" s="251">
        <f ca="1" t="shared" si="141"/>
        <v>42067</v>
      </c>
    </row>
    <row r="2242" spans="2:2">
      <c r="B2242" s="251">
        <f ca="1" t="shared" si="141"/>
        <v>42066</v>
      </c>
    </row>
    <row r="2243" spans="2:2">
      <c r="B2243" s="251">
        <f ca="1" t="shared" si="141"/>
        <v>42065</v>
      </c>
    </row>
    <row r="2244" spans="2:2">
      <c r="B2244" s="251">
        <f ca="1" t="shared" si="141"/>
        <v>42064</v>
      </c>
    </row>
    <row r="2245" spans="2:2">
      <c r="B2245" s="251">
        <f ca="1" t="shared" si="141"/>
        <v>42063</v>
      </c>
    </row>
    <row r="2246" spans="2:2">
      <c r="B2246" s="251">
        <f ca="1" t="shared" si="141"/>
        <v>42062</v>
      </c>
    </row>
    <row r="2247" spans="2:2">
      <c r="B2247" s="251">
        <f ca="1" t="shared" si="141"/>
        <v>42061</v>
      </c>
    </row>
    <row r="2248" spans="2:2">
      <c r="B2248" s="251">
        <f ca="1" t="shared" si="141"/>
        <v>42060</v>
      </c>
    </row>
    <row r="2249" spans="2:2">
      <c r="B2249" s="251">
        <f ca="1" t="shared" ref="B2249:B2264" si="142">B2248-1</f>
        <v>42059</v>
      </c>
    </row>
    <row r="2250" spans="2:2">
      <c r="B2250" s="251">
        <f ca="1" t="shared" si="142"/>
        <v>42058</v>
      </c>
    </row>
    <row r="2251" spans="2:2">
      <c r="B2251" s="251">
        <f ca="1" t="shared" si="142"/>
        <v>42057</v>
      </c>
    </row>
    <row r="2252" spans="2:2">
      <c r="B2252" s="251">
        <f ca="1" t="shared" si="142"/>
        <v>42056</v>
      </c>
    </row>
    <row r="2253" spans="2:2">
      <c r="B2253" s="251">
        <f ca="1" t="shared" si="142"/>
        <v>42055</v>
      </c>
    </row>
    <row r="2254" spans="2:2">
      <c r="B2254" s="251">
        <f ca="1" t="shared" si="142"/>
        <v>42054</v>
      </c>
    </row>
    <row r="2255" spans="2:2">
      <c r="B2255" s="251">
        <f ca="1" t="shared" si="142"/>
        <v>42053</v>
      </c>
    </row>
    <row r="2256" spans="2:2">
      <c r="B2256" s="251">
        <f ca="1" t="shared" si="142"/>
        <v>42052</v>
      </c>
    </row>
    <row r="2257" spans="2:2">
      <c r="B2257" s="251">
        <f ca="1" t="shared" si="142"/>
        <v>42051</v>
      </c>
    </row>
    <row r="2258" spans="2:2">
      <c r="B2258" s="251">
        <f ca="1" t="shared" si="142"/>
        <v>42050</v>
      </c>
    </row>
    <row r="2259" spans="2:2">
      <c r="B2259" s="251">
        <f ca="1" t="shared" si="142"/>
        <v>42049</v>
      </c>
    </row>
    <row r="2260" spans="2:2">
      <c r="B2260" s="251">
        <f ca="1" t="shared" si="142"/>
        <v>42048</v>
      </c>
    </row>
    <row r="2261" spans="2:2">
      <c r="B2261" s="251">
        <f ca="1" t="shared" si="142"/>
        <v>42047</v>
      </c>
    </row>
    <row r="2262" spans="2:2">
      <c r="B2262" s="251">
        <f ca="1" t="shared" si="142"/>
        <v>42046</v>
      </c>
    </row>
    <row r="2263" spans="2:2">
      <c r="B2263" s="251">
        <f ca="1" t="shared" si="142"/>
        <v>42045</v>
      </c>
    </row>
    <row r="2264" spans="2:2">
      <c r="B2264" s="251">
        <f ca="1" t="shared" si="142"/>
        <v>42044</v>
      </c>
    </row>
    <row r="2265" spans="2:2">
      <c r="B2265" s="251">
        <f ca="1" t="shared" ref="B2265:B2280" si="143">B2264-1</f>
        <v>42043</v>
      </c>
    </row>
    <row r="2266" spans="2:2">
      <c r="B2266" s="251">
        <f ca="1" t="shared" si="143"/>
        <v>42042</v>
      </c>
    </row>
    <row r="2267" spans="2:2">
      <c r="B2267" s="251">
        <f ca="1" t="shared" si="143"/>
        <v>42041</v>
      </c>
    </row>
    <row r="2268" spans="2:2">
      <c r="B2268" s="251">
        <f ca="1" t="shared" si="143"/>
        <v>42040</v>
      </c>
    </row>
    <row r="2269" spans="2:2">
      <c r="B2269" s="251">
        <f ca="1" t="shared" si="143"/>
        <v>42039</v>
      </c>
    </row>
    <row r="2270" spans="2:2">
      <c r="B2270" s="251">
        <f ca="1" t="shared" si="143"/>
        <v>42038</v>
      </c>
    </row>
    <row r="2271" spans="2:2">
      <c r="B2271" s="251">
        <f ca="1" t="shared" si="143"/>
        <v>42037</v>
      </c>
    </row>
    <row r="2272" spans="2:2">
      <c r="B2272" s="251">
        <f ca="1" t="shared" si="143"/>
        <v>42036</v>
      </c>
    </row>
    <row r="2273" spans="2:2">
      <c r="B2273" s="251">
        <f ca="1" t="shared" si="143"/>
        <v>42035</v>
      </c>
    </row>
    <row r="2274" spans="2:2">
      <c r="B2274" s="251">
        <f ca="1" t="shared" si="143"/>
        <v>42034</v>
      </c>
    </row>
    <row r="2275" spans="2:2">
      <c r="B2275" s="251">
        <f ca="1" t="shared" si="143"/>
        <v>42033</v>
      </c>
    </row>
    <row r="2276" spans="2:2">
      <c r="B2276" s="251">
        <f ca="1" t="shared" si="143"/>
        <v>42032</v>
      </c>
    </row>
    <row r="2277" spans="2:2">
      <c r="B2277" s="251">
        <f ca="1" t="shared" si="143"/>
        <v>42031</v>
      </c>
    </row>
    <row r="2278" spans="2:2">
      <c r="B2278" s="251">
        <f ca="1" t="shared" si="143"/>
        <v>42030</v>
      </c>
    </row>
    <row r="2279" spans="2:2">
      <c r="B2279" s="251">
        <f ca="1" t="shared" si="143"/>
        <v>42029</v>
      </c>
    </row>
    <row r="2280" spans="2:2">
      <c r="B2280" s="251">
        <f ca="1" t="shared" si="143"/>
        <v>42028</v>
      </c>
    </row>
    <row r="2281" spans="2:2">
      <c r="B2281" s="251">
        <f ca="1" t="shared" ref="B2281:B2296" si="144">B2280-1</f>
        <v>42027</v>
      </c>
    </row>
    <row r="2282" spans="2:2">
      <c r="B2282" s="251">
        <f ca="1" t="shared" si="144"/>
        <v>42026</v>
      </c>
    </row>
    <row r="2283" spans="2:2">
      <c r="B2283" s="251">
        <f ca="1" t="shared" si="144"/>
        <v>42025</v>
      </c>
    </row>
    <row r="2284" spans="2:2">
      <c r="B2284" s="251">
        <f ca="1" t="shared" si="144"/>
        <v>42024</v>
      </c>
    </row>
    <row r="2285" spans="2:2">
      <c r="B2285" s="251">
        <f ca="1" t="shared" si="144"/>
        <v>42023</v>
      </c>
    </row>
    <row r="2286" spans="2:2">
      <c r="B2286" s="251">
        <f ca="1" t="shared" si="144"/>
        <v>42022</v>
      </c>
    </row>
    <row r="2287" spans="2:2">
      <c r="B2287" s="251">
        <f ca="1" t="shared" si="144"/>
        <v>42021</v>
      </c>
    </row>
    <row r="2288" spans="2:2">
      <c r="B2288" s="251">
        <f ca="1" t="shared" si="144"/>
        <v>42020</v>
      </c>
    </row>
    <row r="2289" spans="2:2">
      <c r="B2289" s="251">
        <f ca="1" t="shared" si="144"/>
        <v>42019</v>
      </c>
    </row>
    <row r="2290" spans="2:2">
      <c r="B2290" s="251">
        <f ca="1" t="shared" si="144"/>
        <v>42018</v>
      </c>
    </row>
    <row r="2291" spans="2:2">
      <c r="B2291" s="251">
        <f ca="1" t="shared" si="144"/>
        <v>42017</v>
      </c>
    </row>
    <row r="2292" spans="2:2">
      <c r="B2292" s="251">
        <f ca="1" t="shared" si="144"/>
        <v>42016</v>
      </c>
    </row>
    <row r="2293" spans="2:2">
      <c r="B2293" s="251">
        <f ca="1" t="shared" si="144"/>
        <v>42015</v>
      </c>
    </row>
    <row r="2294" spans="2:2">
      <c r="B2294" s="251">
        <f ca="1" t="shared" si="144"/>
        <v>42014</v>
      </c>
    </row>
    <row r="2295" spans="2:2">
      <c r="B2295" s="251">
        <f ca="1" t="shared" si="144"/>
        <v>42013</v>
      </c>
    </row>
    <row r="2296" spans="2:2">
      <c r="B2296" s="251">
        <f ca="1" t="shared" si="144"/>
        <v>42012</v>
      </c>
    </row>
    <row r="2297" spans="2:2">
      <c r="B2297" s="251">
        <f ca="1" t="shared" ref="B2297:B2312" si="145">B2296-1</f>
        <v>42011</v>
      </c>
    </row>
    <row r="2298" spans="2:2">
      <c r="B2298" s="251">
        <f ca="1" t="shared" si="145"/>
        <v>42010</v>
      </c>
    </row>
    <row r="2299" spans="2:2">
      <c r="B2299" s="251">
        <f ca="1" t="shared" si="145"/>
        <v>42009</v>
      </c>
    </row>
    <row r="2300" spans="2:2">
      <c r="B2300" s="251">
        <f ca="1" t="shared" si="145"/>
        <v>42008</v>
      </c>
    </row>
    <row r="2301" spans="2:2">
      <c r="B2301" s="251">
        <f ca="1" t="shared" si="145"/>
        <v>42007</v>
      </c>
    </row>
    <row r="2302" spans="2:2">
      <c r="B2302" s="251">
        <f ca="1" t="shared" si="145"/>
        <v>42006</v>
      </c>
    </row>
    <row r="2303" spans="2:2">
      <c r="B2303" s="251">
        <f ca="1" t="shared" si="145"/>
        <v>42005</v>
      </c>
    </row>
    <row r="2304" spans="2:2">
      <c r="B2304" s="251">
        <f ca="1" t="shared" si="145"/>
        <v>42004</v>
      </c>
    </row>
    <row r="2305" spans="2:2">
      <c r="B2305" s="251">
        <f ca="1" t="shared" si="145"/>
        <v>42003</v>
      </c>
    </row>
    <row r="2306" spans="2:2">
      <c r="B2306" s="251">
        <f ca="1" t="shared" si="145"/>
        <v>42002</v>
      </c>
    </row>
    <row r="2307" spans="2:2">
      <c r="B2307" s="251">
        <f ca="1" t="shared" si="145"/>
        <v>42001</v>
      </c>
    </row>
    <row r="2308" spans="2:2">
      <c r="B2308" s="251">
        <f ca="1" t="shared" si="145"/>
        <v>42000</v>
      </c>
    </row>
    <row r="2309" spans="2:2">
      <c r="B2309" s="251">
        <f ca="1" t="shared" si="145"/>
        <v>41999</v>
      </c>
    </row>
    <row r="2310" spans="2:2">
      <c r="B2310" s="251">
        <f ca="1" t="shared" si="145"/>
        <v>41998</v>
      </c>
    </row>
    <row r="2311" spans="2:2">
      <c r="B2311" s="251">
        <f ca="1" t="shared" si="145"/>
        <v>41997</v>
      </c>
    </row>
    <row r="2312" spans="2:2">
      <c r="B2312" s="251">
        <f ca="1" t="shared" si="145"/>
        <v>41996</v>
      </c>
    </row>
    <row r="2313" spans="2:2">
      <c r="B2313" s="251">
        <f ca="1" t="shared" ref="B2313:B2328" si="146">B2312-1</f>
        <v>41995</v>
      </c>
    </row>
    <row r="2314" spans="2:2">
      <c r="B2314" s="251">
        <f ca="1" t="shared" si="146"/>
        <v>41994</v>
      </c>
    </row>
    <row r="2315" spans="2:2">
      <c r="B2315" s="251">
        <f ca="1" t="shared" si="146"/>
        <v>41993</v>
      </c>
    </row>
    <row r="2316" spans="2:2">
      <c r="B2316" s="251">
        <f ca="1" t="shared" si="146"/>
        <v>41992</v>
      </c>
    </row>
    <row r="2317" spans="2:2">
      <c r="B2317" s="251">
        <f ca="1" t="shared" si="146"/>
        <v>41991</v>
      </c>
    </row>
    <row r="2318" spans="2:2">
      <c r="B2318" s="251">
        <f ca="1" t="shared" si="146"/>
        <v>41990</v>
      </c>
    </row>
    <row r="2319" spans="2:2">
      <c r="B2319" s="251">
        <f ca="1" t="shared" si="146"/>
        <v>41989</v>
      </c>
    </row>
    <row r="2320" spans="2:2">
      <c r="B2320" s="251">
        <f ca="1" t="shared" si="146"/>
        <v>41988</v>
      </c>
    </row>
    <row r="2321" spans="2:2">
      <c r="B2321" s="251">
        <f ca="1" t="shared" si="146"/>
        <v>41987</v>
      </c>
    </row>
    <row r="2322" spans="2:2">
      <c r="B2322" s="251">
        <f ca="1" t="shared" si="146"/>
        <v>41986</v>
      </c>
    </row>
    <row r="2323" spans="2:2">
      <c r="B2323" s="251">
        <f ca="1" t="shared" si="146"/>
        <v>41985</v>
      </c>
    </row>
    <row r="2324" spans="2:2">
      <c r="B2324" s="251">
        <f ca="1" t="shared" si="146"/>
        <v>41984</v>
      </c>
    </row>
    <row r="2325" spans="2:2">
      <c r="B2325" s="251">
        <f ca="1" t="shared" si="146"/>
        <v>41983</v>
      </c>
    </row>
    <row r="2326" spans="2:2">
      <c r="B2326" s="251">
        <f ca="1" t="shared" si="146"/>
        <v>41982</v>
      </c>
    </row>
    <row r="2327" spans="2:2">
      <c r="B2327" s="251">
        <f ca="1" t="shared" si="146"/>
        <v>41981</v>
      </c>
    </row>
    <row r="2328" spans="2:2">
      <c r="B2328" s="251">
        <f ca="1" t="shared" si="146"/>
        <v>41980</v>
      </c>
    </row>
    <row r="2329" spans="2:2">
      <c r="B2329" s="251">
        <f ca="1" t="shared" ref="B2329:B2344" si="147">B2328-1</f>
        <v>41979</v>
      </c>
    </row>
    <row r="2330" spans="2:2">
      <c r="B2330" s="251">
        <f ca="1" t="shared" si="147"/>
        <v>41978</v>
      </c>
    </row>
    <row r="2331" spans="2:2">
      <c r="B2331" s="251">
        <f ca="1" t="shared" si="147"/>
        <v>41977</v>
      </c>
    </row>
    <row r="2332" spans="2:2">
      <c r="B2332" s="251">
        <f ca="1" t="shared" si="147"/>
        <v>41976</v>
      </c>
    </row>
    <row r="2333" spans="2:2">
      <c r="B2333" s="251">
        <f ca="1" t="shared" si="147"/>
        <v>41975</v>
      </c>
    </row>
    <row r="2334" spans="2:2">
      <c r="B2334" s="251">
        <f ca="1" t="shared" si="147"/>
        <v>41974</v>
      </c>
    </row>
    <row r="2335" spans="2:2">
      <c r="B2335" s="251">
        <f ca="1" t="shared" si="147"/>
        <v>41973</v>
      </c>
    </row>
    <row r="2336" spans="2:2">
      <c r="B2336" s="251">
        <f ca="1" t="shared" si="147"/>
        <v>41972</v>
      </c>
    </row>
    <row r="2337" spans="2:2">
      <c r="B2337" s="251">
        <f ca="1" t="shared" si="147"/>
        <v>41971</v>
      </c>
    </row>
    <row r="2338" spans="2:2">
      <c r="B2338" s="251">
        <f ca="1" t="shared" si="147"/>
        <v>41970</v>
      </c>
    </row>
    <row r="2339" spans="2:2">
      <c r="B2339" s="251">
        <f ca="1" t="shared" si="147"/>
        <v>41969</v>
      </c>
    </row>
    <row r="2340" spans="2:2">
      <c r="B2340" s="251">
        <f ca="1" t="shared" si="147"/>
        <v>41968</v>
      </c>
    </row>
    <row r="2341" spans="2:2">
      <c r="B2341" s="251">
        <f ca="1" t="shared" si="147"/>
        <v>41967</v>
      </c>
    </row>
    <row r="2342" spans="2:2">
      <c r="B2342" s="251">
        <f ca="1" t="shared" si="147"/>
        <v>41966</v>
      </c>
    </row>
    <row r="2343" spans="2:2">
      <c r="B2343" s="251">
        <f ca="1" t="shared" si="147"/>
        <v>41965</v>
      </c>
    </row>
    <row r="2344" spans="2:2">
      <c r="B2344" s="251">
        <f ca="1" t="shared" si="147"/>
        <v>41964</v>
      </c>
    </row>
    <row r="2345" spans="2:2">
      <c r="B2345" s="251">
        <f ca="1" t="shared" ref="B2345:B2360" si="148">B2344-1</f>
        <v>41963</v>
      </c>
    </row>
    <row r="2346" spans="2:2">
      <c r="B2346" s="251">
        <f ca="1" t="shared" si="148"/>
        <v>41962</v>
      </c>
    </row>
    <row r="2347" spans="2:2">
      <c r="B2347" s="251">
        <f ca="1" t="shared" si="148"/>
        <v>41961</v>
      </c>
    </row>
    <row r="2348" spans="2:2">
      <c r="B2348" s="251">
        <f ca="1" t="shared" si="148"/>
        <v>41960</v>
      </c>
    </row>
    <row r="2349" spans="2:2">
      <c r="B2349" s="251">
        <f ca="1" t="shared" si="148"/>
        <v>41959</v>
      </c>
    </row>
    <row r="2350" spans="2:2">
      <c r="B2350" s="251">
        <f ca="1" t="shared" si="148"/>
        <v>41958</v>
      </c>
    </row>
    <row r="2351" spans="2:2">
      <c r="B2351" s="251">
        <f ca="1" t="shared" si="148"/>
        <v>41957</v>
      </c>
    </row>
    <row r="2352" spans="2:2">
      <c r="B2352" s="251">
        <f ca="1" t="shared" si="148"/>
        <v>41956</v>
      </c>
    </row>
    <row r="2353" spans="2:2">
      <c r="B2353" s="251">
        <f ca="1" t="shared" si="148"/>
        <v>41955</v>
      </c>
    </row>
    <row r="2354" spans="2:2">
      <c r="B2354" s="251">
        <f ca="1" t="shared" si="148"/>
        <v>41954</v>
      </c>
    </row>
    <row r="2355" spans="2:2">
      <c r="B2355" s="251">
        <f ca="1" t="shared" si="148"/>
        <v>41953</v>
      </c>
    </row>
    <row r="2356" spans="2:2">
      <c r="B2356" s="251">
        <f ca="1" t="shared" si="148"/>
        <v>41952</v>
      </c>
    </row>
    <row r="2357" spans="2:2">
      <c r="B2357" s="251">
        <f ca="1" t="shared" si="148"/>
        <v>41951</v>
      </c>
    </row>
    <row r="2358" spans="2:2">
      <c r="B2358" s="251">
        <f ca="1" t="shared" si="148"/>
        <v>41950</v>
      </c>
    </row>
    <row r="2359" spans="2:2">
      <c r="B2359" s="251">
        <f ca="1" t="shared" si="148"/>
        <v>41949</v>
      </c>
    </row>
    <row r="2360" spans="2:2">
      <c r="B2360" s="251">
        <f ca="1" t="shared" si="148"/>
        <v>41948</v>
      </c>
    </row>
    <row r="2361" spans="2:2">
      <c r="B2361" s="251">
        <f ca="1" t="shared" ref="B2361:B2376" si="149">B2360-1</f>
        <v>41947</v>
      </c>
    </row>
    <row r="2362" spans="2:2">
      <c r="B2362" s="251">
        <f ca="1" t="shared" si="149"/>
        <v>41946</v>
      </c>
    </row>
    <row r="2363" spans="2:2">
      <c r="B2363" s="251">
        <f ca="1" t="shared" si="149"/>
        <v>41945</v>
      </c>
    </row>
    <row r="2364" spans="2:2">
      <c r="B2364" s="251">
        <f ca="1" t="shared" si="149"/>
        <v>41944</v>
      </c>
    </row>
    <row r="2365" spans="2:2">
      <c r="B2365" s="251">
        <f ca="1" t="shared" si="149"/>
        <v>41943</v>
      </c>
    </row>
    <row r="2366" spans="2:2">
      <c r="B2366" s="251">
        <f ca="1" t="shared" si="149"/>
        <v>41942</v>
      </c>
    </row>
    <row r="2367" spans="2:2">
      <c r="B2367" s="251">
        <f ca="1" t="shared" si="149"/>
        <v>41941</v>
      </c>
    </row>
    <row r="2368" spans="2:2">
      <c r="B2368" s="251">
        <f ca="1" t="shared" si="149"/>
        <v>41940</v>
      </c>
    </row>
    <row r="2369" spans="2:2">
      <c r="B2369" s="251">
        <f ca="1" t="shared" si="149"/>
        <v>41939</v>
      </c>
    </row>
    <row r="2370" spans="2:2">
      <c r="B2370" s="251">
        <f ca="1" t="shared" si="149"/>
        <v>41938</v>
      </c>
    </row>
    <row r="2371" spans="2:2">
      <c r="B2371" s="251">
        <f ca="1" t="shared" si="149"/>
        <v>41937</v>
      </c>
    </row>
    <row r="2372" spans="2:2">
      <c r="B2372" s="251">
        <f ca="1" t="shared" si="149"/>
        <v>41936</v>
      </c>
    </row>
    <row r="2373" spans="2:2">
      <c r="B2373" s="251">
        <f ca="1" t="shared" si="149"/>
        <v>41935</v>
      </c>
    </row>
    <row r="2374" spans="2:2">
      <c r="B2374" s="251">
        <f ca="1" t="shared" si="149"/>
        <v>41934</v>
      </c>
    </row>
    <row r="2375" spans="2:2">
      <c r="B2375" s="251">
        <f ca="1" t="shared" si="149"/>
        <v>41933</v>
      </c>
    </row>
    <row r="2376" spans="2:2">
      <c r="B2376" s="251">
        <f ca="1" t="shared" si="149"/>
        <v>41932</v>
      </c>
    </row>
    <row r="2377" spans="2:2">
      <c r="B2377" s="251">
        <f ca="1" t="shared" ref="B2377:B2392" si="150">B2376-1</f>
        <v>41931</v>
      </c>
    </row>
    <row r="2378" spans="2:2">
      <c r="B2378" s="251">
        <f ca="1" t="shared" si="150"/>
        <v>41930</v>
      </c>
    </row>
    <row r="2379" spans="2:2">
      <c r="B2379" s="251">
        <f ca="1" t="shared" si="150"/>
        <v>41929</v>
      </c>
    </row>
    <row r="2380" spans="2:2">
      <c r="B2380" s="251">
        <f ca="1" t="shared" si="150"/>
        <v>41928</v>
      </c>
    </row>
    <row r="2381" spans="2:2">
      <c r="B2381" s="251">
        <f ca="1" t="shared" si="150"/>
        <v>41927</v>
      </c>
    </row>
    <row r="2382" spans="2:2">
      <c r="B2382" s="251">
        <f ca="1" t="shared" si="150"/>
        <v>41926</v>
      </c>
    </row>
    <row r="2383" spans="2:2">
      <c r="B2383" s="251">
        <f ca="1" t="shared" si="150"/>
        <v>41925</v>
      </c>
    </row>
    <row r="2384" spans="2:2">
      <c r="B2384" s="251">
        <f ca="1" t="shared" si="150"/>
        <v>41924</v>
      </c>
    </row>
    <row r="2385" spans="2:2">
      <c r="B2385" s="251">
        <f ca="1" t="shared" si="150"/>
        <v>41923</v>
      </c>
    </row>
    <row r="2386" spans="2:2">
      <c r="B2386" s="251">
        <f ca="1" t="shared" si="150"/>
        <v>41922</v>
      </c>
    </row>
    <row r="2387" spans="2:2">
      <c r="B2387" s="251">
        <f ca="1" t="shared" si="150"/>
        <v>41921</v>
      </c>
    </row>
    <row r="2388" spans="2:2">
      <c r="B2388" s="251">
        <f ca="1" t="shared" si="150"/>
        <v>41920</v>
      </c>
    </row>
    <row r="2389" spans="2:2">
      <c r="B2389" s="251">
        <f ca="1" t="shared" si="150"/>
        <v>41919</v>
      </c>
    </row>
    <row r="2390" spans="2:2">
      <c r="B2390" s="251">
        <f ca="1" t="shared" si="150"/>
        <v>41918</v>
      </c>
    </row>
    <row r="2391" spans="2:2">
      <c r="B2391" s="251">
        <f ca="1" t="shared" si="150"/>
        <v>41917</v>
      </c>
    </row>
    <row r="2392" spans="2:2">
      <c r="B2392" s="251">
        <f ca="1" t="shared" si="150"/>
        <v>41916</v>
      </c>
    </row>
    <row r="2393" spans="2:2">
      <c r="B2393" s="251">
        <f ca="1" t="shared" ref="B2393:B2408" si="151">B2392-1</f>
        <v>41915</v>
      </c>
    </row>
    <row r="2394" spans="2:2">
      <c r="B2394" s="251">
        <f ca="1" t="shared" si="151"/>
        <v>41914</v>
      </c>
    </row>
    <row r="2395" spans="2:2">
      <c r="B2395" s="251">
        <f ca="1" t="shared" si="151"/>
        <v>41913</v>
      </c>
    </row>
    <row r="2396" spans="2:2">
      <c r="B2396" s="251">
        <f ca="1" t="shared" si="151"/>
        <v>41912</v>
      </c>
    </row>
    <row r="2397" spans="2:2">
      <c r="B2397" s="251">
        <f ca="1" t="shared" si="151"/>
        <v>41911</v>
      </c>
    </row>
    <row r="2398" spans="2:2">
      <c r="B2398" s="251">
        <f ca="1" t="shared" si="151"/>
        <v>41910</v>
      </c>
    </row>
    <row r="2399" spans="2:2">
      <c r="B2399" s="251">
        <f ca="1" t="shared" si="151"/>
        <v>41909</v>
      </c>
    </row>
    <row r="2400" spans="2:2">
      <c r="B2400" s="251">
        <f ca="1" t="shared" si="151"/>
        <v>41908</v>
      </c>
    </row>
    <row r="2401" spans="2:2">
      <c r="B2401" s="251">
        <f ca="1" t="shared" si="151"/>
        <v>41907</v>
      </c>
    </row>
    <row r="2402" spans="2:2">
      <c r="B2402" s="251">
        <f ca="1" t="shared" si="151"/>
        <v>41906</v>
      </c>
    </row>
    <row r="2403" spans="2:2">
      <c r="B2403" s="251">
        <f ca="1" t="shared" si="151"/>
        <v>41905</v>
      </c>
    </row>
    <row r="2404" spans="2:2">
      <c r="B2404" s="251">
        <f ca="1" t="shared" si="151"/>
        <v>41904</v>
      </c>
    </row>
    <row r="2405" spans="2:2">
      <c r="B2405" s="251">
        <f ca="1" t="shared" si="151"/>
        <v>41903</v>
      </c>
    </row>
    <row r="2406" spans="2:2">
      <c r="B2406" s="251">
        <f ca="1" t="shared" si="151"/>
        <v>41902</v>
      </c>
    </row>
    <row r="2407" spans="2:2">
      <c r="B2407" s="251">
        <f ca="1" t="shared" si="151"/>
        <v>41901</v>
      </c>
    </row>
    <row r="2408" spans="2:2">
      <c r="B2408" s="251">
        <f ca="1" t="shared" si="151"/>
        <v>41900</v>
      </c>
    </row>
    <row r="2409" spans="2:2">
      <c r="B2409" s="251">
        <f ca="1" t="shared" ref="B2409:B2424" si="152">B2408-1</f>
        <v>41899</v>
      </c>
    </row>
    <row r="2410" spans="2:2">
      <c r="B2410" s="251">
        <f ca="1" t="shared" si="152"/>
        <v>41898</v>
      </c>
    </row>
    <row r="2411" spans="2:2">
      <c r="B2411" s="251">
        <f ca="1" t="shared" si="152"/>
        <v>41897</v>
      </c>
    </row>
    <row r="2412" spans="2:2">
      <c r="B2412" s="251">
        <f ca="1" t="shared" si="152"/>
        <v>41896</v>
      </c>
    </row>
    <row r="2413" spans="2:2">
      <c r="B2413" s="251">
        <f ca="1" t="shared" si="152"/>
        <v>41895</v>
      </c>
    </row>
    <row r="2414" spans="2:2">
      <c r="B2414" s="251">
        <f ca="1" t="shared" si="152"/>
        <v>41894</v>
      </c>
    </row>
    <row r="2415" spans="2:2">
      <c r="B2415" s="251">
        <f ca="1" t="shared" si="152"/>
        <v>41893</v>
      </c>
    </row>
    <row r="2416" spans="2:2">
      <c r="B2416" s="251">
        <f ca="1" t="shared" si="152"/>
        <v>41892</v>
      </c>
    </row>
    <row r="2417" spans="2:2">
      <c r="B2417" s="251">
        <f ca="1" t="shared" si="152"/>
        <v>41891</v>
      </c>
    </row>
    <row r="2418" spans="2:2">
      <c r="B2418" s="251">
        <f ca="1" t="shared" si="152"/>
        <v>41890</v>
      </c>
    </row>
    <row r="2419" spans="2:2">
      <c r="B2419" s="251">
        <f ca="1" t="shared" si="152"/>
        <v>41889</v>
      </c>
    </row>
    <row r="2420" spans="2:2">
      <c r="B2420" s="251">
        <f ca="1" t="shared" si="152"/>
        <v>41888</v>
      </c>
    </row>
    <row r="2421" spans="2:2">
      <c r="B2421" s="251">
        <f ca="1" t="shared" si="152"/>
        <v>41887</v>
      </c>
    </row>
    <row r="2422" spans="2:2">
      <c r="B2422" s="251">
        <f ca="1" t="shared" si="152"/>
        <v>41886</v>
      </c>
    </row>
    <row r="2423" spans="2:2">
      <c r="B2423" s="251">
        <f ca="1" t="shared" si="152"/>
        <v>41885</v>
      </c>
    </row>
    <row r="2424" spans="2:2">
      <c r="B2424" s="251">
        <f ca="1" t="shared" si="152"/>
        <v>41884</v>
      </c>
    </row>
    <row r="2425" spans="2:2">
      <c r="B2425" s="251">
        <f ca="1" t="shared" ref="B2425:B2440" si="153">B2424-1</f>
        <v>41883</v>
      </c>
    </row>
    <row r="2426" spans="2:2">
      <c r="B2426" s="251">
        <f ca="1" t="shared" si="153"/>
        <v>41882</v>
      </c>
    </row>
    <row r="2427" spans="2:2">
      <c r="B2427" s="251">
        <f ca="1" t="shared" si="153"/>
        <v>41881</v>
      </c>
    </row>
    <row r="2428" spans="2:2">
      <c r="B2428" s="251">
        <f ca="1" t="shared" si="153"/>
        <v>41880</v>
      </c>
    </row>
    <row r="2429" spans="2:2">
      <c r="B2429" s="251">
        <f ca="1" t="shared" si="153"/>
        <v>41879</v>
      </c>
    </row>
    <row r="2430" spans="2:2">
      <c r="B2430" s="251">
        <f ca="1" t="shared" si="153"/>
        <v>41878</v>
      </c>
    </row>
    <row r="2431" spans="2:2">
      <c r="B2431" s="251">
        <f ca="1" t="shared" si="153"/>
        <v>41877</v>
      </c>
    </row>
    <row r="2432" spans="2:2">
      <c r="B2432" s="251">
        <f ca="1" t="shared" si="153"/>
        <v>41876</v>
      </c>
    </row>
    <row r="2433" spans="2:2">
      <c r="B2433" s="251">
        <f ca="1" t="shared" si="153"/>
        <v>41875</v>
      </c>
    </row>
    <row r="2434" spans="2:2">
      <c r="B2434" s="251">
        <f ca="1" t="shared" si="153"/>
        <v>41874</v>
      </c>
    </row>
    <row r="2435" spans="2:2">
      <c r="B2435" s="251">
        <f ca="1" t="shared" si="153"/>
        <v>41873</v>
      </c>
    </row>
    <row r="2436" spans="2:2">
      <c r="B2436" s="251">
        <f ca="1" t="shared" si="153"/>
        <v>41872</v>
      </c>
    </row>
    <row r="2437" spans="2:2">
      <c r="B2437" s="251">
        <f ca="1" t="shared" si="153"/>
        <v>41871</v>
      </c>
    </row>
    <row r="2438" spans="2:2">
      <c r="B2438" s="251">
        <f ca="1" t="shared" si="153"/>
        <v>41870</v>
      </c>
    </row>
    <row r="2439" spans="2:2">
      <c r="B2439" s="251">
        <f ca="1" t="shared" si="153"/>
        <v>41869</v>
      </c>
    </row>
    <row r="2440" spans="2:2">
      <c r="B2440" s="251">
        <f ca="1" t="shared" si="153"/>
        <v>41868</v>
      </c>
    </row>
    <row r="2441" spans="2:2">
      <c r="B2441" s="251">
        <f ca="1" t="shared" ref="B2441:B2456" si="154">B2440-1</f>
        <v>41867</v>
      </c>
    </row>
    <row r="2442" spans="2:2">
      <c r="B2442" s="251">
        <f ca="1" t="shared" si="154"/>
        <v>41866</v>
      </c>
    </row>
    <row r="2443" spans="2:2">
      <c r="B2443" s="251">
        <f ca="1" t="shared" si="154"/>
        <v>41865</v>
      </c>
    </row>
    <row r="2444" spans="2:2">
      <c r="B2444" s="251">
        <f ca="1" t="shared" si="154"/>
        <v>41864</v>
      </c>
    </row>
    <row r="2445" spans="2:2">
      <c r="B2445" s="251">
        <f ca="1" t="shared" si="154"/>
        <v>41863</v>
      </c>
    </row>
    <row r="2446" spans="2:2">
      <c r="B2446" s="251">
        <f ca="1" t="shared" si="154"/>
        <v>41862</v>
      </c>
    </row>
    <row r="2447" spans="2:2">
      <c r="B2447" s="251">
        <f ca="1" t="shared" si="154"/>
        <v>41861</v>
      </c>
    </row>
    <row r="2448" spans="2:2">
      <c r="B2448" s="251">
        <f ca="1" t="shared" si="154"/>
        <v>41860</v>
      </c>
    </row>
    <row r="2449" spans="2:2">
      <c r="B2449" s="251">
        <f ca="1" t="shared" si="154"/>
        <v>41859</v>
      </c>
    </row>
    <row r="2450" spans="2:2">
      <c r="B2450" s="251">
        <f ca="1" t="shared" si="154"/>
        <v>41858</v>
      </c>
    </row>
    <row r="2451" spans="2:2">
      <c r="B2451" s="251">
        <f ca="1" t="shared" si="154"/>
        <v>41857</v>
      </c>
    </row>
    <row r="2452" spans="2:2">
      <c r="B2452" s="251">
        <f ca="1" t="shared" si="154"/>
        <v>41856</v>
      </c>
    </row>
    <row r="2453" spans="2:2">
      <c r="B2453" s="251">
        <f ca="1" t="shared" si="154"/>
        <v>41855</v>
      </c>
    </row>
    <row r="2454" spans="2:2">
      <c r="B2454" s="251">
        <f ca="1" t="shared" si="154"/>
        <v>41854</v>
      </c>
    </row>
    <row r="2455" spans="2:2">
      <c r="B2455" s="251">
        <f ca="1" t="shared" si="154"/>
        <v>41853</v>
      </c>
    </row>
    <row r="2456" spans="2:2">
      <c r="B2456" s="251">
        <f ca="1" t="shared" si="154"/>
        <v>41852</v>
      </c>
    </row>
    <row r="2457" spans="2:2">
      <c r="B2457" s="251">
        <f ca="1" t="shared" ref="B2457:B2472" si="155">B2456-1</f>
        <v>41851</v>
      </c>
    </row>
    <row r="2458" spans="2:2">
      <c r="B2458" s="251">
        <f ca="1" t="shared" si="155"/>
        <v>41850</v>
      </c>
    </row>
    <row r="2459" spans="2:2">
      <c r="B2459" s="251">
        <f ca="1" t="shared" si="155"/>
        <v>41849</v>
      </c>
    </row>
    <row r="2460" spans="2:2">
      <c r="B2460" s="251">
        <f ca="1" t="shared" si="155"/>
        <v>41848</v>
      </c>
    </row>
    <row r="2461" spans="2:2">
      <c r="B2461" s="251">
        <f ca="1" t="shared" si="155"/>
        <v>41847</v>
      </c>
    </row>
    <row r="2462" spans="2:2">
      <c r="B2462" s="251">
        <f ca="1" t="shared" si="155"/>
        <v>41846</v>
      </c>
    </row>
    <row r="2463" spans="2:2">
      <c r="B2463" s="251">
        <f ca="1" t="shared" si="155"/>
        <v>41845</v>
      </c>
    </row>
    <row r="2464" spans="2:2">
      <c r="B2464" s="251">
        <f ca="1" t="shared" si="155"/>
        <v>41844</v>
      </c>
    </row>
    <row r="2465" spans="2:2">
      <c r="B2465" s="251">
        <f ca="1" t="shared" si="155"/>
        <v>41843</v>
      </c>
    </row>
    <row r="2466" spans="2:2">
      <c r="B2466" s="251">
        <f ca="1" t="shared" si="155"/>
        <v>41842</v>
      </c>
    </row>
    <row r="2467" spans="2:2">
      <c r="B2467" s="251">
        <f ca="1" t="shared" si="155"/>
        <v>41841</v>
      </c>
    </row>
    <row r="2468" spans="2:2">
      <c r="B2468" s="251">
        <f ca="1" t="shared" si="155"/>
        <v>41840</v>
      </c>
    </row>
    <row r="2469" spans="2:2">
      <c r="B2469" s="251">
        <f ca="1" t="shared" si="155"/>
        <v>41839</v>
      </c>
    </row>
    <row r="2470" spans="2:2">
      <c r="B2470" s="251">
        <f ca="1" t="shared" si="155"/>
        <v>41838</v>
      </c>
    </row>
    <row r="2471" spans="2:2">
      <c r="B2471" s="251">
        <f ca="1" t="shared" si="155"/>
        <v>41837</v>
      </c>
    </row>
    <row r="2472" spans="2:2">
      <c r="B2472" s="251">
        <f ca="1" t="shared" si="155"/>
        <v>41836</v>
      </c>
    </row>
    <row r="2473" spans="2:2">
      <c r="B2473" s="251">
        <f ca="1" t="shared" ref="B2473:B2488" si="156">B2472-1</f>
        <v>41835</v>
      </c>
    </row>
    <row r="2474" spans="2:2">
      <c r="B2474" s="251">
        <f ca="1" t="shared" si="156"/>
        <v>41834</v>
      </c>
    </row>
    <row r="2475" spans="2:2">
      <c r="B2475" s="251">
        <f ca="1" t="shared" si="156"/>
        <v>41833</v>
      </c>
    </row>
    <row r="2476" spans="2:2">
      <c r="B2476" s="251">
        <f ca="1" t="shared" si="156"/>
        <v>41832</v>
      </c>
    </row>
    <row r="2477" spans="2:2">
      <c r="B2477" s="251">
        <f ca="1" t="shared" si="156"/>
        <v>41831</v>
      </c>
    </row>
    <row r="2478" spans="2:2">
      <c r="B2478" s="251">
        <f ca="1" t="shared" si="156"/>
        <v>41830</v>
      </c>
    </row>
    <row r="2479" spans="2:2">
      <c r="B2479" s="251">
        <f ca="1" t="shared" si="156"/>
        <v>41829</v>
      </c>
    </row>
    <row r="2480" spans="2:2">
      <c r="B2480" s="251">
        <f ca="1" t="shared" si="156"/>
        <v>41828</v>
      </c>
    </row>
    <row r="2481" spans="2:2">
      <c r="B2481" s="251">
        <f ca="1" t="shared" si="156"/>
        <v>41827</v>
      </c>
    </row>
    <row r="2482" spans="2:2">
      <c r="B2482" s="251">
        <f ca="1" t="shared" si="156"/>
        <v>41826</v>
      </c>
    </row>
    <row r="2483" spans="2:2">
      <c r="B2483" s="251">
        <f ca="1" t="shared" si="156"/>
        <v>41825</v>
      </c>
    </row>
    <row r="2484" spans="2:2">
      <c r="B2484" s="251">
        <f ca="1" t="shared" si="156"/>
        <v>41824</v>
      </c>
    </row>
    <row r="2485" spans="2:2">
      <c r="B2485" s="251">
        <f ca="1" t="shared" si="156"/>
        <v>41823</v>
      </c>
    </row>
    <row r="2486" spans="2:2">
      <c r="B2486" s="251">
        <f ca="1" t="shared" si="156"/>
        <v>41822</v>
      </c>
    </row>
    <row r="2487" spans="2:2">
      <c r="B2487" s="251">
        <f ca="1" t="shared" si="156"/>
        <v>41821</v>
      </c>
    </row>
    <row r="2488" spans="2:2">
      <c r="B2488" s="251">
        <f ca="1" t="shared" si="156"/>
        <v>41820</v>
      </c>
    </row>
    <row r="2489" spans="2:2">
      <c r="B2489" s="251">
        <f ca="1" t="shared" ref="B2489:B2504" si="157">B2488-1</f>
        <v>41819</v>
      </c>
    </row>
    <row r="2490" spans="2:2">
      <c r="B2490" s="251">
        <f ca="1" t="shared" si="157"/>
        <v>41818</v>
      </c>
    </row>
    <row r="2491" spans="2:2">
      <c r="B2491" s="251">
        <f ca="1" t="shared" si="157"/>
        <v>41817</v>
      </c>
    </row>
    <row r="2492" spans="2:2">
      <c r="B2492" s="251">
        <f ca="1" t="shared" si="157"/>
        <v>41816</v>
      </c>
    </row>
    <row r="2493" spans="2:2">
      <c r="B2493" s="251">
        <f ca="1" t="shared" si="157"/>
        <v>41815</v>
      </c>
    </row>
    <row r="2494" spans="2:2">
      <c r="B2494" s="251">
        <f ca="1" t="shared" si="157"/>
        <v>41814</v>
      </c>
    </row>
    <row r="2495" spans="2:2">
      <c r="B2495" s="251">
        <f ca="1" t="shared" si="157"/>
        <v>41813</v>
      </c>
    </row>
    <row r="2496" spans="2:2">
      <c r="B2496" s="251">
        <f ca="1" t="shared" si="157"/>
        <v>41812</v>
      </c>
    </row>
    <row r="2497" spans="2:2">
      <c r="B2497" s="251">
        <f ca="1" t="shared" si="157"/>
        <v>41811</v>
      </c>
    </row>
    <row r="2498" spans="2:2">
      <c r="B2498" s="251">
        <f ca="1" t="shared" si="157"/>
        <v>41810</v>
      </c>
    </row>
    <row r="2499" spans="2:2">
      <c r="B2499" s="251">
        <f ca="1" t="shared" si="157"/>
        <v>41809</v>
      </c>
    </row>
    <row r="2500" spans="2:2">
      <c r="B2500" s="251">
        <f ca="1" t="shared" si="157"/>
        <v>41808</v>
      </c>
    </row>
    <row r="2501" spans="2:2">
      <c r="B2501" s="251">
        <f ca="1" t="shared" si="157"/>
        <v>41807</v>
      </c>
    </row>
    <row r="2502" spans="2:2">
      <c r="B2502" s="251">
        <f ca="1" t="shared" si="157"/>
        <v>41806</v>
      </c>
    </row>
    <row r="2503" spans="2:2">
      <c r="B2503" s="251">
        <f ca="1" t="shared" si="157"/>
        <v>41805</v>
      </c>
    </row>
    <row r="2504" spans="2:2">
      <c r="B2504" s="251">
        <f ca="1" t="shared" si="157"/>
        <v>41804</v>
      </c>
    </row>
    <row r="2505" spans="2:2">
      <c r="B2505" s="251">
        <f ca="1" t="shared" ref="B2505:B2520" si="158">B2504-1</f>
        <v>41803</v>
      </c>
    </row>
    <row r="2506" spans="2:2">
      <c r="B2506" s="251">
        <f ca="1" t="shared" si="158"/>
        <v>41802</v>
      </c>
    </row>
    <row r="2507" spans="2:2">
      <c r="B2507" s="251">
        <f ca="1" t="shared" si="158"/>
        <v>41801</v>
      </c>
    </row>
    <row r="2508" spans="2:2">
      <c r="B2508" s="251">
        <f ca="1" t="shared" si="158"/>
        <v>41800</v>
      </c>
    </row>
    <row r="2509" spans="2:2">
      <c r="B2509" s="251">
        <f ca="1" t="shared" si="158"/>
        <v>41799</v>
      </c>
    </row>
    <row r="2510" spans="2:2">
      <c r="B2510" s="251">
        <f ca="1" t="shared" si="158"/>
        <v>41798</v>
      </c>
    </row>
    <row r="2511" spans="2:2">
      <c r="B2511" s="251">
        <f ca="1" t="shared" si="158"/>
        <v>41797</v>
      </c>
    </row>
    <row r="2512" spans="2:2">
      <c r="B2512" s="251">
        <f ca="1" t="shared" si="158"/>
        <v>41796</v>
      </c>
    </row>
    <row r="2513" spans="2:2">
      <c r="B2513" s="251">
        <f ca="1" t="shared" si="158"/>
        <v>41795</v>
      </c>
    </row>
    <row r="2514" spans="2:2">
      <c r="B2514" s="251">
        <f ca="1" t="shared" si="158"/>
        <v>41794</v>
      </c>
    </row>
    <row r="2515" spans="2:2">
      <c r="B2515" s="251">
        <f ca="1" t="shared" si="158"/>
        <v>41793</v>
      </c>
    </row>
    <row r="2516" spans="2:2">
      <c r="B2516" s="251">
        <f ca="1" t="shared" si="158"/>
        <v>41792</v>
      </c>
    </row>
    <row r="2517" spans="2:2">
      <c r="B2517" s="251">
        <f ca="1" t="shared" si="158"/>
        <v>41791</v>
      </c>
    </row>
    <row r="2518" spans="2:2">
      <c r="B2518" s="251">
        <f ca="1" t="shared" si="158"/>
        <v>41790</v>
      </c>
    </row>
    <row r="2519" spans="2:2">
      <c r="B2519" s="251">
        <f ca="1" t="shared" si="158"/>
        <v>41789</v>
      </c>
    </row>
    <row r="2520" spans="2:2">
      <c r="B2520" s="251">
        <f ca="1" t="shared" si="158"/>
        <v>41788</v>
      </c>
    </row>
    <row r="2521" spans="2:2">
      <c r="B2521" s="251">
        <f ca="1" t="shared" ref="B2521:B2536" si="159">B2520-1</f>
        <v>41787</v>
      </c>
    </row>
    <row r="2522" spans="2:2">
      <c r="B2522" s="251">
        <f ca="1" t="shared" si="159"/>
        <v>41786</v>
      </c>
    </row>
    <row r="2523" spans="2:2">
      <c r="B2523" s="251">
        <f ca="1" t="shared" si="159"/>
        <v>41785</v>
      </c>
    </row>
    <row r="2524" spans="2:2">
      <c r="B2524" s="251">
        <f ca="1" t="shared" si="159"/>
        <v>41784</v>
      </c>
    </row>
    <row r="2525" spans="2:2">
      <c r="B2525" s="251">
        <f ca="1" t="shared" si="159"/>
        <v>41783</v>
      </c>
    </row>
    <row r="2526" spans="2:2">
      <c r="B2526" s="251">
        <f ca="1" t="shared" si="159"/>
        <v>41782</v>
      </c>
    </row>
    <row r="2527" spans="2:2">
      <c r="B2527" s="251">
        <f ca="1" t="shared" si="159"/>
        <v>41781</v>
      </c>
    </row>
    <row r="2528" spans="2:2">
      <c r="B2528" s="251">
        <f ca="1" t="shared" si="159"/>
        <v>41780</v>
      </c>
    </row>
    <row r="2529" spans="2:2">
      <c r="B2529" s="251">
        <f ca="1" t="shared" si="159"/>
        <v>41779</v>
      </c>
    </row>
    <row r="2530" spans="2:2">
      <c r="B2530" s="251">
        <f ca="1" t="shared" si="159"/>
        <v>41778</v>
      </c>
    </row>
    <row r="2531" spans="2:2">
      <c r="B2531" s="251">
        <f ca="1" t="shared" si="159"/>
        <v>41777</v>
      </c>
    </row>
    <row r="2532" spans="2:2">
      <c r="B2532" s="251">
        <f ca="1" t="shared" si="159"/>
        <v>41776</v>
      </c>
    </row>
    <row r="2533" spans="2:2">
      <c r="B2533" s="251">
        <f ca="1" t="shared" si="159"/>
        <v>41775</v>
      </c>
    </row>
    <row r="2534" spans="2:2">
      <c r="B2534" s="251">
        <f ca="1" t="shared" si="159"/>
        <v>41774</v>
      </c>
    </row>
    <row r="2535" spans="2:2">
      <c r="B2535" s="251">
        <f ca="1" t="shared" si="159"/>
        <v>41773</v>
      </c>
    </row>
    <row r="2536" spans="2:2">
      <c r="B2536" s="251">
        <f ca="1" t="shared" si="159"/>
        <v>41772</v>
      </c>
    </row>
    <row r="2537" spans="2:2">
      <c r="B2537" s="251">
        <f ca="1" t="shared" ref="B2537:B2552" si="160">B2536-1</f>
        <v>41771</v>
      </c>
    </row>
    <row r="2538" spans="2:2">
      <c r="B2538" s="251">
        <f ca="1" t="shared" si="160"/>
        <v>41770</v>
      </c>
    </row>
    <row r="2539" spans="2:2">
      <c r="B2539" s="251">
        <f ca="1" t="shared" si="160"/>
        <v>41769</v>
      </c>
    </row>
    <row r="2540" spans="2:2">
      <c r="B2540" s="251">
        <f ca="1" t="shared" si="160"/>
        <v>41768</v>
      </c>
    </row>
    <row r="2541" spans="2:2">
      <c r="B2541" s="251">
        <f ca="1" t="shared" si="160"/>
        <v>41767</v>
      </c>
    </row>
    <row r="2542" spans="2:2">
      <c r="B2542" s="251">
        <f ca="1" t="shared" si="160"/>
        <v>41766</v>
      </c>
    </row>
    <row r="2543" spans="2:2">
      <c r="B2543" s="251">
        <f ca="1" t="shared" si="160"/>
        <v>41765</v>
      </c>
    </row>
    <row r="2544" spans="2:2">
      <c r="B2544" s="251">
        <f ca="1" t="shared" si="160"/>
        <v>41764</v>
      </c>
    </row>
    <row r="2545" spans="2:2">
      <c r="B2545" s="251">
        <f ca="1" t="shared" si="160"/>
        <v>41763</v>
      </c>
    </row>
    <row r="2546" spans="2:2">
      <c r="B2546" s="251">
        <f ca="1" t="shared" si="160"/>
        <v>41762</v>
      </c>
    </row>
    <row r="2547" spans="2:2">
      <c r="B2547" s="251">
        <f ca="1" t="shared" si="160"/>
        <v>41761</v>
      </c>
    </row>
    <row r="2548" spans="2:2">
      <c r="B2548" s="251">
        <f ca="1" t="shared" si="160"/>
        <v>41760</v>
      </c>
    </row>
    <row r="2549" spans="2:2">
      <c r="B2549" s="251">
        <f ca="1" t="shared" si="160"/>
        <v>41759</v>
      </c>
    </row>
    <row r="2550" spans="2:2">
      <c r="B2550" s="251">
        <f ca="1" t="shared" si="160"/>
        <v>41758</v>
      </c>
    </row>
    <row r="2551" spans="2:2">
      <c r="B2551" s="251">
        <f ca="1" t="shared" si="160"/>
        <v>41757</v>
      </c>
    </row>
    <row r="2552" spans="2:2">
      <c r="B2552" s="251">
        <f ca="1" t="shared" si="160"/>
        <v>41756</v>
      </c>
    </row>
    <row r="2553" spans="2:2">
      <c r="B2553" s="251">
        <f ca="1" t="shared" ref="B2553:B2568" si="161">B2552-1</f>
        <v>41755</v>
      </c>
    </row>
    <row r="2554" spans="2:2">
      <c r="B2554" s="251">
        <f ca="1" t="shared" si="161"/>
        <v>41754</v>
      </c>
    </row>
    <row r="2555" spans="2:2">
      <c r="B2555" s="251">
        <f ca="1" t="shared" si="161"/>
        <v>41753</v>
      </c>
    </row>
    <row r="2556" spans="2:2">
      <c r="B2556" s="251">
        <f ca="1" t="shared" si="161"/>
        <v>41752</v>
      </c>
    </row>
    <row r="2557" spans="2:2">
      <c r="B2557" s="251">
        <f ca="1" t="shared" si="161"/>
        <v>41751</v>
      </c>
    </row>
    <row r="2558" spans="2:2">
      <c r="B2558" s="251">
        <f ca="1" t="shared" si="161"/>
        <v>41750</v>
      </c>
    </row>
    <row r="2559" spans="2:2">
      <c r="B2559" s="251">
        <f ca="1" t="shared" si="161"/>
        <v>41749</v>
      </c>
    </row>
    <row r="2560" spans="2:2">
      <c r="B2560" s="251">
        <f ca="1" t="shared" si="161"/>
        <v>41748</v>
      </c>
    </row>
    <row r="2561" spans="2:2">
      <c r="B2561" s="251">
        <f ca="1" t="shared" si="161"/>
        <v>41747</v>
      </c>
    </row>
    <row r="2562" spans="2:2">
      <c r="B2562" s="251">
        <f ca="1" t="shared" si="161"/>
        <v>41746</v>
      </c>
    </row>
    <row r="2563" spans="2:2">
      <c r="B2563" s="251">
        <f ca="1" t="shared" si="161"/>
        <v>41745</v>
      </c>
    </row>
    <row r="2564" spans="2:2">
      <c r="B2564" s="251">
        <f ca="1" t="shared" si="161"/>
        <v>41744</v>
      </c>
    </row>
    <row r="2565" spans="2:2">
      <c r="B2565" s="251">
        <f ca="1" t="shared" si="161"/>
        <v>41743</v>
      </c>
    </row>
    <row r="2566" spans="2:2">
      <c r="B2566" s="251">
        <f ca="1" t="shared" si="161"/>
        <v>41742</v>
      </c>
    </row>
    <row r="2567" spans="2:2">
      <c r="B2567" s="251">
        <f ca="1" t="shared" si="161"/>
        <v>41741</v>
      </c>
    </row>
    <row r="2568" spans="2:2">
      <c r="B2568" s="251">
        <f ca="1" t="shared" si="161"/>
        <v>41740</v>
      </c>
    </row>
    <row r="2569" spans="2:2">
      <c r="B2569" s="251">
        <f ca="1" t="shared" ref="B2569:B2584" si="162">B2568-1</f>
        <v>41739</v>
      </c>
    </row>
    <row r="2570" spans="2:2">
      <c r="B2570" s="251">
        <f ca="1" t="shared" si="162"/>
        <v>41738</v>
      </c>
    </row>
    <row r="2571" spans="2:2">
      <c r="B2571" s="251">
        <f ca="1" t="shared" si="162"/>
        <v>41737</v>
      </c>
    </row>
    <row r="2572" spans="2:2">
      <c r="B2572" s="251">
        <f ca="1" t="shared" si="162"/>
        <v>41736</v>
      </c>
    </row>
    <row r="2573" spans="2:2">
      <c r="B2573" s="251">
        <f ca="1" t="shared" si="162"/>
        <v>41735</v>
      </c>
    </row>
    <row r="2574" spans="2:2">
      <c r="B2574" s="251">
        <f ca="1" t="shared" si="162"/>
        <v>41734</v>
      </c>
    </row>
    <row r="2575" spans="2:2">
      <c r="B2575" s="251">
        <f ca="1" t="shared" si="162"/>
        <v>41733</v>
      </c>
    </row>
    <row r="2576" spans="2:2">
      <c r="B2576" s="251">
        <f ca="1" t="shared" si="162"/>
        <v>41732</v>
      </c>
    </row>
    <row r="2577" spans="2:2">
      <c r="B2577" s="251">
        <f ca="1" t="shared" si="162"/>
        <v>41731</v>
      </c>
    </row>
    <row r="2578" spans="2:2">
      <c r="B2578" s="251">
        <f ca="1" t="shared" si="162"/>
        <v>41730</v>
      </c>
    </row>
    <row r="2579" spans="2:2">
      <c r="B2579" s="251">
        <f ca="1" t="shared" si="162"/>
        <v>41729</v>
      </c>
    </row>
    <row r="2580" spans="2:2">
      <c r="B2580" s="251">
        <f ca="1" t="shared" si="162"/>
        <v>41728</v>
      </c>
    </row>
    <row r="2581" spans="2:2">
      <c r="B2581" s="251">
        <f ca="1" t="shared" si="162"/>
        <v>41727</v>
      </c>
    </row>
    <row r="2582" spans="2:2">
      <c r="B2582" s="251">
        <f ca="1" t="shared" si="162"/>
        <v>41726</v>
      </c>
    </row>
    <row r="2583" spans="2:2">
      <c r="B2583" s="251">
        <f ca="1" t="shared" si="162"/>
        <v>41725</v>
      </c>
    </row>
    <row r="2584" spans="2:2">
      <c r="B2584" s="251">
        <f ca="1" t="shared" si="162"/>
        <v>41724</v>
      </c>
    </row>
    <row r="2585" spans="2:2">
      <c r="B2585" s="251">
        <f ca="1" t="shared" ref="B2585:B2600" si="163">B2584-1</f>
        <v>41723</v>
      </c>
    </row>
    <row r="2586" spans="2:2">
      <c r="B2586" s="251">
        <f ca="1" t="shared" si="163"/>
        <v>41722</v>
      </c>
    </row>
    <row r="2587" spans="2:2">
      <c r="B2587" s="251">
        <f ca="1" t="shared" si="163"/>
        <v>41721</v>
      </c>
    </row>
    <row r="2588" spans="2:2">
      <c r="B2588" s="251">
        <f ca="1" t="shared" si="163"/>
        <v>41720</v>
      </c>
    </row>
    <row r="2589" spans="2:2">
      <c r="B2589" s="251">
        <f ca="1" t="shared" si="163"/>
        <v>41719</v>
      </c>
    </row>
    <row r="2590" spans="2:2">
      <c r="B2590" s="251">
        <f ca="1" t="shared" si="163"/>
        <v>41718</v>
      </c>
    </row>
    <row r="2591" spans="2:2">
      <c r="B2591" s="251">
        <f ca="1" t="shared" si="163"/>
        <v>41717</v>
      </c>
    </row>
    <row r="2592" spans="2:2">
      <c r="B2592" s="251">
        <f ca="1" t="shared" si="163"/>
        <v>41716</v>
      </c>
    </row>
    <row r="2593" spans="2:2">
      <c r="B2593" s="251">
        <f ca="1" t="shared" si="163"/>
        <v>41715</v>
      </c>
    </row>
    <row r="2594" spans="2:2">
      <c r="B2594" s="251">
        <f ca="1" t="shared" si="163"/>
        <v>41714</v>
      </c>
    </row>
    <row r="2595" spans="2:2">
      <c r="B2595" s="251">
        <f ca="1" t="shared" si="163"/>
        <v>41713</v>
      </c>
    </row>
    <row r="2596" spans="2:2">
      <c r="B2596" s="251">
        <f ca="1" t="shared" si="163"/>
        <v>41712</v>
      </c>
    </row>
    <row r="2597" spans="2:2">
      <c r="B2597" s="251">
        <f ca="1" t="shared" si="163"/>
        <v>41711</v>
      </c>
    </row>
    <row r="2598" spans="2:2">
      <c r="B2598" s="251">
        <f ca="1" t="shared" si="163"/>
        <v>41710</v>
      </c>
    </row>
    <row r="2599" spans="2:2">
      <c r="B2599" s="251">
        <f ca="1" t="shared" si="163"/>
        <v>41709</v>
      </c>
    </row>
    <row r="2600" spans="2:2">
      <c r="B2600" s="251">
        <f ca="1" t="shared" si="163"/>
        <v>41708</v>
      </c>
    </row>
    <row r="2601" spans="2:2">
      <c r="B2601" s="251">
        <f ca="1" t="shared" ref="B2601:B2616" si="164">B2600-1</f>
        <v>41707</v>
      </c>
    </row>
    <row r="2602" spans="2:2">
      <c r="B2602" s="251">
        <f ca="1" t="shared" si="164"/>
        <v>41706</v>
      </c>
    </row>
    <row r="2603" spans="2:2">
      <c r="B2603" s="251">
        <f ca="1" t="shared" si="164"/>
        <v>41705</v>
      </c>
    </row>
    <row r="2604" spans="2:2">
      <c r="B2604" s="251">
        <f ca="1" t="shared" si="164"/>
        <v>41704</v>
      </c>
    </row>
    <row r="2605" spans="2:2">
      <c r="B2605" s="251">
        <f ca="1" t="shared" si="164"/>
        <v>41703</v>
      </c>
    </row>
    <row r="2606" spans="2:2">
      <c r="B2606" s="251">
        <f ca="1" t="shared" si="164"/>
        <v>41702</v>
      </c>
    </row>
    <row r="2607" spans="2:2">
      <c r="B2607" s="251">
        <f ca="1" t="shared" si="164"/>
        <v>41701</v>
      </c>
    </row>
    <row r="2608" spans="2:2">
      <c r="B2608" s="251">
        <f ca="1" t="shared" si="164"/>
        <v>41700</v>
      </c>
    </row>
    <row r="2609" spans="2:2">
      <c r="B2609" s="251">
        <f ca="1" t="shared" si="164"/>
        <v>41699</v>
      </c>
    </row>
    <row r="2610" spans="2:2">
      <c r="B2610" s="251">
        <f ca="1" t="shared" si="164"/>
        <v>41698</v>
      </c>
    </row>
    <row r="2611" spans="2:2">
      <c r="B2611" s="251">
        <f ca="1" t="shared" si="164"/>
        <v>41697</v>
      </c>
    </row>
    <row r="2612" spans="2:2">
      <c r="B2612" s="251">
        <f ca="1" t="shared" si="164"/>
        <v>41696</v>
      </c>
    </row>
    <row r="2613" spans="2:2">
      <c r="B2613" s="251">
        <f ca="1" t="shared" si="164"/>
        <v>41695</v>
      </c>
    </row>
    <row r="2614" spans="2:2">
      <c r="B2614" s="251">
        <f ca="1" t="shared" si="164"/>
        <v>41694</v>
      </c>
    </row>
    <row r="2615" spans="2:2">
      <c r="B2615" s="251">
        <f ca="1" t="shared" si="164"/>
        <v>41693</v>
      </c>
    </row>
    <row r="2616" spans="2:2">
      <c r="B2616" s="251">
        <f ca="1" t="shared" si="164"/>
        <v>41692</v>
      </c>
    </row>
    <row r="2617" spans="2:2">
      <c r="B2617" s="251">
        <f ca="1" t="shared" ref="B2617:B2632" si="165">B2616-1</f>
        <v>41691</v>
      </c>
    </row>
    <row r="2618" spans="2:2">
      <c r="B2618" s="251">
        <f ca="1" t="shared" si="165"/>
        <v>41690</v>
      </c>
    </row>
    <row r="2619" spans="2:2">
      <c r="B2619" s="251">
        <f ca="1" t="shared" si="165"/>
        <v>41689</v>
      </c>
    </row>
    <row r="2620" spans="2:2">
      <c r="B2620" s="251">
        <f ca="1" t="shared" si="165"/>
        <v>41688</v>
      </c>
    </row>
    <row r="2621" spans="2:2">
      <c r="B2621" s="251">
        <f ca="1" t="shared" si="165"/>
        <v>41687</v>
      </c>
    </row>
    <row r="2622" spans="2:2">
      <c r="B2622" s="251">
        <f ca="1" t="shared" si="165"/>
        <v>41686</v>
      </c>
    </row>
    <row r="2623" spans="2:2">
      <c r="B2623" s="251">
        <f ca="1" t="shared" si="165"/>
        <v>41685</v>
      </c>
    </row>
    <row r="2624" spans="2:2">
      <c r="B2624" s="251">
        <f ca="1" t="shared" si="165"/>
        <v>41684</v>
      </c>
    </row>
    <row r="2625" spans="2:2">
      <c r="B2625" s="251">
        <f ca="1" t="shared" si="165"/>
        <v>41683</v>
      </c>
    </row>
    <row r="2626" spans="2:2">
      <c r="B2626" s="251">
        <f ca="1" t="shared" si="165"/>
        <v>41682</v>
      </c>
    </row>
    <row r="2627" spans="2:2">
      <c r="B2627" s="251">
        <f ca="1" t="shared" si="165"/>
        <v>41681</v>
      </c>
    </row>
    <row r="2628" spans="2:2">
      <c r="B2628" s="251">
        <f ca="1" t="shared" si="165"/>
        <v>41680</v>
      </c>
    </row>
    <row r="2629" spans="2:2">
      <c r="B2629" s="251">
        <f ca="1" t="shared" si="165"/>
        <v>41679</v>
      </c>
    </row>
    <row r="2630" spans="2:2">
      <c r="B2630" s="251">
        <f ca="1" t="shared" si="165"/>
        <v>41678</v>
      </c>
    </row>
    <row r="2631" spans="2:2">
      <c r="B2631" s="251">
        <f ca="1" t="shared" si="165"/>
        <v>41677</v>
      </c>
    </row>
    <row r="2632" spans="2:2">
      <c r="B2632" s="251">
        <f ca="1" t="shared" si="165"/>
        <v>41676</v>
      </c>
    </row>
    <row r="2633" spans="2:2">
      <c r="B2633" s="251">
        <f ca="1" t="shared" ref="B2633:B2648" si="166">B2632-1</f>
        <v>41675</v>
      </c>
    </row>
    <row r="2634" spans="2:2">
      <c r="B2634" s="251">
        <f ca="1" t="shared" si="166"/>
        <v>41674</v>
      </c>
    </row>
    <row r="2635" spans="2:2">
      <c r="B2635" s="251">
        <f ca="1" t="shared" si="166"/>
        <v>41673</v>
      </c>
    </row>
    <row r="2636" spans="2:2">
      <c r="B2636" s="251">
        <f ca="1" t="shared" si="166"/>
        <v>41672</v>
      </c>
    </row>
    <row r="2637" spans="2:2">
      <c r="B2637" s="251">
        <f ca="1" t="shared" si="166"/>
        <v>41671</v>
      </c>
    </row>
    <row r="2638" spans="2:2">
      <c r="B2638" s="251">
        <f ca="1" t="shared" si="166"/>
        <v>41670</v>
      </c>
    </row>
    <row r="2639" spans="2:2">
      <c r="B2639" s="251">
        <f ca="1" t="shared" si="166"/>
        <v>41669</v>
      </c>
    </row>
    <row r="2640" spans="2:2">
      <c r="B2640" s="251">
        <f ca="1" t="shared" si="166"/>
        <v>41668</v>
      </c>
    </row>
    <row r="2641" spans="2:2">
      <c r="B2641" s="251">
        <f ca="1" t="shared" si="166"/>
        <v>41667</v>
      </c>
    </row>
    <row r="2642" spans="2:2">
      <c r="B2642" s="251">
        <f ca="1" t="shared" si="166"/>
        <v>41666</v>
      </c>
    </row>
    <row r="2643" spans="2:2">
      <c r="B2643" s="251">
        <f ca="1" t="shared" si="166"/>
        <v>41665</v>
      </c>
    </row>
    <row r="2644" spans="2:2">
      <c r="B2644" s="251">
        <f ca="1" t="shared" si="166"/>
        <v>41664</v>
      </c>
    </row>
    <row r="2645" spans="2:2">
      <c r="B2645" s="251">
        <f ca="1" t="shared" si="166"/>
        <v>41663</v>
      </c>
    </row>
    <row r="2646" spans="2:2">
      <c r="B2646" s="251">
        <f ca="1" t="shared" si="166"/>
        <v>41662</v>
      </c>
    </row>
    <row r="2647" spans="2:2">
      <c r="B2647" s="251">
        <f ca="1" t="shared" si="166"/>
        <v>41661</v>
      </c>
    </row>
    <row r="2648" spans="2:2">
      <c r="B2648" s="251">
        <f ca="1" t="shared" si="166"/>
        <v>41660</v>
      </c>
    </row>
    <row r="2649" spans="2:2">
      <c r="B2649" s="251">
        <f ca="1" t="shared" ref="B2649:B2664" si="167">B2648-1</f>
        <v>41659</v>
      </c>
    </row>
    <row r="2650" spans="2:2">
      <c r="B2650" s="251">
        <f ca="1" t="shared" si="167"/>
        <v>41658</v>
      </c>
    </row>
    <row r="2651" spans="2:2">
      <c r="B2651" s="251">
        <f ca="1" t="shared" si="167"/>
        <v>41657</v>
      </c>
    </row>
    <row r="2652" spans="2:2">
      <c r="B2652" s="251">
        <f ca="1" t="shared" si="167"/>
        <v>41656</v>
      </c>
    </row>
    <row r="2653" spans="2:2">
      <c r="B2653" s="251">
        <f ca="1" t="shared" si="167"/>
        <v>41655</v>
      </c>
    </row>
    <row r="2654" spans="2:2">
      <c r="B2654" s="251">
        <f ca="1" t="shared" si="167"/>
        <v>41654</v>
      </c>
    </row>
    <row r="2655" spans="2:2">
      <c r="B2655" s="251">
        <f ca="1" t="shared" si="167"/>
        <v>41653</v>
      </c>
    </row>
    <row r="2656" spans="2:2">
      <c r="B2656" s="251">
        <f ca="1" t="shared" si="167"/>
        <v>41652</v>
      </c>
    </row>
    <row r="2657" spans="2:2">
      <c r="B2657" s="251">
        <f ca="1" t="shared" si="167"/>
        <v>41651</v>
      </c>
    </row>
    <row r="2658" spans="2:2">
      <c r="B2658" s="251">
        <f ca="1" t="shared" si="167"/>
        <v>41650</v>
      </c>
    </row>
    <row r="2659" spans="2:2">
      <c r="B2659" s="251">
        <f ca="1" t="shared" si="167"/>
        <v>41649</v>
      </c>
    </row>
    <row r="2660" spans="2:2">
      <c r="B2660" s="251">
        <f ca="1" t="shared" si="167"/>
        <v>41648</v>
      </c>
    </row>
    <row r="2661" spans="2:2">
      <c r="B2661" s="251">
        <f ca="1" t="shared" si="167"/>
        <v>41647</v>
      </c>
    </row>
    <row r="2662" spans="2:2">
      <c r="B2662" s="251">
        <f ca="1" t="shared" si="167"/>
        <v>41646</v>
      </c>
    </row>
    <row r="2663" spans="2:2">
      <c r="B2663" s="251">
        <f ca="1" t="shared" si="167"/>
        <v>41645</v>
      </c>
    </row>
    <row r="2664" spans="2:2">
      <c r="B2664" s="251">
        <f ca="1" t="shared" si="167"/>
        <v>41644</v>
      </c>
    </row>
    <row r="2665" spans="2:2">
      <c r="B2665" s="251">
        <f ca="1" t="shared" ref="B2665:B2680" si="168">B2664-1</f>
        <v>41643</v>
      </c>
    </row>
    <row r="2666" spans="2:2">
      <c r="B2666" s="251">
        <f ca="1" t="shared" si="168"/>
        <v>41642</v>
      </c>
    </row>
    <row r="2667" spans="2:2">
      <c r="B2667" s="251">
        <f ca="1" t="shared" si="168"/>
        <v>41641</v>
      </c>
    </row>
    <row r="2668" spans="2:2">
      <c r="B2668" s="251">
        <f ca="1" t="shared" si="168"/>
        <v>41640</v>
      </c>
    </row>
    <row r="2669" spans="2:2">
      <c r="B2669" s="251">
        <f ca="1" t="shared" si="168"/>
        <v>41639</v>
      </c>
    </row>
    <row r="2670" spans="2:2">
      <c r="B2670" s="251">
        <f ca="1" t="shared" si="168"/>
        <v>41638</v>
      </c>
    </row>
    <row r="2671" spans="2:2">
      <c r="B2671" s="251">
        <f ca="1" t="shared" si="168"/>
        <v>41637</v>
      </c>
    </row>
    <row r="2672" spans="2:2">
      <c r="B2672" s="251">
        <f ca="1" t="shared" si="168"/>
        <v>41636</v>
      </c>
    </row>
    <row r="2673" spans="2:2">
      <c r="B2673" s="251">
        <f ca="1" t="shared" si="168"/>
        <v>41635</v>
      </c>
    </row>
    <row r="2674" spans="2:2">
      <c r="B2674" s="251">
        <f ca="1" t="shared" si="168"/>
        <v>41634</v>
      </c>
    </row>
    <row r="2675" spans="2:2">
      <c r="B2675" s="251">
        <f ca="1" t="shared" si="168"/>
        <v>41633</v>
      </c>
    </row>
    <row r="2676" spans="2:2">
      <c r="B2676" s="251">
        <f ca="1" t="shared" si="168"/>
        <v>41632</v>
      </c>
    </row>
    <row r="2677" spans="2:2">
      <c r="B2677" s="251">
        <f ca="1" t="shared" si="168"/>
        <v>41631</v>
      </c>
    </row>
    <row r="2678" spans="2:2">
      <c r="B2678" s="251">
        <f ca="1" t="shared" si="168"/>
        <v>41630</v>
      </c>
    </row>
    <row r="2679" spans="2:2">
      <c r="B2679" s="251">
        <f ca="1" t="shared" si="168"/>
        <v>41629</v>
      </c>
    </row>
    <row r="2680" spans="2:2">
      <c r="B2680" s="251">
        <f ca="1" t="shared" si="168"/>
        <v>41628</v>
      </c>
    </row>
    <row r="2681" spans="2:2">
      <c r="B2681" s="251">
        <f ca="1" t="shared" ref="B2681:B2696" si="169">B2680-1</f>
        <v>41627</v>
      </c>
    </row>
    <row r="2682" spans="2:2">
      <c r="B2682" s="251">
        <f ca="1" t="shared" si="169"/>
        <v>41626</v>
      </c>
    </row>
    <row r="2683" spans="2:2">
      <c r="B2683" s="251">
        <f ca="1" t="shared" si="169"/>
        <v>41625</v>
      </c>
    </row>
    <row r="2684" spans="2:2">
      <c r="B2684" s="251">
        <f ca="1" t="shared" si="169"/>
        <v>41624</v>
      </c>
    </row>
    <row r="2685" spans="2:2">
      <c r="B2685" s="251">
        <f ca="1" t="shared" si="169"/>
        <v>41623</v>
      </c>
    </row>
    <row r="2686" spans="2:2">
      <c r="B2686" s="251">
        <f ca="1" t="shared" si="169"/>
        <v>41622</v>
      </c>
    </row>
    <row r="2687" spans="2:2">
      <c r="B2687" s="251">
        <f ca="1" t="shared" si="169"/>
        <v>41621</v>
      </c>
    </row>
    <row r="2688" spans="2:2">
      <c r="B2688" s="251">
        <f ca="1" t="shared" si="169"/>
        <v>41620</v>
      </c>
    </row>
    <row r="2689" spans="2:2">
      <c r="B2689" s="251">
        <f ca="1" t="shared" si="169"/>
        <v>41619</v>
      </c>
    </row>
    <row r="2690" spans="2:2">
      <c r="B2690" s="251">
        <f ca="1" t="shared" si="169"/>
        <v>41618</v>
      </c>
    </row>
    <row r="2691" spans="2:2">
      <c r="B2691" s="251">
        <f ca="1" t="shared" si="169"/>
        <v>41617</v>
      </c>
    </row>
    <row r="2692" spans="2:2">
      <c r="B2692" s="251">
        <f ca="1" t="shared" si="169"/>
        <v>41616</v>
      </c>
    </row>
    <row r="2693" spans="2:2">
      <c r="B2693" s="251">
        <f ca="1" t="shared" si="169"/>
        <v>41615</v>
      </c>
    </row>
    <row r="2694" spans="2:2">
      <c r="B2694" s="251">
        <f ca="1" t="shared" si="169"/>
        <v>41614</v>
      </c>
    </row>
    <row r="2695" spans="2:2">
      <c r="B2695" s="251">
        <f ca="1" t="shared" si="169"/>
        <v>41613</v>
      </c>
    </row>
    <row r="2696" spans="2:2">
      <c r="B2696" s="251">
        <f ca="1" t="shared" si="169"/>
        <v>41612</v>
      </c>
    </row>
    <row r="2697" spans="2:2">
      <c r="B2697" s="251">
        <f ca="1" t="shared" ref="B2697:B2712" si="170">B2696-1</f>
        <v>41611</v>
      </c>
    </row>
    <row r="2698" spans="2:2">
      <c r="B2698" s="251">
        <f ca="1" t="shared" si="170"/>
        <v>41610</v>
      </c>
    </row>
    <row r="2699" spans="2:2">
      <c r="B2699" s="251">
        <f ca="1" t="shared" si="170"/>
        <v>41609</v>
      </c>
    </row>
    <row r="2700" spans="2:2">
      <c r="B2700" s="251">
        <f ca="1" t="shared" si="170"/>
        <v>41608</v>
      </c>
    </row>
    <row r="2701" spans="2:2">
      <c r="B2701" s="251">
        <f ca="1" t="shared" si="170"/>
        <v>41607</v>
      </c>
    </row>
    <row r="2702" spans="2:2">
      <c r="B2702" s="251">
        <f ca="1" t="shared" si="170"/>
        <v>41606</v>
      </c>
    </row>
    <row r="2703" spans="2:2">
      <c r="B2703" s="251">
        <f ca="1" t="shared" si="170"/>
        <v>41605</v>
      </c>
    </row>
    <row r="2704" spans="2:2">
      <c r="B2704" s="251">
        <f ca="1" t="shared" si="170"/>
        <v>41604</v>
      </c>
    </row>
    <row r="2705" spans="2:2">
      <c r="B2705" s="251">
        <f ca="1" t="shared" si="170"/>
        <v>41603</v>
      </c>
    </row>
    <row r="2706" spans="2:2">
      <c r="B2706" s="251">
        <f ca="1" t="shared" si="170"/>
        <v>41602</v>
      </c>
    </row>
    <row r="2707" spans="2:2">
      <c r="B2707" s="251">
        <f ca="1" t="shared" si="170"/>
        <v>41601</v>
      </c>
    </row>
    <row r="2708" spans="2:2">
      <c r="B2708" s="251">
        <f ca="1" t="shared" si="170"/>
        <v>41600</v>
      </c>
    </row>
    <row r="2709" spans="2:2">
      <c r="B2709" s="251">
        <f ca="1" t="shared" si="170"/>
        <v>41599</v>
      </c>
    </row>
    <row r="2710" spans="2:2">
      <c r="B2710" s="251">
        <f ca="1" t="shared" si="170"/>
        <v>41598</v>
      </c>
    </row>
    <row r="2711" spans="2:2">
      <c r="B2711" s="251">
        <f ca="1" t="shared" si="170"/>
        <v>41597</v>
      </c>
    </row>
    <row r="2712" spans="2:2">
      <c r="B2712" s="251">
        <f ca="1" t="shared" si="170"/>
        <v>41596</v>
      </c>
    </row>
    <row r="2713" spans="2:2">
      <c r="B2713" s="251">
        <f ca="1" t="shared" ref="B2713:B2728" si="171">B2712-1</f>
        <v>41595</v>
      </c>
    </row>
    <row r="2714" spans="2:2">
      <c r="B2714" s="251">
        <f ca="1" t="shared" si="171"/>
        <v>41594</v>
      </c>
    </row>
    <row r="2715" spans="2:2">
      <c r="B2715" s="251">
        <f ca="1" t="shared" si="171"/>
        <v>41593</v>
      </c>
    </row>
    <row r="2716" spans="2:2">
      <c r="B2716" s="251">
        <f ca="1" t="shared" si="171"/>
        <v>41592</v>
      </c>
    </row>
    <row r="2717" spans="2:2">
      <c r="B2717" s="251">
        <f ca="1" t="shared" si="171"/>
        <v>41591</v>
      </c>
    </row>
    <row r="2718" spans="2:2">
      <c r="B2718" s="251">
        <f ca="1" t="shared" si="171"/>
        <v>41590</v>
      </c>
    </row>
    <row r="2719" spans="2:2">
      <c r="B2719" s="251">
        <f ca="1" t="shared" si="171"/>
        <v>41589</v>
      </c>
    </row>
    <row r="2720" spans="2:2">
      <c r="B2720" s="251">
        <f ca="1" t="shared" si="171"/>
        <v>41588</v>
      </c>
    </row>
    <row r="2721" spans="2:2">
      <c r="B2721" s="251">
        <f ca="1" t="shared" si="171"/>
        <v>41587</v>
      </c>
    </row>
    <row r="2722" spans="2:2">
      <c r="B2722" s="251">
        <f ca="1" t="shared" si="171"/>
        <v>41586</v>
      </c>
    </row>
    <row r="2723" spans="2:2">
      <c r="B2723" s="251">
        <f ca="1" t="shared" si="171"/>
        <v>41585</v>
      </c>
    </row>
    <row r="2724" spans="2:2">
      <c r="B2724" s="251">
        <f ca="1" t="shared" si="171"/>
        <v>41584</v>
      </c>
    </row>
    <row r="2725" spans="2:2">
      <c r="B2725" s="251">
        <f ca="1" t="shared" si="171"/>
        <v>41583</v>
      </c>
    </row>
    <row r="2726" spans="2:2">
      <c r="B2726" s="251">
        <f ca="1" t="shared" si="171"/>
        <v>41582</v>
      </c>
    </row>
    <row r="2727" spans="2:2">
      <c r="B2727" s="251">
        <f ca="1" t="shared" si="171"/>
        <v>41581</v>
      </c>
    </row>
    <row r="2728" spans="2:2">
      <c r="B2728" s="251">
        <f ca="1" t="shared" si="171"/>
        <v>41580</v>
      </c>
    </row>
    <row r="2729" spans="2:2">
      <c r="B2729" s="251">
        <f ca="1" t="shared" ref="B2729:B2744" si="172">B2728-1</f>
        <v>41579</v>
      </c>
    </row>
    <row r="2730" spans="2:2">
      <c r="B2730" s="251">
        <f ca="1" t="shared" si="172"/>
        <v>41578</v>
      </c>
    </row>
    <row r="2731" spans="2:2">
      <c r="B2731" s="251">
        <f ca="1" t="shared" si="172"/>
        <v>41577</v>
      </c>
    </row>
    <row r="2732" spans="2:2">
      <c r="B2732" s="251">
        <f ca="1" t="shared" si="172"/>
        <v>41576</v>
      </c>
    </row>
    <row r="2733" spans="2:2">
      <c r="B2733" s="251">
        <f ca="1" t="shared" si="172"/>
        <v>41575</v>
      </c>
    </row>
    <row r="2734" spans="2:2">
      <c r="B2734" s="251">
        <f ca="1" t="shared" si="172"/>
        <v>41574</v>
      </c>
    </row>
    <row r="2735" spans="2:2">
      <c r="B2735" s="251">
        <f ca="1" t="shared" si="172"/>
        <v>41573</v>
      </c>
    </row>
    <row r="2736" spans="2:2">
      <c r="B2736" s="251">
        <f ca="1" t="shared" si="172"/>
        <v>41572</v>
      </c>
    </row>
    <row r="2737" spans="2:2">
      <c r="B2737" s="251">
        <f ca="1" t="shared" si="172"/>
        <v>41571</v>
      </c>
    </row>
    <row r="2738" spans="2:2">
      <c r="B2738" s="251">
        <f ca="1" t="shared" si="172"/>
        <v>41570</v>
      </c>
    </row>
    <row r="2739" spans="2:2">
      <c r="B2739" s="251">
        <f ca="1" t="shared" si="172"/>
        <v>41569</v>
      </c>
    </row>
    <row r="2740" spans="2:2">
      <c r="B2740" s="251">
        <f ca="1" t="shared" si="172"/>
        <v>41568</v>
      </c>
    </row>
    <row r="2741" spans="2:2">
      <c r="B2741" s="251">
        <f ca="1" t="shared" si="172"/>
        <v>41567</v>
      </c>
    </row>
    <row r="2742" spans="2:2">
      <c r="B2742" s="251">
        <f ca="1" t="shared" si="172"/>
        <v>41566</v>
      </c>
    </row>
    <row r="2743" spans="2:2">
      <c r="B2743" s="251">
        <f ca="1" t="shared" si="172"/>
        <v>41565</v>
      </c>
    </row>
    <row r="2744" spans="2:2">
      <c r="B2744" s="251">
        <f ca="1" t="shared" si="172"/>
        <v>41564</v>
      </c>
    </row>
    <row r="2745" spans="2:2">
      <c r="B2745" s="251">
        <f ca="1" t="shared" ref="B2745:B2760" si="173">B2744-1</f>
        <v>41563</v>
      </c>
    </row>
    <row r="2746" spans="2:2">
      <c r="B2746" s="251">
        <f ca="1" t="shared" si="173"/>
        <v>41562</v>
      </c>
    </row>
    <row r="2747" spans="2:2">
      <c r="B2747" s="251">
        <f ca="1" t="shared" si="173"/>
        <v>41561</v>
      </c>
    </row>
    <row r="2748" spans="2:2">
      <c r="B2748" s="251">
        <f ca="1" t="shared" si="173"/>
        <v>41560</v>
      </c>
    </row>
    <row r="2749" spans="2:2">
      <c r="B2749" s="251">
        <f ca="1" t="shared" si="173"/>
        <v>41559</v>
      </c>
    </row>
    <row r="2750" spans="2:2">
      <c r="B2750" s="251">
        <f ca="1" t="shared" si="173"/>
        <v>41558</v>
      </c>
    </row>
    <row r="2751" spans="2:2">
      <c r="B2751" s="251">
        <f ca="1" t="shared" si="173"/>
        <v>41557</v>
      </c>
    </row>
    <row r="2752" spans="2:2">
      <c r="B2752" s="251">
        <f ca="1" t="shared" si="173"/>
        <v>41556</v>
      </c>
    </row>
    <row r="2753" spans="2:2">
      <c r="B2753" s="251">
        <f ca="1" t="shared" si="173"/>
        <v>41555</v>
      </c>
    </row>
    <row r="2754" spans="2:2">
      <c r="B2754" s="251">
        <f ca="1" t="shared" si="173"/>
        <v>41554</v>
      </c>
    </row>
    <row r="2755" spans="2:2">
      <c r="B2755" s="251">
        <f ca="1" t="shared" si="173"/>
        <v>41553</v>
      </c>
    </row>
    <row r="2756" spans="2:2">
      <c r="B2756" s="251">
        <f ca="1" t="shared" si="173"/>
        <v>41552</v>
      </c>
    </row>
    <row r="2757" spans="2:2">
      <c r="B2757" s="251">
        <f ca="1" t="shared" si="173"/>
        <v>41551</v>
      </c>
    </row>
    <row r="2758" spans="2:2">
      <c r="B2758" s="251">
        <f ca="1" t="shared" si="173"/>
        <v>41550</v>
      </c>
    </row>
    <row r="2759" spans="2:2">
      <c r="B2759" s="251">
        <f ca="1" t="shared" si="173"/>
        <v>41549</v>
      </c>
    </row>
    <row r="2760" spans="2:2">
      <c r="B2760" s="251">
        <f ca="1" t="shared" si="173"/>
        <v>41548</v>
      </c>
    </row>
    <row r="2761" spans="2:2">
      <c r="B2761" s="251">
        <f ca="1" t="shared" ref="B2761:B2776" si="174">B2760-1</f>
        <v>41547</v>
      </c>
    </row>
    <row r="2762" spans="2:2">
      <c r="B2762" s="251">
        <f ca="1" t="shared" si="174"/>
        <v>41546</v>
      </c>
    </row>
    <row r="2763" spans="2:2">
      <c r="B2763" s="251">
        <f ca="1" t="shared" si="174"/>
        <v>41545</v>
      </c>
    </row>
    <row r="2764" spans="2:2">
      <c r="B2764" s="251">
        <f ca="1" t="shared" si="174"/>
        <v>41544</v>
      </c>
    </row>
    <row r="2765" spans="2:2">
      <c r="B2765" s="251">
        <f ca="1" t="shared" si="174"/>
        <v>41543</v>
      </c>
    </row>
    <row r="2766" spans="2:2">
      <c r="B2766" s="251">
        <f ca="1" t="shared" si="174"/>
        <v>41542</v>
      </c>
    </row>
    <row r="2767" spans="2:2">
      <c r="B2767" s="251">
        <f ca="1" t="shared" si="174"/>
        <v>41541</v>
      </c>
    </row>
    <row r="2768" spans="2:2">
      <c r="B2768" s="251">
        <f ca="1" t="shared" si="174"/>
        <v>41540</v>
      </c>
    </row>
    <row r="2769" spans="2:2">
      <c r="B2769" s="251">
        <f ca="1" t="shared" si="174"/>
        <v>41539</v>
      </c>
    </row>
    <row r="2770" spans="2:2">
      <c r="B2770" s="251">
        <f ca="1" t="shared" si="174"/>
        <v>41538</v>
      </c>
    </row>
    <row r="2771" spans="2:2">
      <c r="B2771" s="251">
        <f ca="1" t="shared" si="174"/>
        <v>41537</v>
      </c>
    </row>
    <row r="2772" spans="2:2">
      <c r="B2772" s="251">
        <f ca="1" t="shared" si="174"/>
        <v>41536</v>
      </c>
    </row>
    <row r="2773" spans="2:2">
      <c r="B2773" s="251">
        <f ca="1" t="shared" si="174"/>
        <v>41535</v>
      </c>
    </row>
    <row r="2774" spans="2:2">
      <c r="B2774" s="251">
        <f ca="1" t="shared" si="174"/>
        <v>41534</v>
      </c>
    </row>
    <row r="2775" spans="2:2">
      <c r="B2775" s="251">
        <f ca="1" t="shared" si="174"/>
        <v>41533</v>
      </c>
    </row>
    <row r="2776" spans="2:2">
      <c r="B2776" s="251">
        <f ca="1" t="shared" si="174"/>
        <v>41532</v>
      </c>
    </row>
    <row r="2777" spans="2:2">
      <c r="B2777" s="251">
        <f ca="1" t="shared" ref="B2777:B2792" si="175">B2776-1</f>
        <v>41531</v>
      </c>
    </row>
    <row r="2778" spans="2:2">
      <c r="B2778" s="251">
        <f ca="1" t="shared" si="175"/>
        <v>41530</v>
      </c>
    </row>
    <row r="2779" spans="2:2">
      <c r="B2779" s="251">
        <f ca="1" t="shared" si="175"/>
        <v>41529</v>
      </c>
    </row>
    <row r="2780" spans="2:2">
      <c r="B2780" s="251">
        <f ca="1" t="shared" si="175"/>
        <v>41528</v>
      </c>
    </row>
    <row r="2781" spans="2:2">
      <c r="B2781" s="251">
        <f ca="1" t="shared" si="175"/>
        <v>41527</v>
      </c>
    </row>
    <row r="2782" spans="2:2">
      <c r="B2782" s="251">
        <f ca="1" t="shared" si="175"/>
        <v>41526</v>
      </c>
    </row>
    <row r="2783" spans="2:2">
      <c r="B2783" s="251">
        <f ca="1" t="shared" si="175"/>
        <v>41525</v>
      </c>
    </row>
    <row r="2784" spans="2:2">
      <c r="B2784" s="251">
        <f ca="1" t="shared" si="175"/>
        <v>41524</v>
      </c>
    </row>
    <row r="2785" spans="2:2">
      <c r="B2785" s="251">
        <f ca="1" t="shared" si="175"/>
        <v>41523</v>
      </c>
    </row>
    <row r="2786" spans="2:2">
      <c r="B2786" s="251">
        <f ca="1" t="shared" si="175"/>
        <v>41522</v>
      </c>
    </row>
    <row r="2787" spans="2:2">
      <c r="B2787" s="251">
        <f ca="1" t="shared" si="175"/>
        <v>41521</v>
      </c>
    </row>
    <row r="2788" spans="2:2">
      <c r="B2788" s="251">
        <f ca="1" t="shared" si="175"/>
        <v>41520</v>
      </c>
    </row>
    <row r="2789" spans="2:2">
      <c r="B2789" s="251">
        <f ca="1" t="shared" si="175"/>
        <v>41519</v>
      </c>
    </row>
    <row r="2790" spans="2:2">
      <c r="B2790" s="251">
        <f ca="1" t="shared" si="175"/>
        <v>41518</v>
      </c>
    </row>
    <row r="2791" spans="2:2">
      <c r="B2791" s="251">
        <f ca="1" t="shared" si="175"/>
        <v>41517</v>
      </c>
    </row>
    <row r="2792" spans="2:2">
      <c r="B2792" s="251">
        <f ca="1" t="shared" si="175"/>
        <v>41516</v>
      </c>
    </row>
    <row r="2793" spans="2:2">
      <c r="B2793" s="251">
        <f ca="1" t="shared" ref="B2793:B2808" si="176">B2792-1</f>
        <v>41515</v>
      </c>
    </row>
    <row r="2794" spans="2:2">
      <c r="B2794" s="251">
        <f ca="1" t="shared" si="176"/>
        <v>41514</v>
      </c>
    </row>
    <row r="2795" spans="2:2">
      <c r="B2795" s="251">
        <f ca="1" t="shared" si="176"/>
        <v>41513</v>
      </c>
    </row>
    <row r="2796" spans="2:2">
      <c r="B2796" s="251">
        <f ca="1" t="shared" si="176"/>
        <v>41512</v>
      </c>
    </row>
    <row r="2797" spans="2:2">
      <c r="B2797" s="251">
        <f ca="1" t="shared" si="176"/>
        <v>41511</v>
      </c>
    </row>
    <row r="2798" spans="2:2">
      <c r="B2798" s="251">
        <f ca="1" t="shared" si="176"/>
        <v>41510</v>
      </c>
    </row>
    <row r="2799" spans="2:2">
      <c r="B2799" s="251">
        <f ca="1" t="shared" si="176"/>
        <v>41509</v>
      </c>
    </row>
    <row r="2800" spans="2:2">
      <c r="B2800" s="251">
        <f ca="1" t="shared" si="176"/>
        <v>41508</v>
      </c>
    </row>
    <row r="2801" spans="2:2">
      <c r="B2801" s="251">
        <f ca="1" t="shared" si="176"/>
        <v>41507</v>
      </c>
    </row>
    <row r="2802" spans="2:2">
      <c r="B2802" s="251">
        <f ca="1" t="shared" si="176"/>
        <v>41506</v>
      </c>
    </row>
    <row r="2803" spans="2:2">
      <c r="B2803" s="251">
        <f ca="1" t="shared" si="176"/>
        <v>41505</v>
      </c>
    </row>
    <row r="2804" spans="2:2">
      <c r="B2804" s="251">
        <f ca="1" t="shared" si="176"/>
        <v>41504</v>
      </c>
    </row>
    <row r="2805" spans="2:2">
      <c r="B2805" s="251">
        <f ca="1" t="shared" si="176"/>
        <v>41503</v>
      </c>
    </row>
    <row r="2806" spans="2:2">
      <c r="B2806" s="251">
        <f ca="1" t="shared" si="176"/>
        <v>41502</v>
      </c>
    </row>
    <row r="2807" spans="2:2">
      <c r="B2807" s="251">
        <f ca="1" t="shared" si="176"/>
        <v>41501</v>
      </c>
    </row>
    <row r="2808" spans="2:2">
      <c r="B2808" s="251">
        <f ca="1" t="shared" si="176"/>
        <v>41500</v>
      </c>
    </row>
    <row r="2809" spans="2:2">
      <c r="B2809" s="251">
        <f ca="1" t="shared" ref="B2809:B2824" si="177">B2808-1</f>
        <v>41499</v>
      </c>
    </row>
    <row r="2810" spans="2:2">
      <c r="B2810" s="251">
        <f ca="1" t="shared" si="177"/>
        <v>41498</v>
      </c>
    </row>
    <row r="2811" spans="2:2">
      <c r="B2811" s="251">
        <f ca="1" t="shared" si="177"/>
        <v>41497</v>
      </c>
    </row>
    <row r="2812" spans="2:2">
      <c r="B2812" s="251">
        <f ca="1" t="shared" si="177"/>
        <v>41496</v>
      </c>
    </row>
    <row r="2813" spans="2:2">
      <c r="B2813" s="251">
        <f ca="1" t="shared" si="177"/>
        <v>41495</v>
      </c>
    </row>
    <row r="2814" spans="2:2">
      <c r="B2814" s="251">
        <f ca="1" t="shared" si="177"/>
        <v>41494</v>
      </c>
    </row>
    <row r="2815" spans="2:2">
      <c r="B2815" s="251">
        <f ca="1" t="shared" si="177"/>
        <v>41493</v>
      </c>
    </row>
    <row r="2816" spans="2:2">
      <c r="B2816" s="251">
        <f ca="1" t="shared" si="177"/>
        <v>41492</v>
      </c>
    </row>
    <row r="2817" spans="2:2">
      <c r="B2817" s="251">
        <f ca="1" t="shared" si="177"/>
        <v>41491</v>
      </c>
    </row>
    <row r="2818" spans="2:2">
      <c r="B2818" s="251">
        <f ca="1" t="shared" si="177"/>
        <v>41490</v>
      </c>
    </row>
    <row r="2819" spans="2:2">
      <c r="B2819" s="251">
        <f ca="1" t="shared" si="177"/>
        <v>41489</v>
      </c>
    </row>
    <row r="2820" spans="2:2">
      <c r="B2820" s="251">
        <f ca="1" t="shared" si="177"/>
        <v>41488</v>
      </c>
    </row>
    <row r="2821" spans="2:2">
      <c r="B2821" s="251">
        <f ca="1" t="shared" si="177"/>
        <v>41487</v>
      </c>
    </row>
    <row r="2822" spans="2:2">
      <c r="B2822" s="251">
        <f ca="1" t="shared" si="177"/>
        <v>41486</v>
      </c>
    </row>
    <row r="2823" spans="2:2">
      <c r="B2823" s="251">
        <f ca="1" t="shared" si="177"/>
        <v>41485</v>
      </c>
    </row>
    <row r="2824" spans="2:2">
      <c r="B2824" s="251">
        <f ca="1" t="shared" si="177"/>
        <v>41484</v>
      </c>
    </row>
    <row r="2825" spans="2:2">
      <c r="B2825" s="251">
        <f ca="1" t="shared" ref="B2825:B2840" si="178">B2824-1</f>
        <v>41483</v>
      </c>
    </row>
    <row r="2826" spans="2:2">
      <c r="B2826" s="251">
        <f ca="1" t="shared" si="178"/>
        <v>41482</v>
      </c>
    </row>
    <row r="2827" spans="2:2">
      <c r="B2827" s="251">
        <f ca="1" t="shared" si="178"/>
        <v>41481</v>
      </c>
    </row>
    <row r="2828" spans="2:2">
      <c r="B2828" s="251">
        <f ca="1" t="shared" si="178"/>
        <v>41480</v>
      </c>
    </row>
    <row r="2829" spans="2:2">
      <c r="B2829" s="251">
        <f ca="1" t="shared" si="178"/>
        <v>41479</v>
      </c>
    </row>
    <row r="2830" spans="2:2">
      <c r="B2830" s="251">
        <f ca="1" t="shared" si="178"/>
        <v>41478</v>
      </c>
    </row>
    <row r="2831" spans="2:2">
      <c r="B2831" s="251">
        <f ca="1" t="shared" si="178"/>
        <v>41477</v>
      </c>
    </row>
    <row r="2832" spans="2:2">
      <c r="B2832" s="251">
        <f ca="1" t="shared" si="178"/>
        <v>41476</v>
      </c>
    </row>
    <row r="2833" spans="2:2">
      <c r="B2833" s="251">
        <f ca="1" t="shared" si="178"/>
        <v>41475</v>
      </c>
    </row>
    <row r="2834" spans="2:2">
      <c r="B2834" s="251">
        <f ca="1" t="shared" si="178"/>
        <v>41474</v>
      </c>
    </row>
    <row r="2835" spans="2:2">
      <c r="B2835" s="251">
        <f ca="1" t="shared" si="178"/>
        <v>41473</v>
      </c>
    </row>
    <row r="2836" spans="2:2">
      <c r="B2836" s="251">
        <f ca="1" t="shared" si="178"/>
        <v>41472</v>
      </c>
    </row>
    <row r="2837" spans="2:2">
      <c r="B2837" s="251">
        <f ca="1" t="shared" si="178"/>
        <v>41471</v>
      </c>
    </row>
    <row r="2838" spans="2:2">
      <c r="B2838" s="251">
        <f ca="1" t="shared" si="178"/>
        <v>41470</v>
      </c>
    </row>
    <row r="2839" spans="2:2">
      <c r="B2839" s="251">
        <f ca="1" t="shared" si="178"/>
        <v>41469</v>
      </c>
    </row>
    <row r="2840" spans="2:2">
      <c r="B2840" s="251">
        <f ca="1" t="shared" si="178"/>
        <v>41468</v>
      </c>
    </row>
    <row r="2841" spans="2:2">
      <c r="B2841" s="251">
        <f ca="1" t="shared" ref="B2841:B2856" si="179">B2840-1</f>
        <v>41467</v>
      </c>
    </row>
    <row r="2842" spans="2:2">
      <c r="B2842" s="251">
        <f ca="1" t="shared" si="179"/>
        <v>41466</v>
      </c>
    </row>
    <row r="2843" spans="2:2">
      <c r="B2843" s="251">
        <f ca="1" t="shared" si="179"/>
        <v>41465</v>
      </c>
    </row>
    <row r="2844" spans="2:2">
      <c r="B2844" s="251">
        <f ca="1" t="shared" si="179"/>
        <v>41464</v>
      </c>
    </row>
    <row r="2845" spans="2:2">
      <c r="B2845" s="251">
        <f ca="1" t="shared" si="179"/>
        <v>41463</v>
      </c>
    </row>
    <row r="2846" spans="2:2">
      <c r="B2846" s="251">
        <f ca="1" t="shared" si="179"/>
        <v>41462</v>
      </c>
    </row>
    <row r="2847" spans="2:2">
      <c r="B2847" s="251">
        <f ca="1" t="shared" si="179"/>
        <v>41461</v>
      </c>
    </row>
    <row r="2848" spans="2:2">
      <c r="B2848" s="251">
        <f ca="1" t="shared" si="179"/>
        <v>41460</v>
      </c>
    </row>
    <row r="2849" spans="2:2">
      <c r="B2849" s="251">
        <f ca="1" t="shared" si="179"/>
        <v>41459</v>
      </c>
    </row>
    <row r="2850" spans="2:2">
      <c r="B2850" s="251">
        <f ca="1" t="shared" si="179"/>
        <v>41458</v>
      </c>
    </row>
    <row r="2851" spans="2:2">
      <c r="B2851" s="251">
        <f ca="1" t="shared" si="179"/>
        <v>41457</v>
      </c>
    </row>
    <row r="2852" spans="2:2">
      <c r="B2852" s="251">
        <f ca="1" t="shared" si="179"/>
        <v>41456</v>
      </c>
    </row>
    <row r="2853" spans="2:2">
      <c r="B2853" s="251">
        <f ca="1" t="shared" si="179"/>
        <v>41455</v>
      </c>
    </row>
    <row r="2854" spans="2:2">
      <c r="B2854" s="251">
        <f ca="1" t="shared" si="179"/>
        <v>41454</v>
      </c>
    </row>
    <row r="2855" spans="2:2">
      <c r="B2855" s="251">
        <f ca="1" t="shared" si="179"/>
        <v>41453</v>
      </c>
    </row>
    <row r="2856" spans="2:2">
      <c r="B2856" s="251">
        <f ca="1" t="shared" si="179"/>
        <v>41452</v>
      </c>
    </row>
    <row r="2857" spans="2:2">
      <c r="B2857" s="251">
        <f ca="1" t="shared" ref="B2857:B2872" si="180">B2856-1</f>
        <v>41451</v>
      </c>
    </row>
    <row r="2858" spans="2:2">
      <c r="B2858" s="251">
        <f ca="1" t="shared" si="180"/>
        <v>41450</v>
      </c>
    </row>
    <row r="2859" spans="2:2">
      <c r="B2859" s="251">
        <f ca="1" t="shared" si="180"/>
        <v>41449</v>
      </c>
    </row>
    <row r="2860" spans="2:2">
      <c r="B2860" s="251">
        <f ca="1" t="shared" si="180"/>
        <v>41448</v>
      </c>
    </row>
    <row r="2861" spans="2:2">
      <c r="B2861" s="251">
        <f ca="1" t="shared" si="180"/>
        <v>41447</v>
      </c>
    </row>
    <row r="2862" spans="2:2">
      <c r="B2862" s="251">
        <f ca="1" t="shared" si="180"/>
        <v>41446</v>
      </c>
    </row>
    <row r="2863" spans="2:2">
      <c r="B2863" s="251">
        <f ca="1" t="shared" si="180"/>
        <v>41445</v>
      </c>
    </row>
    <row r="2864" spans="2:2">
      <c r="B2864" s="251">
        <f ca="1" t="shared" si="180"/>
        <v>41444</v>
      </c>
    </row>
    <row r="2865" spans="2:2">
      <c r="B2865" s="251">
        <f ca="1" t="shared" si="180"/>
        <v>41443</v>
      </c>
    </row>
    <row r="2866" spans="2:2">
      <c r="B2866" s="251">
        <f ca="1" t="shared" si="180"/>
        <v>41442</v>
      </c>
    </row>
    <row r="2867" spans="2:2">
      <c r="B2867" s="251">
        <f ca="1" t="shared" si="180"/>
        <v>41441</v>
      </c>
    </row>
    <row r="2868" spans="2:2">
      <c r="B2868" s="251">
        <f ca="1" t="shared" si="180"/>
        <v>41440</v>
      </c>
    </row>
    <row r="2869" spans="2:2">
      <c r="B2869" s="251">
        <f ca="1" t="shared" si="180"/>
        <v>41439</v>
      </c>
    </row>
    <row r="2870" spans="2:2">
      <c r="B2870" s="251">
        <f ca="1" t="shared" si="180"/>
        <v>41438</v>
      </c>
    </row>
    <row r="2871" spans="2:2">
      <c r="B2871" s="251">
        <f ca="1" t="shared" si="180"/>
        <v>41437</v>
      </c>
    </row>
    <row r="2872" spans="2:2">
      <c r="B2872" s="251">
        <f ca="1" t="shared" si="180"/>
        <v>41436</v>
      </c>
    </row>
    <row r="2873" spans="2:2">
      <c r="B2873" s="251">
        <f ca="1" t="shared" ref="B2873:B2888" si="181">B2872-1</f>
        <v>41435</v>
      </c>
    </row>
    <row r="2874" spans="2:2">
      <c r="B2874" s="251">
        <f ca="1" t="shared" si="181"/>
        <v>41434</v>
      </c>
    </row>
    <row r="2875" spans="2:2">
      <c r="B2875" s="251">
        <f ca="1" t="shared" si="181"/>
        <v>41433</v>
      </c>
    </row>
    <row r="2876" spans="2:2">
      <c r="B2876" s="251">
        <f ca="1" t="shared" si="181"/>
        <v>41432</v>
      </c>
    </row>
    <row r="2877" spans="2:2">
      <c r="B2877" s="251">
        <f ca="1" t="shared" si="181"/>
        <v>41431</v>
      </c>
    </row>
    <row r="2878" spans="2:2">
      <c r="B2878" s="251">
        <f ca="1" t="shared" si="181"/>
        <v>41430</v>
      </c>
    </row>
    <row r="2879" spans="2:2">
      <c r="B2879" s="251">
        <f ca="1" t="shared" si="181"/>
        <v>41429</v>
      </c>
    </row>
    <row r="2880" spans="2:2">
      <c r="B2880" s="251">
        <f ca="1" t="shared" si="181"/>
        <v>41428</v>
      </c>
    </row>
    <row r="2881" spans="2:2">
      <c r="B2881" s="251">
        <f ca="1" t="shared" si="181"/>
        <v>41427</v>
      </c>
    </row>
    <row r="2882" spans="2:2">
      <c r="B2882" s="251">
        <f ca="1" t="shared" si="181"/>
        <v>41426</v>
      </c>
    </row>
    <row r="2883" spans="2:2">
      <c r="B2883" s="251">
        <f ca="1" t="shared" si="181"/>
        <v>41425</v>
      </c>
    </row>
    <row r="2884" spans="2:2">
      <c r="B2884" s="251">
        <f ca="1" t="shared" si="181"/>
        <v>41424</v>
      </c>
    </row>
    <row r="2885" spans="2:2">
      <c r="B2885" s="251">
        <f ca="1" t="shared" si="181"/>
        <v>41423</v>
      </c>
    </row>
    <row r="2886" spans="2:2">
      <c r="B2886" s="251">
        <f ca="1" t="shared" si="181"/>
        <v>41422</v>
      </c>
    </row>
    <row r="2887" spans="2:2">
      <c r="B2887" s="251">
        <f ca="1" t="shared" si="181"/>
        <v>41421</v>
      </c>
    </row>
    <row r="2888" spans="2:2">
      <c r="B2888" s="251">
        <f ca="1" t="shared" si="181"/>
        <v>41420</v>
      </c>
    </row>
    <row r="2889" spans="2:2">
      <c r="B2889" s="251">
        <f ca="1" t="shared" ref="B2889:B2904" si="182">B2888-1</f>
        <v>41419</v>
      </c>
    </row>
    <row r="2890" spans="2:2">
      <c r="B2890" s="251">
        <f ca="1" t="shared" si="182"/>
        <v>41418</v>
      </c>
    </row>
    <row r="2891" spans="2:2">
      <c r="B2891" s="251">
        <f ca="1" t="shared" si="182"/>
        <v>41417</v>
      </c>
    </row>
    <row r="2892" spans="2:2">
      <c r="B2892" s="251">
        <f ca="1" t="shared" si="182"/>
        <v>41416</v>
      </c>
    </row>
    <row r="2893" spans="2:2">
      <c r="B2893" s="251">
        <f ca="1" t="shared" si="182"/>
        <v>41415</v>
      </c>
    </row>
    <row r="2894" spans="2:2">
      <c r="B2894" s="251">
        <f ca="1" t="shared" si="182"/>
        <v>41414</v>
      </c>
    </row>
    <row r="2895" spans="2:2">
      <c r="B2895" s="251">
        <f ca="1" t="shared" si="182"/>
        <v>41413</v>
      </c>
    </row>
    <row r="2896" spans="2:2">
      <c r="B2896" s="251">
        <f ca="1" t="shared" si="182"/>
        <v>41412</v>
      </c>
    </row>
    <row r="2897" spans="2:2">
      <c r="B2897" s="251">
        <f ca="1" t="shared" si="182"/>
        <v>41411</v>
      </c>
    </row>
    <row r="2898" spans="2:2">
      <c r="B2898" s="251">
        <f ca="1" t="shared" si="182"/>
        <v>41410</v>
      </c>
    </row>
    <row r="2899" spans="2:2">
      <c r="B2899" s="251">
        <f ca="1" t="shared" si="182"/>
        <v>41409</v>
      </c>
    </row>
    <row r="2900" spans="2:2">
      <c r="B2900" s="251">
        <f ca="1" t="shared" si="182"/>
        <v>41408</v>
      </c>
    </row>
    <row r="2901" spans="2:2">
      <c r="B2901" s="251">
        <f ca="1" t="shared" si="182"/>
        <v>41407</v>
      </c>
    </row>
    <row r="2902" spans="2:2">
      <c r="B2902" s="251">
        <f ca="1" t="shared" si="182"/>
        <v>41406</v>
      </c>
    </row>
    <row r="2903" spans="2:2">
      <c r="B2903" s="251">
        <f ca="1" t="shared" si="182"/>
        <v>41405</v>
      </c>
    </row>
    <row r="2904" spans="2:2">
      <c r="B2904" s="251">
        <f ca="1" t="shared" si="182"/>
        <v>41404</v>
      </c>
    </row>
    <row r="2905" spans="2:2">
      <c r="B2905" s="251">
        <f ca="1" t="shared" ref="B2905:B2920" si="183">B2904-1</f>
        <v>41403</v>
      </c>
    </row>
    <row r="2906" spans="2:2">
      <c r="B2906" s="251">
        <f ca="1" t="shared" si="183"/>
        <v>41402</v>
      </c>
    </row>
    <row r="2907" spans="2:2">
      <c r="B2907" s="251">
        <f ca="1" t="shared" si="183"/>
        <v>41401</v>
      </c>
    </row>
    <row r="2908" spans="2:2">
      <c r="B2908" s="251">
        <f ca="1" t="shared" si="183"/>
        <v>41400</v>
      </c>
    </row>
    <row r="2909" spans="2:2">
      <c r="B2909" s="251">
        <f ca="1" t="shared" si="183"/>
        <v>41399</v>
      </c>
    </row>
    <row r="2910" spans="2:2">
      <c r="B2910" s="251">
        <f ca="1" t="shared" si="183"/>
        <v>41398</v>
      </c>
    </row>
    <row r="2911" spans="2:2">
      <c r="B2911" s="251">
        <f ca="1" t="shared" si="183"/>
        <v>41397</v>
      </c>
    </row>
    <row r="2912" spans="2:2">
      <c r="B2912" s="251">
        <f ca="1" t="shared" si="183"/>
        <v>41396</v>
      </c>
    </row>
    <row r="2913" spans="2:2">
      <c r="B2913" s="251">
        <f ca="1" t="shared" si="183"/>
        <v>41395</v>
      </c>
    </row>
    <row r="2914" spans="2:2">
      <c r="B2914" s="251">
        <f ca="1" t="shared" si="183"/>
        <v>41394</v>
      </c>
    </row>
    <row r="2915" spans="2:2">
      <c r="B2915" s="251">
        <f ca="1" t="shared" si="183"/>
        <v>41393</v>
      </c>
    </row>
    <row r="2916" spans="2:2">
      <c r="B2916" s="251">
        <f ca="1" t="shared" si="183"/>
        <v>41392</v>
      </c>
    </row>
    <row r="2917" spans="2:2">
      <c r="B2917" s="251">
        <f ca="1" t="shared" si="183"/>
        <v>41391</v>
      </c>
    </row>
    <row r="2918" spans="2:2">
      <c r="B2918" s="251">
        <f ca="1" t="shared" si="183"/>
        <v>41390</v>
      </c>
    </row>
    <row r="2919" spans="2:2">
      <c r="B2919" s="251">
        <f ca="1" t="shared" si="183"/>
        <v>41389</v>
      </c>
    </row>
    <row r="2920" spans="2:2">
      <c r="B2920" s="251">
        <f ca="1" t="shared" si="183"/>
        <v>41388</v>
      </c>
    </row>
    <row r="2921" spans="2:2">
      <c r="B2921" s="251">
        <f ca="1" t="shared" ref="B2921:B2936" si="184">B2920-1</f>
        <v>41387</v>
      </c>
    </row>
    <row r="2922" spans="2:2">
      <c r="B2922" s="251">
        <f ca="1" t="shared" si="184"/>
        <v>41386</v>
      </c>
    </row>
    <row r="2923" spans="2:2">
      <c r="B2923" s="251">
        <f ca="1" t="shared" si="184"/>
        <v>41385</v>
      </c>
    </row>
    <row r="2924" spans="2:2">
      <c r="B2924" s="251">
        <f ca="1" t="shared" si="184"/>
        <v>41384</v>
      </c>
    </row>
    <row r="2925" spans="2:2">
      <c r="B2925" s="251">
        <f ca="1" t="shared" si="184"/>
        <v>41383</v>
      </c>
    </row>
    <row r="2926" spans="2:2">
      <c r="B2926" s="251">
        <f ca="1" t="shared" si="184"/>
        <v>41382</v>
      </c>
    </row>
    <row r="2927" spans="2:2">
      <c r="B2927" s="251">
        <f ca="1" t="shared" si="184"/>
        <v>41381</v>
      </c>
    </row>
    <row r="2928" spans="2:2">
      <c r="B2928" s="251">
        <f ca="1" t="shared" si="184"/>
        <v>41380</v>
      </c>
    </row>
    <row r="2929" spans="2:2">
      <c r="B2929" s="251">
        <f ca="1" t="shared" si="184"/>
        <v>41379</v>
      </c>
    </row>
    <row r="2930" spans="2:2">
      <c r="B2930" s="251">
        <f ca="1" t="shared" si="184"/>
        <v>41378</v>
      </c>
    </row>
    <row r="2931" spans="2:2">
      <c r="B2931" s="251">
        <f ca="1" t="shared" si="184"/>
        <v>41377</v>
      </c>
    </row>
    <row r="2932" spans="2:2">
      <c r="B2932" s="251">
        <f ca="1" t="shared" si="184"/>
        <v>41376</v>
      </c>
    </row>
    <row r="2933" spans="2:2">
      <c r="B2933" s="251">
        <f ca="1" t="shared" si="184"/>
        <v>41375</v>
      </c>
    </row>
    <row r="2934" spans="2:2">
      <c r="B2934" s="251">
        <f ca="1" t="shared" si="184"/>
        <v>41374</v>
      </c>
    </row>
    <row r="2935" spans="2:2">
      <c r="B2935" s="251">
        <f ca="1" t="shared" si="184"/>
        <v>41373</v>
      </c>
    </row>
    <row r="2936" spans="2:2">
      <c r="B2936" s="251">
        <f ca="1" t="shared" si="184"/>
        <v>41372</v>
      </c>
    </row>
    <row r="2937" spans="2:2">
      <c r="B2937" s="251">
        <f ca="1" t="shared" ref="B2937:B2952" si="185">B2936-1</f>
        <v>41371</v>
      </c>
    </row>
    <row r="2938" spans="2:2">
      <c r="B2938" s="251">
        <f ca="1" t="shared" si="185"/>
        <v>41370</v>
      </c>
    </row>
    <row r="2939" spans="2:2">
      <c r="B2939" s="251">
        <f ca="1" t="shared" si="185"/>
        <v>41369</v>
      </c>
    </row>
    <row r="2940" spans="2:2">
      <c r="B2940" s="251">
        <f ca="1" t="shared" si="185"/>
        <v>41368</v>
      </c>
    </row>
    <row r="2941" spans="2:2">
      <c r="B2941" s="251">
        <f ca="1" t="shared" si="185"/>
        <v>41367</v>
      </c>
    </row>
    <row r="2942" spans="2:2">
      <c r="B2942" s="251">
        <f ca="1" t="shared" si="185"/>
        <v>41366</v>
      </c>
    </row>
    <row r="2943" spans="2:2">
      <c r="B2943" s="251">
        <f ca="1" t="shared" si="185"/>
        <v>41365</v>
      </c>
    </row>
    <row r="2944" spans="2:2">
      <c r="B2944" s="251">
        <f ca="1" t="shared" si="185"/>
        <v>41364</v>
      </c>
    </row>
    <row r="2945" spans="2:2">
      <c r="B2945" s="251">
        <f ca="1" t="shared" si="185"/>
        <v>41363</v>
      </c>
    </row>
    <row r="2946" spans="2:2">
      <c r="B2946" s="251">
        <f ca="1" t="shared" si="185"/>
        <v>41362</v>
      </c>
    </row>
    <row r="2947" spans="2:2">
      <c r="B2947" s="251">
        <f ca="1" t="shared" si="185"/>
        <v>41361</v>
      </c>
    </row>
    <row r="2948" spans="2:2">
      <c r="B2948" s="251">
        <f ca="1" t="shared" si="185"/>
        <v>41360</v>
      </c>
    </row>
    <row r="2949" spans="2:2">
      <c r="B2949" s="251">
        <f ca="1" t="shared" si="185"/>
        <v>41359</v>
      </c>
    </row>
    <row r="2950" spans="2:2">
      <c r="B2950" s="251">
        <f ca="1" t="shared" si="185"/>
        <v>41358</v>
      </c>
    </row>
    <row r="2951" spans="2:2">
      <c r="B2951" s="251">
        <f ca="1" t="shared" si="185"/>
        <v>41357</v>
      </c>
    </row>
    <row r="2952" spans="2:2">
      <c r="B2952" s="251">
        <f ca="1" t="shared" si="185"/>
        <v>41356</v>
      </c>
    </row>
    <row r="2953" spans="2:2">
      <c r="B2953" s="251">
        <f ca="1" t="shared" ref="B2953:B2968" si="186">B2952-1</f>
        <v>41355</v>
      </c>
    </row>
    <row r="2954" spans="2:2">
      <c r="B2954" s="251">
        <f ca="1" t="shared" si="186"/>
        <v>41354</v>
      </c>
    </row>
    <row r="2955" spans="2:2">
      <c r="B2955" s="251">
        <f ca="1" t="shared" si="186"/>
        <v>41353</v>
      </c>
    </row>
    <row r="2956" spans="2:2">
      <c r="B2956" s="251">
        <f ca="1" t="shared" si="186"/>
        <v>41352</v>
      </c>
    </row>
    <row r="2957" spans="2:2">
      <c r="B2957" s="251">
        <f ca="1" t="shared" si="186"/>
        <v>41351</v>
      </c>
    </row>
    <row r="2958" spans="2:2">
      <c r="B2958" s="251">
        <f ca="1" t="shared" si="186"/>
        <v>41350</v>
      </c>
    </row>
    <row r="2959" spans="2:2">
      <c r="B2959" s="251">
        <f ca="1" t="shared" si="186"/>
        <v>41349</v>
      </c>
    </row>
    <row r="2960" spans="2:2">
      <c r="B2960" s="251">
        <f ca="1" t="shared" si="186"/>
        <v>41348</v>
      </c>
    </row>
    <row r="2961" spans="2:2">
      <c r="B2961" s="251">
        <f ca="1" t="shared" si="186"/>
        <v>41347</v>
      </c>
    </row>
    <row r="2962" spans="2:2">
      <c r="B2962" s="251">
        <f ca="1" t="shared" si="186"/>
        <v>41346</v>
      </c>
    </row>
    <row r="2963" spans="2:2">
      <c r="B2963" s="251">
        <f ca="1" t="shared" si="186"/>
        <v>41345</v>
      </c>
    </row>
    <row r="2964" spans="2:2">
      <c r="B2964" s="251">
        <f ca="1" t="shared" si="186"/>
        <v>41344</v>
      </c>
    </row>
    <row r="2965" spans="2:2">
      <c r="B2965" s="251">
        <f ca="1" t="shared" si="186"/>
        <v>41343</v>
      </c>
    </row>
    <row r="2966" spans="2:2">
      <c r="B2966" s="251">
        <f ca="1" t="shared" si="186"/>
        <v>41342</v>
      </c>
    </row>
    <row r="2967" spans="2:2">
      <c r="B2967" s="251">
        <f ca="1" t="shared" si="186"/>
        <v>41341</v>
      </c>
    </row>
    <row r="2968" spans="2:2">
      <c r="B2968" s="251">
        <f ca="1" t="shared" si="186"/>
        <v>41340</v>
      </c>
    </row>
    <row r="2969" spans="2:2">
      <c r="B2969" s="251">
        <f ca="1" t="shared" ref="B2969:B2984" si="187">B2968-1</f>
        <v>41339</v>
      </c>
    </row>
    <row r="2970" spans="2:2">
      <c r="B2970" s="251">
        <f ca="1" t="shared" si="187"/>
        <v>41338</v>
      </c>
    </row>
    <row r="2971" spans="2:2">
      <c r="B2971" s="251">
        <f ca="1" t="shared" si="187"/>
        <v>41337</v>
      </c>
    </row>
    <row r="2972" spans="2:2">
      <c r="B2972" s="251">
        <f ca="1" t="shared" si="187"/>
        <v>41336</v>
      </c>
    </row>
    <row r="2973" spans="2:2">
      <c r="B2973" s="251">
        <f ca="1" t="shared" si="187"/>
        <v>41335</v>
      </c>
    </row>
    <row r="2974" spans="2:2">
      <c r="B2974" s="251">
        <f ca="1" t="shared" si="187"/>
        <v>41334</v>
      </c>
    </row>
    <row r="2975" spans="2:2">
      <c r="B2975" s="251">
        <f ca="1" t="shared" si="187"/>
        <v>41333</v>
      </c>
    </row>
    <row r="2976" spans="2:2">
      <c r="B2976" s="251">
        <f ca="1" t="shared" si="187"/>
        <v>41332</v>
      </c>
    </row>
    <row r="2977" spans="2:2">
      <c r="B2977" s="251">
        <f ca="1" t="shared" si="187"/>
        <v>41331</v>
      </c>
    </row>
    <row r="2978" spans="2:2">
      <c r="B2978" s="251">
        <f ca="1" t="shared" si="187"/>
        <v>41330</v>
      </c>
    </row>
    <row r="2979" spans="2:2">
      <c r="B2979" s="251">
        <f ca="1" t="shared" si="187"/>
        <v>41329</v>
      </c>
    </row>
    <row r="2980" spans="2:2">
      <c r="B2980" s="251">
        <f ca="1" t="shared" si="187"/>
        <v>41328</v>
      </c>
    </row>
    <row r="2981" spans="2:2">
      <c r="B2981" s="251">
        <f ca="1" t="shared" si="187"/>
        <v>41327</v>
      </c>
    </row>
    <row r="2982" spans="2:2">
      <c r="B2982" s="251">
        <f ca="1" t="shared" si="187"/>
        <v>41326</v>
      </c>
    </row>
    <row r="2983" spans="2:2">
      <c r="B2983" s="251">
        <f ca="1" t="shared" si="187"/>
        <v>41325</v>
      </c>
    </row>
    <row r="2984" spans="2:2">
      <c r="B2984" s="251">
        <f ca="1" t="shared" si="187"/>
        <v>41324</v>
      </c>
    </row>
    <row r="2985" spans="2:2">
      <c r="B2985" s="251">
        <f ca="1" t="shared" ref="B2985:B3000" si="188">B2984-1</f>
        <v>41323</v>
      </c>
    </row>
    <row r="2986" spans="2:2">
      <c r="B2986" s="251">
        <f ca="1" t="shared" si="188"/>
        <v>41322</v>
      </c>
    </row>
    <row r="2987" spans="2:2">
      <c r="B2987" s="251">
        <f ca="1" t="shared" si="188"/>
        <v>41321</v>
      </c>
    </row>
    <row r="2988" spans="2:2">
      <c r="B2988" s="251">
        <f ca="1" t="shared" si="188"/>
        <v>41320</v>
      </c>
    </row>
    <row r="2989" spans="2:2">
      <c r="B2989" s="251">
        <f ca="1" t="shared" si="188"/>
        <v>41319</v>
      </c>
    </row>
    <row r="2990" spans="2:2">
      <c r="B2990" s="251">
        <f ca="1" t="shared" si="188"/>
        <v>41318</v>
      </c>
    </row>
    <row r="2991" spans="2:2">
      <c r="B2991" s="251">
        <f ca="1" t="shared" si="188"/>
        <v>41317</v>
      </c>
    </row>
    <row r="2992" spans="2:2">
      <c r="B2992" s="251">
        <f ca="1" t="shared" si="188"/>
        <v>41316</v>
      </c>
    </row>
    <row r="2993" spans="2:2">
      <c r="B2993" s="251">
        <f ca="1" t="shared" si="188"/>
        <v>41315</v>
      </c>
    </row>
    <row r="2994" spans="2:2">
      <c r="B2994" s="251">
        <f ca="1" t="shared" si="188"/>
        <v>41314</v>
      </c>
    </row>
    <row r="2995" spans="2:2">
      <c r="B2995" s="251">
        <f ca="1" t="shared" si="188"/>
        <v>41313</v>
      </c>
    </row>
    <row r="2996" spans="2:2">
      <c r="B2996" s="251">
        <f ca="1" t="shared" si="188"/>
        <v>41312</v>
      </c>
    </row>
    <row r="2997" spans="2:2">
      <c r="B2997" s="251">
        <f ca="1" t="shared" si="188"/>
        <v>41311</v>
      </c>
    </row>
    <row r="2998" spans="2:2">
      <c r="B2998" s="251">
        <f ca="1" t="shared" si="188"/>
        <v>41310</v>
      </c>
    </row>
    <row r="2999" spans="2:2">
      <c r="B2999" s="251">
        <f ca="1" t="shared" si="188"/>
        <v>41309</v>
      </c>
    </row>
    <row r="3000" spans="2:2">
      <c r="B3000" s="251">
        <f ca="1" t="shared" si="188"/>
        <v>41308</v>
      </c>
    </row>
    <row r="3001" spans="2:2">
      <c r="B3001" s="251">
        <f ca="1" t="shared" ref="B3001:B3016" si="189">B3000-1</f>
        <v>41307</v>
      </c>
    </row>
    <row r="3002" spans="2:2">
      <c r="B3002" s="251">
        <f ca="1" t="shared" si="189"/>
        <v>41306</v>
      </c>
    </row>
    <row r="3003" spans="2:2">
      <c r="B3003" s="251">
        <f ca="1" t="shared" si="189"/>
        <v>41305</v>
      </c>
    </row>
    <row r="3004" spans="2:2">
      <c r="B3004" s="251">
        <f ca="1" t="shared" si="189"/>
        <v>41304</v>
      </c>
    </row>
    <row r="3005" spans="2:2">
      <c r="B3005" s="251">
        <f ca="1" t="shared" si="189"/>
        <v>41303</v>
      </c>
    </row>
    <row r="3006" spans="2:2">
      <c r="B3006" s="251">
        <f ca="1" t="shared" si="189"/>
        <v>41302</v>
      </c>
    </row>
    <row r="3007" spans="2:2">
      <c r="B3007" s="251">
        <f ca="1" t="shared" si="189"/>
        <v>41301</v>
      </c>
    </row>
    <row r="3008" spans="2:2">
      <c r="B3008" s="251">
        <f ca="1" t="shared" si="189"/>
        <v>41300</v>
      </c>
    </row>
    <row r="3009" spans="2:2">
      <c r="B3009" s="251">
        <f ca="1" t="shared" si="189"/>
        <v>41299</v>
      </c>
    </row>
    <row r="3010" spans="2:2">
      <c r="B3010" s="251">
        <f ca="1" t="shared" si="189"/>
        <v>41298</v>
      </c>
    </row>
    <row r="3011" spans="2:2">
      <c r="B3011" s="251">
        <f ca="1" t="shared" si="189"/>
        <v>41297</v>
      </c>
    </row>
    <row r="3012" spans="2:2">
      <c r="B3012" s="251">
        <f ca="1" t="shared" si="189"/>
        <v>41296</v>
      </c>
    </row>
    <row r="3013" spans="2:2">
      <c r="B3013" s="251">
        <f ca="1" t="shared" si="189"/>
        <v>41295</v>
      </c>
    </row>
    <row r="3014" spans="2:2">
      <c r="B3014" s="251">
        <f ca="1" t="shared" si="189"/>
        <v>41294</v>
      </c>
    </row>
    <row r="3015" spans="2:2">
      <c r="B3015" s="251">
        <f ca="1" t="shared" si="189"/>
        <v>41293</v>
      </c>
    </row>
    <row r="3016" spans="2:2">
      <c r="B3016" s="251">
        <f ca="1" t="shared" si="189"/>
        <v>41292</v>
      </c>
    </row>
    <row r="3017" spans="2:2">
      <c r="B3017" s="251">
        <f ca="1" t="shared" ref="B3017:B3032" si="190">B3016-1</f>
        <v>41291</v>
      </c>
    </row>
    <row r="3018" spans="2:2">
      <c r="B3018" s="251">
        <f ca="1" t="shared" si="190"/>
        <v>41290</v>
      </c>
    </row>
    <row r="3019" spans="2:2">
      <c r="B3019" s="251">
        <f ca="1" t="shared" si="190"/>
        <v>41289</v>
      </c>
    </row>
    <row r="3020" spans="2:2">
      <c r="B3020" s="251">
        <f ca="1" t="shared" si="190"/>
        <v>41288</v>
      </c>
    </row>
    <row r="3021" spans="2:2">
      <c r="B3021" s="251">
        <f ca="1" t="shared" si="190"/>
        <v>41287</v>
      </c>
    </row>
    <row r="3022" spans="2:2">
      <c r="B3022" s="251">
        <f ca="1" t="shared" si="190"/>
        <v>41286</v>
      </c>
    </row>
    <row r="3023" spans="2:2">
      <c r="B3023" s="251">
        <f ca="1" t="shared" si="190"/>
        <v>41285</v>
      </c>
    </row>
    <row r="3024" spans="2:2">
      <c r="B3024" s="251">
        <f ca="1" t="shared" si="190"/>
        <v>41284</v>
      </c>
    </row>
    <row r="3025" spans="2:2">
      <c r="B3025" s="251">
        <f ca="1" t="shared" si="190"/>
        <v>41283</v>
      </c>
    </row>
    <row r="3026" spans="2:2">
      <c r="B3026" s="251">
        <f ca="1" t="shared" si="190"/>
        <v>41282</v>
      </c>
    </row>
    <row r="3027" spans="2:2">
      <c r="B3027" s="251">
        <f ca="1" t="shared" si="190"/>
        <v>41281</v>
      </c>
    </row>
    <row r="3028" spans="2:2">
      <c r="B3028" s="251">
        <f ca="1" t="shared" si="190"/>
        <v>41280</v>
      </c>
    </row>
    <row r="3029" spans="2:2">
      <c r="B3029" s="251">
        <f ca="1" t="shared" si="190"/>
        <v>41279</v>
      </c>
    </row>
    <row r="3030" spans="2:2">
      <c r="B3030" s="251">
        <f ca="1" t="shared" si="190"/>
        <v>41278</v>
      </c>
    </row>
    <row r="3031" spans="2:2">
      <c r="B3031" s="251">
        <f ca="1" t="shared" si="190"/>
        <v>41277</v>
      </c>
    </row>
    <row r="3032" spans="2:2">
      <c r="B3032" s="251">
        <f ca="1" t="shared" si="190"/>
        <v>41276</v>
      </c>
    </row>
    <row r="3033" spans="2:2">
      <c r="B3033" s="251">
        <f ca="1" t="shared" ref="B3033:B3048" si="191">B3032-1</f>
        <v>41275</v>
      </c>
    </row>
    <row r="3034" spans="2:2">
      <c r="B3034" s="251">
        <f ca="1" t="shared" si="191"/>
        <v>41274</v>
      </c>
    </row>
    <row r="3035" spans="2:2">
      <c r="B3035" s="251">
        <f ca="1" t="shared" si="191"/>
        <v>41273</v>
      </c>
    </row>
    <row r="3036" spans="2:2">
      <c r="B3036" s="251">
        <f ca="1" t="shared" si="191"/>
        <v>41272</v>
      </c>
    </row>
    <row r="3037" spans="2:2">
      <c r="B3037" s="251">
        <f ca="1" t="shared" si="191"/>
        <v>41271</v>
      </c>
    </row>
    <row r="3038" spans="2:2">
      <c r="B3038" s="251">
        <f ca="1" t="shared" si="191"/>
        <v>41270</v>
      </c>
    </row>
    <row r="3039" spans="2:2">
      <c r="B3039" s="251">
        <f ca="1" t="shared" si="191"/>
        <v>41269</v>
      </c>
    </row>
    <row r="3040" spans="2:2">
      <c r="B3040" s="251">
        <f ca="1" t="shared" si="191"/>
        <v>41268</v>
      </c>
    </row>
    <row r="3041" spans="2:2">
      <c r="B3041" s="251">
        <f ca="1" t="shared" si="191"/>
        <v>41267</v>
      </c>
    </row>
    <row r="3042" spans="2:2">
      <c r="B3042" s="251">
        <f ca="1" t="shared" si="191"/>
        <v>41266</v>
      </c>
    </row>
    <row r="3043" spans="2:2">
      <c r="B3043" s="251">
        <f ca="1" t="shared" si="191"/>
        <v>41265</v>
      </c>
    </row>
    <row r="3044" spans="2:2">
      <c r="B3044" s="251">
        <f ca="1" t="shared" si="191"/>
        <v>41264</v>
      </c>
    </row>
    <row r="3045" spans="2:2">
      <c r="B3045" s="251">
        <f ca="1" t="shared" si="191"/>
        <v>41263</v>
      </c>
    </row>
    <row r="3046" spans="2:2">
      <c r="B3046" s="251">
        <f ca="1" t="shared" si="191"/>
        <v>41262</v>
      </c>
    </row>
    <row r="3047" spans="2:2">
      <c r="B3047" s="251">
        <f ca="1" t="shared" si="191"/>
        <v>41261</v>
      </c>
    </row>
    <row r="3048" spans="2:2">
      <c r="B3048" s="251">
        <f ca="1" t="shared" si="191"/>
        <v>41260</v>
      </c>
    </row>
    <row r="3049" spans="2:2">
      <c r="B3049" s="251">
        <f ca="1" t="shared" ref="B3049:B3064" si="192">B3048-1</f>
        <v>41259</v>
      </c>
    </row>
    <row r="3050" spans="2:2">
      <c r="B3050" s="251">
        <f ca="1" t="shared" si="192"/>
        <v>41258</v>
      </c>
    </row>
    <row r="3051" spans="2:2">
      <c r="B3051" s="251">
        <f ca="1" t="shared" si="192"/>
        <v>41257</v>
      </c>
    </row>
    <row r="3052" spans="2:2">
      <c r="B3052" s="251">
        <f ca="1" t="shared" si="192"/>
        <v>41256</v>
      </c>
    </row>
    <row r="3053" spans="2:2">
      <c r="B3053" s="251">
        <f ca="1" t="shared" si="192"/>
        <v>41255</v>
      </c>
    </row>
    <row r="3054" spans="2:2">
      <c r="B3054" s="251">
        <f ca="1" t="shared" si="192"/>
        <v>41254</v>
      </c>
    </row>
    <row r="3055" spans="2:2">
      <c r="B3055" s="251">
        <f ca="1" t="shared" si="192"/>
        <v>41253</v>
      </c>
    </row>
    <row r="3056" spans="2:2">
      <c r="B3056" s="251">
        <f ca="1" t="shared" si="192"/>
        <v>41252</v>
      </c>
    </row>
    <row r="3057" spans="2:2">
      <c r="B3057" s="251">
        <f ca="1" t="shared" si="192"/>
        <v>41251</v>
      </c>
    </row>
    <row r="3058" spans="2:2">
      <c r="B3058" s="251">
        <f ca="1" t="shared" si="192"/>
        <v>41250</v>
      </c>
    </row>
    <row r="3059" spans="2:2">
      <c r="B3059" s="251">
        <f ca="1" t="shared" si="192"/>
        <v>41249</v>
      </c>
    </row>
    <row r="3060" spans="2:2">
      <c r="B3060" s="251">
        <f ca="1" t="shared" si="192"/>
        <v>41248</v>
      </c>
    </row>
    <row r="3061" spans="2:2">
      <c r="B3061" s="251">
        <f ca="1" t="shared" si="192"/>
        <v>41247</v>
      </c>
    </row>
    <row r="3062" spans="2:2">
      <c r="B3062" s="251">
        <f ca="1" t="shared" si="192"/>
        <v>41246</v>
      </c>
    </row>
    <row r="3063" spans="2:2">
      <c r="B3063" s="251">
        <f ca="1" t="shared" si="192"/>
        <v>41245</v>
      </c>
    </row>
    <row r="3064" spans="2:2">
      <c r="B3064" s="251">
        <f ca="1" t="shared" si="192"/>
        <v>41244</v>
      </c>
    </row>
    <row r="3065" spans="2:2">
      <c r="B3065" s="251">
        <f ca="1" t="shared" ref="B3065:B3080" si="193">B3064-1</f>
        <v>41243</v>
      </c>
    </row>
    <row r="3066" spans="2:2">
      <c r="B3066" s="251">
        <f ca="1" t="shared" si="193"/>
        <v>41242</v>
      </c>
    </row>
    <row r="3067" spans="2:2">
      <c r="B3067" s="251">
        <f ca="1" t="shared" si="193"/>
        <v>41241</v>
      </c>
    </row>
    <row r="3068" spans="2:2">
      <c r="B3068" s="251">
        <f ca="1" t="shared" si="193"/>
        <v>41240</v>
      </c>
    </row>
    <row r="3069" spans="2:2">
      <c r="B3069" s="251">
        <f ca="1" t="shared" si="193"/>
        <v>41239</v>
      </c>
    </row>
    <row r="3070" spans="2:2">
      <c r="B3070" s="251">
        <f ca="1" t="shared" si="193"/>
        <v>41238</v>
      </c>
    </row>
    <row r="3071" spans="2:2">
      <c r="B3071" s="251">
        <f ca="1" t="shared" si="193"/>
        <v>41237</v>
      </c>
    </row>
    <row r="3072" spans="2:2">
      <c r="B3072" s="251">
        <f ca="1" t="shared" si="193"/>
        <v>41236</v>
      </c>
    </row>
    <row r="3073" spans="2:2">
      <c r="B3073" s="251">
        <f ca="1" t="shared" si="193"/>
        <v>41235</v>
      </c>
    </row>
    <row r="3074" spans="2:2">
      <c r="B3074" s="251">
        <f ca="1" t="shared" si="193"/>
        <v>41234</v>
      </c>
    </row>
    <row r="3075" spans="2:2">
      <c r="B3075" s="251">
        <f ca="1" t="shared" si="193"/>
        <v>41233</v>
      </c>
    </row>
    <row r="3076" spans="2:2">
      <c r="B3076" s="251">
        <f ca="1" t="shared" si="193"/>
        <v>41232</v>
      </c>
    </row>
    <row r="3077" spans="2:2">
      <c r="B3077" s="251">
        <f ca="1" t="shared" si="193"/>
        <v>41231</v>
      </c>
    </row>
    <row r="3078" spans="2:2">
      <c r="B3078" s="251">
        <f ca="1" t="shared" si="193"/>
        <v>41230</v>
      </c>
    </row>
    <row r="3079" spans="2:2">
      <c r="B3079" s="251">
        <f ca="1" t="shared" si="193"/>
        <v>41229</v>
      </c>
    </row>
    <row r="3080" spans="2:2">
      <c r="B3080" s="251">
        <f ca="1" t="shared" si="193"/>
        <v>41228</v>
      </c>
    </row>
    <row r="3081" spans="2:2">
      <c r="B3081" s="251">
        <f ca="1" t="shared" ref="B3081:B3096" si="194">B3080-1</f>
        <v>41227</v>
      </c>
    </row>
    <row r="3082" spans="2:2">
      <c r="B3082" s="251">
        <f ca="1" t="shared" si="194"/>
        <v>41226</v>
      </c>
    </row>
    <row r="3083" spans="2:2">
      <c r="B3083" s="251">
        <f ca="1" t="shared" si="194"/>
        <v>41225</v>
      </c>
    </row>
    <row r="3084" spans="2:2">
      <c r="B3084" s="251">
        <f ca="1" t="shared" si="194"/>
        <v>41224</v>
      </c>
    </row>
    <row r="3085" spans="2:2">
      <c r="B3085" s="251">
        <f ca="1" t="shared" si="194"/>
        <v>41223</v>
      </c>
    </row>
    <row r="3086" spans="2:2">
      <c r="B3086" s="251">
        <f ca="1" t="shared" si="194"/>
        <v>41222</v>
      </c>
    </row>
    <row r="3087" spans="2:2">
      <c r="B3087" s="251">
        <f ca="1" t="shared" si="194"/>
        <v>41221</v>
      </c>
    </row>
    <row r="3088" spans="2:2">
      <c r="B3088" s="251">
        <f ca="1" t="shared" si="194"/>
        <v>41220</v>
      </c>
    </row>
    <row r="3089" spans="2:2">
      <c r="B3089" s="251">
        <f ca="1" t="shared" si="194"/>
        <v>41219</v>
      </c>
    </row>
    <row r="3090" spans="2:2">
      <c r="B3090" s="251">
        <f ca="1" t="shared" si="194"/>
        <v>41218</v>
      </c>
    </row>
    <row r="3091" spans="2:2">
      <c r="B3091" s="251">
        <f ca="1" t="shared" si="194"/>
        <v>41217</v>
      </c>
    </row>
    <row r="3092" spans="2:2">
      <c r="B3092" s="251">
        <f ca="1" t="shared" si="194"/>
        <v>41216</v>
      </c>
    </row>
    <row r="3093" spans="2:2">
      <c r="B3093" s="251">
        <f ca="1" t="shared" si="194"/>
        <v>41215</v>
      </c>
    </row>
    <row r="3094" spans="2:2">
      <c r="B3094" s="251">
        <f ca="1" t="shared" si="194"/>
        <v>41214</v>
      </c>
    </row>
    <row r="3095" spans="2:2">
      <c r="B3095" s="251">
        <f ca="1" t="shared" si="194"/>
        <v>41213</v>
      </c>
    </row>
    <row r="3096" spans="2:2">
      <c r="B3096" s="251">
        <f ca="1" t="shared" si="194"/>
        <v>41212</v>
      </c>
    </row>
    <row r="3097" spans="2:2">
      <c r="B3097" s="251">
        <f ca="1" t="shared" ref="B3097:B3112" si="195">B3096-1</f>
        <v>41211</v>
      </c>
    </row>
    <row r="3098" spans="2:2">
      <c r="B3098" s="251">
        <f ca="1" t="shared" si="195"/>
        <v>41210</v>
      </c>
    </row>
    <row r="3099" spans="2:2">
      <c r="B3099" s="251">
        <f ca="1" t="shared" si="195"/>
        <v>41209</v>
      </c>
    </row>
    <row r="3100" spans="2:2">
      <c r="B3100" s="251">
        <f ca="1" t="shared" si="195"/>
        <v>41208</v>
      </c>
    </row>
    <row r="3101" spans="2:2">
      <c r="B3101" s="251">
        <f ca="1" t="shared" si="195"/>
        <v>41207</v>
      </c>
    </row>
    <row r="3102" spans="2:2">
      <c r="B3102" s="251">
        <f ca="1" t="shared" si="195"/>
        <v>41206</v>
      </c>
    </row>
    <row r="3103" spans="2:2">
      <c r="B3103" s="251">
        <f ca="1" t="shared" si="195"/>
        <v>41205</v>
      </c>
    </row>
    <row r="3104" spans="2:2">
      <c r="B3104" s="251">
        <f ca="1" t="shared" si="195"/>
        <v>41204</v>
      </c>
    </row>
    <row r="3105" spans="2:2">
      <c r="B3105" s="251">
        <f ca="1" t="shared" si="195"/>
        <v>41203</v>
      </c>
    </row>
    <row r="3106" spans="2:2">
      <c r="B3106" s="251">
        <f ca="1" t="shared" si="195"/>
        <v>41202</v>
      </c>
    </row>
    <row r="3107" spans="2:2">
      <c r="B3107" s="251">
        <f ca="1" t="shared" si="195"/>
        <v>41201</v>
      </c>
    </row>
    <row r="3108" spans="2:2">
      <c r="B3108" s="251">
        <f ca="1" t="shared" si="195"/>
        <v>41200</v>
      </c>
    </row>
    <row r="3109" spans="2:2">
      <c r="B3109" s="251">
        <f ca="1" t="shared" si="195"/>
        <v>41199</v>
      </c>
    </row>
    <row r="3110" spans="2:2">
      <c r="B3110" s="251">
        <f ca="1" t="shared" si="195"/>
        <v>41198</v>
      </c>
    </row>
    <row r="3111" spans="2:2">
      <c r="B3111" s="251">
        <f ca="1" t="shared" si="195"/>
        <v>41197</v>
      </c>
    </row>
    <row r="3112" spans="2:2">
      <c r="B3112" s="251">
        <f ca="1" t="shared" si="195"/>
        <v>41196</v>
      </c>
    </row>
    <row r="3113" spans="2:2">
      <c r="B3113" s="251">
        <f ca="1" t="shared" ref="B3113:B3128" si="196">B3112-1</f>
        <v>41195</v>
      </c>
    </row>
    <row r="3114" spans="2:2">
      <c r="B3114" s="251">
        <f ca="1" t="shared" si="196"/>
        <v>41194</v>
      </c>
    </row>
    <row r="3115" spans="2:2">
      <c r="B3115" s="251">
        <f ca="1" t="shared" si="196"/>
        <v>41193</v>
      </c>
    </row>
    <row r="3116" spans="2:2">
      <c r="B3116" s="251">
        <f ca="1" t="shared" si="196"/>
        <v>41192</v>
      </c>
    </row>
    <row r="3117" spans="2:2">
      <c r="B3117" s="251">
        <f ca="1" t="shared" si="196"/>
        <v>41191</v>
      </c>
    </row>
    <row r="3118" spans="2:2">
      <c r="B3118" s="251">
        <f ca="1" t="shared" si="196"/>
        <v>41190</v>
      </c>
    </row>
    <row r="3119" spans="2:2">
      <c r="B3119" s="251">
        <f ca="1" t="shared" si="196"/>
        <v>41189</v>
      </c>
    </row>
    <row r="3120" spans="2:2">
      <c r="B3120" s="251">
        <f ca="1" t="shared" si="196"/>
        <v>41188</v>
      </c>
    </row>
    <row r="3121" spans="2:2">
      <c r="B3121" s="251">
        <f ca="1" t="shared" si="196"/>
        <v>41187</v>
      </c>
    </row>
    <row r="3122" spans="2:2">
      <c r="B3122" s="251">
        <f ca="1" t="shared" si="196"/>
        <v>41186</v>
      </c>
    </row>
    <row r="3123" spans="2:2">
      <c r="B3123" s="251">
        <f ca="1" t="shared" si="196"/>
        <v>41185</v>
      </c>
    </row>
    <row r="3124" spans="2:2">
      <c r="B3124" s="251">
        <f ca="1" t="shared" si="196"/>
        <v>41184</v>
      </c>
    </row>
    <row r="3125" spans="2:2">
      <c r="B3125" s="251">
        <f ca="1" t="shared" si="196"/>
        <v>41183</v>
      </c>
    </row>
    <row r="3126" spans="2:2">
      <c r="B3126" s="251">
        <f ca="1" t="shared" si="196"/>
        <v>41182</v>
      </c>
    </row>
    <row r="3127" spans="2:2">
      <c r="B3127" s="251">
        <f ca="1" t="shared" si="196"/>
        <v>41181</v>
      </c>
    </row>
    <row r="3128" spans="2:2">
      <c r="B3128" s="251">
        <f ca="1" t="shared" si="196"/>
        <v>41180</v>
      </c>
    </row>
    <row r="3129" spans="2:2">
      <c r="B3129" s="251">
        <f ca="1" t="shared" ref="B3129:B3144" si="197">B3128-1</f>
        <v>41179</v>
      </c>
    </row>
    <row r="3130" spans="2:2">
      <c r="B3130" s="251">
        <f ca="1" t="shared" si="197"/>
        <v>41178</v>
      </c>
    </row>
    <row r="3131" spans="2:2">
      <c r="B3131" s="251">
        <f ca="1" t="shared" si="197"/>
        <v>41177</v>
      </c>
    </row>
    <row r="3132" spans="2:2">
      <c r="B3132" s="251">
        <f ca="1" t="shared" si="197"/>
        <v>41176</v>
      </c>
    </row>
    <row r="3133" spans="2:2">
      <c r="B3133" s="251">
        <f ca="1" t="shared" si="197"/>
        <v>41175</v>
      </c>
    </row>
    <row r="3134" spans="2:2">
      <c r="B3134" s="251">
        <f ca="1" t="shared" si="197"/>
        <v>41174</v>
      </c>
    </row>
    <row r="3135" spans="2:2">
      <c r="B3135" s="251">
        <f ca="1" t="shared" si="197"/>
        <v>41173</v>
      </c>
    </row>
    <row r="3136" spans="2:2">
      <c r="B3136" s="251">
        <f ca="1" t="shared" si="197"/>
        <v>41172</v>
      </c>
    </row>
    <row r="3137" spans="2:2">
      <c r="B3137" s="251">
        <f ca="1" t="shared" si="197"/>
        <v>41171</v>
      </c>
    </row>
    <row r="3138" spans="2:2">
      <c r="B3138" s="251">
        <f ca="1" t="shared" si="197"/>
        <v>41170</v>
      </c>
    </row>
    <row r="3139" spans="2:2">
      <c r="B3139" s="251">
        <f ca="1" t="shared" si="197"/>
        <v>41169</v>
      </c>
    </row>
    <row r="3140" spans="2:2">
      <c r="B3140" s="251">
        <f ca="1" t="shared" si="197"/>
        <v>41168</v>
      </c>
    </row>
    <row r="3141" spans="2:2">
      <c r="B3141" s="251">
        <f ca="1" t="shared" si="197"/>
        <v>41167</v>
      </c>
    </row>
    <row r="3142" spans="2:2">
      <c r="B3142" s="251">
        <f ca="1" t="shared" si="197"/>
        <v>41166</v>
      </c>
    </row>
    <row r="3143" spans="2:2">
      <c r="B3143" s="251">
        <f ca="1" t="shared" si="197"/>
        <v>41165</v>
      </c>
    </row>
    <row r="3144" spans="2:2">
      <c r="B3144" s="251">
        <f ca="1" t="shared" si="197"/>
        <v>41164</v>
      </c>
    </row>
    <row r="3145" spans="2:2">
      <c r="B3145" s="251">
        <f ca="1" t="shared" ref="B3145:B3160" si="198">B3144-1</f>
        <v>41163</v>
      </c>
    </row>
    <row r="3146" spans="2:2">
      <c r="B3146" s="251">
        <f ca="1" t="shared" si="198"/>
        <v>41162</v>
      </c>
    </row>
    <row r="3147" spans="2:2">
      <c r="B3147" s="251">
        <f ca="1" t="shared" si="198"/>
        <v>41161</v>
      </c>
    </row>
    <row r="3148" spans="2:2">
      <c r="B3148" s="251">
        <f ca="1" t="shared" si="198"/>
        <v>41160</v>
      </c>
    </row>
    <row r="3149" spans="2:2">
      <c r="B3149" s="251">
        <f ca="1" t="shared" si="198"/>
        <v>41159</v>
      </c>
    </row>
    <row r="3150" spans="2:2">
      <c r="B3150" s="251">
        <f ca="1" t="shared" si="198"/>
        <v>41158</v>
      </c>
    </row>
    <row r="3151" spans="2:2">
      <c r="B3151" s="251">
        <f ca="1" t="shared" si="198"/>
        <v>41157</v>
      </c>
    </row>
    <row r="3152" spans="2:2">
      <c r="B3152" s="251">
        <f ca="1" t="shared" si="198"/>
        <v>41156</v>
      </c>
    </row>
    <row r="3153" spans="2:2">
      <c r="B3153" s="251">
        <f ca="1" t="shared" si="198"/>
        <v>41155</v>
      </c>
    </row>
    <row r="3154" spans="2:2">
      <c r="B3154" s="251">
        <f ca="1" t="shared" si="198"/>
        <v>41154</v>
      </c>
    </row>
    <row r="3155" spans="2:2">
      <c r="B3155" s="251">
        <f ca="1" t="shared" si="198"/>
        <v>41153</v>
      </c>
    </row>
    <row r="3156" spans="2:2">
      <c r="B3156" s="251">
        <f ca="1" t="shared" si="198"/>
        <v>41152</v>
      </c>
    </row>
    <row r="3157" spans="2:2">
      <c r="B3157" s="251">
        <f ca="1" t="shared" si="198"/>
        <v>41151</v>
      </c>
    </row>
    <row r="3158" spans="2:2">
      <c r="B3158" s="251">
        <f ca="1" t="shared" si="198"/>
        <v>41150</v>
      </c>
    </row>
    <row r="3159" spans="2:2">
      <c r="B3159" s="251">
        <f ca="1" t="shared" si="198"/>
        <v>41149</v>
      </c>
    </row>
    <row r="3160" spans="2:2">
      <c r="B3160" s="251">
        <f ca="1" t="shared" si="198"/>
        <v>41148</v>
      </c>
    </row>
    <row r="3161" spans="2:2">
      <c r="B3161" s="251">
        <f ca="1" t="shared" ref="B3161:B3176" si="199">B3160-1</f>
        <v>41147</v>
      </c>
    </row>
    <row r="3162" spans="2:2">
      <c r="B3162" s="251">
        <f ca="1" t="shared" si="199"/>
        <v>41146</v>
      </c>
    </row>
    <row r="3163" spans="2:2">
      <c r="B3163" s="251">
        <f ca="1" t="shared" si="199"/>
        <v>41145</v>
      </c>
    </row>
    <row r="3164" spans="2:2">
      <c r="B3164" s="251">
        <f ca="1" t="shared" si="199"/>
        <v>41144</v>
      </c>
    </row>
    <row r="3165" spans="2:2">
      <c r="B3165" s="251">
        <f ca="1" t="shared" si="199"/>
        <v>41143</v>
      </c>
    </row>
    <row r="3166" spans="2:2">
      <c r="B3166" s="251">
        <f ca="1" t="shared" si="199"/>
        <v>41142</v>
      </c>
    </row>
    <row r="3167" spans="2:2">
      <c r="B3167" s="251">
        <f ca="1" t="shared" si="199"/>
        <v>41141</v>
      </c>
    </row>
    <row r="3168" spans="2:2">
      <c r="B3168" s="251">
        <f ca="1" t="shared" si="199"/>
        <v>41140</v>
      </c>
    </row>
    <row r="3169" spans="2:2">
      <c r="B3169" s="251">
        <f ca="1" t="shared" si="199"/>
        <v>41139</v>
      </c>
    </row>
    <row r="3170" spans="2:2">
      <c r="B3170" s="251">
        <f ca="1" t="shared" si="199"/>
        <v>41138</v>
      </c>
    </row>
    <row r="3171" spans="2:2">
      <c r="B3171" s="251">
        <f ca="1" t="shared" si="199"/>
        <v>41137</v>
      </c>
    </row>
    <row r="3172" spans="2:2">
      <c r="B3172" s="251">
        <f ca="1" t="shared" si="199"/>
        <v>41136</v>
      </c>
    </row>
    <row r="3173" spans="2:2">
      <c r="B3173" s="251">
        <f ca="1" t="shared" si="199"/>
        <v>41135</v>
      </c>
    </row>
    <row r="3174" spans="2:2">
      <c r="B3174" s="251">
        <f ca="1" t="shared" si="199"/>
        <v>41134</v>
      </c>
    </row>
    <row r="3175" spans="2:2">
      <c r="B3175" s="251">
        <f ca="1" t="shared" si="199"/>
        <v>41133</v>
      </c>
    </row>
    <row r="3176" spans="2:2">
      <c r="B3176" s="251">
        <f ca="1" t="shared" si="199"/>
        <v>41132</v>
      </c>
    </row>
    <row r="3177" spans="2:2">
      <c r="B3177" s="251">
        <f ca="1" t="shared" ref="B3177:B3192" si="200">B3176-1</f>
        <v>41131</v>
      </c>
    </row>
    <row r="3178" spans="2:2">
      <c r="B3178" s="251">
        <f ca="1" t="shared" si="200"/>
        <v>41130</v>
      </c>
    </row>
    <row r="3179" spans="2:2">
      <c r="B3179" s="251">
        <f ca="1" t="shared" si="200"/>
        <v>41129</v>
      </c>
    </row>
    <row r="3180" spans="2:2">
      <c r="B3180" s="251">
        <f ca="1" t="shared" si="200"/>
        <v>41128</v>
      </c>
    </row>
    <row r="3181" spans="2:2">
      <c r="B3181" s="251">
        <f ca="1" t="shared" si="200"/>
        <v>41127</v>
      </c>
    </row>
    <row r="3182" spans="2:2">
      <c r="B3182" s="251">
        <f ca="1" t="shared" si="200"/>
        <v>41126</v>
      </c>
    </row>
    <row r="3183" spans="2:2">
      <c r="B3183" s="251">
        <f ca="1" t="shared" si="200"/>
        <v>41125</v>
      </c>
    </row>
    <row r="3184" spans="2:2">
      <c r="B3184" s="251">
        <f ca="1" t="shared" si="200"/>
        <v>41124</v>
      </c>
    </row>
    <row r="3185" spans="2:2">
      <c r="B3185" s="251">
        <f ca="1" t="shared" si="200"/>
        <v>41123</v>
      </c>
    </row>
    <row r="3186" spans="2:2">
      <c r="B3186" s="251">
        <f ca="1" t="shared" si="200"/>
        <v>41122</v>
      </c>
    </row>
    <row r="3187" spans="2:2">
      <c r="B3187" s="251">
        <f ca="1" t="shared" si="200"/>
        <v>41121</v>
      </c>
    </row>
    <row r="3188" spans="2:2">
      <c r="B3188" s="251">
        <f ca="1" t="shared" si="200"/>
        <v>41120</v>
      </c>
    </row>
    <row r="3189" spans="2:2">
      <c r="B3189" s="251">
        <f ca="1" t="shared" si="200"/>
        <v>41119</v>
      </c>
    </row>
    <row r="3190" spans="2:2">
      <c r="B3190" s="251">
        <f ca="1" t="shared" si="200"/>
        <v>41118</v>
      </c>
    </row>
    <row r="3191" spans="2:2">
      <c r="B3191" s="251">
        <f ca="1" t="shared" si="200"/>
        <v>41117</v>
      </c>
    </row>
    <row r="3192" spans="2:2">
      <c r="B3192" s="251">
        <f ca="1" t="shared" si="200"/>
        <v>41116</v>
      </c>
    </row>
    <row r="3193" spans="2:2">
      <c r="B3193" s="251">
        <f ca="1" t="shared" ref="B3193:B3208" si="201">B3192-1</f>
        <v>41115</v>
      </c>
    </row>
    <row r="3194" spans="2:2">
      <c r="B3194" s="251">
        <f ca="1" t="shared" si="201"/>
        <v>41114</v>
      </c>
    </row>
    <row r="3195" spans="2:2">
      <c r="B3195" s="251">
        <f ca="1" t="shared" si="201"/>
        <v>41113</v>
      </c>
    </row>
    <row r="3196" spans="2:2">
      <c r="B3196" s="251">
        <f ca="1" t="shared" si="201"/>
        <v>41112</v>
      </c>
    </row>
    <row r="3197" spans="2:2">
      <c r="B3197" s="251">
        <f ca="1" t="shared" si="201"/>
        <v>41111</v>
      </c>
    </row>
    <row r="3198" spans="2:2">
      <c r="B3198" s="251">
        <f ca="1" t="shared" si="201"/>
        <v>41110</v>
      </c>
    </row>
    <row r="3199" spans="2:2">
      <c r="B3199" s="251">
        <f ca="1" t="shared" si="201"/>
        <v>41109</v>
      </c>
    </row>
    <row r="3200" spans="2:2">
      <c r="B3200" s="251">
        <f ca="1" t="shared" si="201"/>
        <v>41108</v>
      </c>
    </row>
    <row r="3201" spans="2:2">
      <c r="B3201" s="251">
        <f ca="1" t="shared" si="201"/>
        <v>41107</v>
      </c>
    </row>
    <row r="3202" spans="2:2">
      <c r="B3202" s="251">
        <f ca="1" t="shared" si="201"/>
        <v>41106</v>
      </c>
    </row>
    <row r="3203" spans="2:2">
      <c r="B3203" s="251">
        <f ca="1" t="shared" si="201"/>
        <v>41105</v>
      </c>
    </row>
    <row r="3204" spans="2:2">
      <c r="B3204" s="251">
        <f ca="1" t="shared" si="201"/>
        <v>41104</v>
      </c>
    </row>
    <row r="3205" spans="2:2">
      <c r="B3205" s="251">
        <f ca="1" t="shared" si="201"/>
        <v>41103</v>
      </c>
    </row>
    <row r="3206" spans="2:2">
      <c r="B3206" s="251">
        <f ca="1" t="shared" si="201"/>
        <v>41102</v>
      </c>
    </row>
    <row r="3207" spans="2:2">
      <c r="B3207" s="251">
        <f ca="1" t="shared" si="201"/>
        <v>41101</v>
      </c>
    </row>
    <row r="3208" spans="2:2">
      <c r="B3208" s="251">
        <f ca="1" t="shared" si="201"/>
        <v>41100</v>
      </c>
    </row>
    <row r="3209" spans="2:2">
      <c r="B3209" s="251">
        <f ca="1" t="shared" ref="B3209:B3224" si="202">B3208-1</f>
        <v>41099</v>
      </c>
    </row>
    <row r="3210" spans="2:2">
      <c r="B3210" s="251">
        <f ca="1" t="shared" si="202"/>
        <v>41098</v>
      </c>
    </row>
    <row r="3211" spans="2:2">
      <c r="B3211" s="251">
        <f ca="1" t="shared" si="202"/>
        <v>41097</v>
      </c>
    </row>
    <row r="3212" spans="2:2">
      <c r="B3212" s="251">
        <f ca="1" t="shared" si="202"/>
        <v>41096</v>
      </c>
    </row>
    <row r="3213" spans="2:2">
      <c r="B3213" s="251">
        <f ca="1" t="shared" si="202"/>
        <v>41095</v>
      </c>
    </row>
    <row r="3214" spans="2:2">
      <c r="B3214" s="251">
        <f ca="1" t="shared" si="202"/>
        <v>41094</v>
      </c>
    </row>
    <row r="3215" spans="2:2">
      <c r="B3215" s="251">
        <f ca="1" t="shared" si="202"/>
        <v>41093</v>
      </c>
    </row>
    <row r="3216" spans="2:2">
      <c r="B3216" s="251">
        <f ca="1" t="shared" si="202"/>
        <v>41092</v>
      </c>
    </row>
    <row r="3217" spans="2:2">
      <c r="B3217" s="251">
        <f ca="1" t="shared" si="202"/>
        <v>41091</v>
      </c>
    </row>
    <row r="3218" spans="2:2">
      <c r="B3218" s="251">
        <f ca="1" t="shared" si="202"/>
        <v>41090</v>
      </c>
    </row>
    <row r="3219" spans="2:2">
      <c r="B3219" s="251">
        <f ca="1" t="shared" si="202"/>
        <v>41089</v>
      </c>
    </row>
    <row r="3220" spans="2:2">
      <c r="B3220" s="251">
        <f ca="1" t="shared" si="202"/>
        <v>41088</v>
      </c>
    </row>
    <row r="3221" spans="2:2">
      <c r="B3221" s="251">
        <f ca="1" t="shared" si="202"/>
        <v>41087</v>
      </c>
    </row>
    <row r="3222" spans="2:2">
      <c r="B3222" s="251">
        <f ca="1" t="shared" si="202"/>
        <v>41086</v>
      </c>
    </row>
    <row r="3223" spans="2:2">
      <c r="B3223" s="251">
        <f ca="1" t="shared" si="202"/>
        <v>41085</v>
      </c>
    </row>
    <row r="3224" spans="2:2">
      <c r="B3224" s="251">
        <f ca="1" t="shared" si="202"/>
        <v>41084</v>
      </c>
    </row>
    <row r="3225" spans="2:2">
      <c r="B3225" s="251">
        <f ca="1" t="shared" ref="B3225:B3240" si="203">B3224-1</f>
        <v>41083</v>
      </c>
    </row>
    <row r="3226" spans="2:2">
      <c r="B3226" s="251">
        <f ca="1" t="shared" si="203"/>
        <v>41082</v>
      </c>
    </row>
    <row r="3227" spans="2:2">
      <c r="B3227" s="251">
        <f ca="1" t="shared" si="203"/>
        <v>41081</v>
      </c>
    </row>
    <row r="3228" spans="2:2">
      <c r="B3228" s="251">
        <f ca="1" t="shared" si="203"/>
        <v>41080</v>
      </c>
    </row>
    <row r="3229" spans="2:2">
      <c r="B3229" s="251">
        <f ca="1" t="shared" si="203"/>
        <v>41079</v>
      </c>
    </row>
    <row r="3230" spans="2:2">
      <c r="B3230" s="251">
        <f ca="1" t="shared" si="203"/>
        <v>41078</v>
      </c>
    </row>
    <row r="3231" spans="2:2">
      <c r="B3231" s="251">
        <f ca="1" t="shared" si="203"/>
        <v>41077</v>
      </c>
    </row>
    <row r="3232" spans="2:2">
      <c r="B3232" s="251">
        <f ca="1" t="shared" si="203"/>
        <v>41076</v>
      </c>
    </row>
    <row r="3233" spans="2:2">
      <c r="B3233" s="251">
        <f ca="1" t="shared" si="203"/>
        <v>41075</v>
      </c>
    </row>
    <row r="3234" spans="2:2">
      <c r="B3234" s="251">
        <f ca="1" t="shared" si="203"/>
        <v>41074</v>
      </c>
    </row>
    <row r="3235" spans="2:2">
      <c r="B3235" s="251">
        <f ca="1" t="shared" si="203"/>
        <v>41073</v>
      </c>
    </row>
    <row r="3236" spans="2:2">
      <c r="B3236" s="251">
        <f ca="1" t="shared" si="203"/>
        <v>41072</v>
      </c>
    </row>
    <row r="3237" spans="2:2">
      <c r="B3237" s="251">
        <f ca="1" t="shared" si="203"/>
        <v>41071</v>
      </c>
    </row>
    <row r="3238" spans="2:2">
      <c r="B3238" s="251">
        <f ca="1" t="shared" si="203"/>
        <v>41070</v>
      </c>
    </row>
    <row r="3239" spans="2:2">
      <c r="B3239" s="251">
        <f ca="1" t="shared" si="203"/>
        <v>41069</v>
      </c>
    </row>
    <row r="3240" spans="2:2">
      <c r="B3240" s="251">
        <f ca="1" t="shared" si="203"/>
        <v>41068</v>
      </c>
    </row>
    <row r="3241" spans="2:2">
      <c r="B3241" s="251">
        <f ca="1" t="shared" ref="B3241:B3256" si="204">B3240-1</f>
        <v>41067</v>
      </c>
    </row>
    <row r="3242" spans="2:2">
      <c r="B3242" s="251">
        <f ca="1" t="shared" si="204"/>
        <v>41066</v>
      </c>
    </row>
    <row r="3243" spans="2:2">
      <c r="B3243" s="251">
        <f ca="1" t="shared" si="204"/>
        <v>41065</v>
      </c>
    </row>
    <row r="3244" spans="2:2">
      <c r="B3244" s="251">
        <f ca="1" t="shared" si="204"/>
        <v>41064</v>
      </c>
    </row>
    <row r="3245" spans="2:2">
      <c r="B3245" s="251">
        <f ca="1" t="shared" si="204"/>
        <v>41063</v>
      </c>
    </row>
    <row r="3246" spans="2:2">
      <c r="B3246" s="251">
        <f ca="1" t="shared" si="204"/>
        <v>41062</v>
      </c>
    </row>
    <row r="3247" spans="2:2">
      <c r="B3247" s="251">
        <f ca="1" t="shared" si="204"/>
        <v>41061</v>
      </c>
    </row>
    <row r="3248" spans="2:2">
      <c r="B3248" s="251">
        <f ca="1" t="shared" si="204"/>
        <v>41060</v>
      </c>
    </row>
    <row r="3249" spans="2:2">
      <c r="B3249" s="251">
        <f ca="1" t="shared" si="204"/>
        <v>41059</v>
      </c>
    </row>
    <row r="3250" spans="2:2">
      <c r="B3250" s="251">
        <f ca="1" t="shared" si="204"/>
        <v>41058</v>
      </c>
    </row>
    <row r="3251" spans="2:2">
      <c r="B3251" s="251">
        <f ca="1" t="shared" si="204"/>
        <v>41057</v>
      </c>
    </row>
    <row r="3252" spans="2:2">
      <c r="B3252" s="251">
        <f ca="1" t="shared" si="204"/>
        <v>41056</v>
      </c>
    </row>
    <row r="3253" spans="2:2">
      <c r="B3253" s="251">
        <f ca="1" t="shared" si="204"/>
        <v>41055</v>
      </c>
    </row>
    <row r="3254" spans="2:2">
      <c r="B3254" s="251">
        <f ca="1" t="shared" si="204"/>
        <v>41054</v>
      </c>
    </row>
    <row r="3255" spans="2:2">
      <c r="B3255" s="251">
        <f ca="1" t="shared" si="204"/>
        <v>41053</v>
      </c>
    </row>
    <row r="3256" spans="2:2">
      <c r="B3256" s="251">
        <f ca="1" t="shared" si="204"/>
        <v>41052</v>
      </c>
    </row>
    <row r="3257" spans="2:2">
      <c r="B3257" s="251">
        <f ca="1" t="shared" ref="B3257:B3272" si="205">B3256-1</f>
        <v>41051</v>
      </c>
    </row>
    <row r="3258" spans="2:2">
      <c r="B3258" s="251">
        <f ca="1" t="shared" si="205"/>
        <v>41050</v>
      </c>
    </row>
    <row r="3259" spans="2:2">
      <c r="B3259" s="251">
        <f ca="1" t="shared" si="205"/>
        <v>41049</v>
      </c>
    </row>
    <row r="3260" spans="2:2">
      <c r="B3260" s="251">
        <f ca="1" t="shared" si="205"/>
        <v>41048</v>
      </c>
    </row>
    <row r="3261" spans="2:2">
      <c r="B3261" s="251">
        <f ca="1" t="shared" si="205"/>
        <v>41047</v>
      </c>
    </row>
    <row r="3262" spans="2:2">
      <c r="B3262" s="251">
        <f ca="1" t="shared" si="205"/>
        <v>41046</v>
      </c>
    </row>
    <row r="3263" spans="2:2">
      <c r="B3263" s="251">
        <f ca="1" t="shared" si="205"/>
        <v>41045</v>
      </c>
    </row>
    <row r="3264" spans="2:2">
      <c r="B3264" s="251">
        <f ca="1" t="shared" si="205"/>
        <v>41044</v>
      </c>
    </row>
    <row r="3265" spans="2:2">
      <c r="B3265" s="251">
        <f ca="1" t="shared" si="205"/>
        <v>41043</v>
      </c>
    </row>
    <row r="3266" spans="2:2">
      <c r="B3266" s="251">
        <f ca="1" t="shared" si="205"/>
        <v>41042</v>
      </c>
    </row>
    <row r="3267" spans="2:2">
      <c r="B3267" s="251">
        <f ca="1" t="shared" si="205"/>
        <v>41041</v>
      </c>
    </row>
    <row r="3268" spans="2:2">
      <c r="B3268" s="251">
        <f ca="1" t="shared" si="205"/>
        <v>41040</v>
      </c>
    </row>
    <row r="3269" spans="2:2">
      <c r="B3269" s="251">
        <f ca="1" t="shared" si="205"/>
        <v>41039</v>
      </c>
    </row>
    <row r="3270" spans="2:2">
      <c r="B3270" s="251">
        <f ca="1" t="shared" si="205"/>
        <v>41038</v>
      </c>
    </row>
    <row r="3271" spans="2:2">
      <c r="B3271" s="251">
        <f ca="1" t="shared" si="205"/>
        <v>41037</v>
      </c>
    </row>
    <row r="3272" spans="2:2">
      <c r="B3272" s="251">
        <f ca="1" t="shared" si="205"/>
        <v>41036</v>
      </c>
    </row>
    <row r="3273" spans="2:2">
      <c r="B3273" s="251">
        <f ca="1" t="shared" ref="B3273:B3288" si="206">B3272-1</f>
        <v>41035</v>
      </c>
    </row>
    <row r="3274" spans="2:2">
      <c r="B3274" s="251">
        <f ca="1" t="shared" si="206"/>
        <v>41034</v>
      </c>
    </row>
    <row r="3275" spans="2:2">
      <c r="B3275" s="251">
        <f ca="1" t="shared" si="206"/>
        <v>41033</v>
      </c>
    </row>
    <row r="3276" spans="2:2">
      <c r="B3276" s="251">
        <f ca="1" t="shared" si="206"/>
        <v>41032</v>
      </c>
    </row>
    <row r="3277" spans="2:2">
      <c r="B3277" s="251">
        <f ca="1" t="shared" si="206"/>
        <v>41031</v>
      </c>
    </row>
    <row r="3278" spans="2:2">
      <c r="B3278" s="251">
        <f ca="1" t="shared" si="206"/>
        <v>41030</v>
      </c>
    </row>
    <row r="3279" spans="2:2">
      <c r="B3279" s="251">
        <f ca="1" t="shared" si="206"/>
        <v>41029</v>
      </c>
    </row>
    <row r="3280" spans="2:2">
      <c r="B3280" s="251">
        <f ca="1" t="shared" si="206"/>
        <v>41028</v>
      </c>
    </row>
    <row r="3281" spans="2:2">
      <c r="B3281" s="251">
        <f ca="1" t="shared" si="206"/>
        <v>41027</v>
      </c>
    </row>
    <row r="3282" spans="2:2">
      <c r="B3282" s="251">
        <f ca="1" t="shared" si="206"/>
        <v>41026</v>
      </c>
    </row>
    <row r="3283" spans="2:2">
      <c r="B3283" s="251">
        <f ca="1" t="shared" si="206"/>
        <v>41025</v>
      </c>
    </row>
    <row r="3284" spans="2:2">
      <c r="B3284" s="251">
        <f ca="1" t="shared" si="206"/>
        <v>41024</v>
      </c>
    </row>
    <row r="3285" spans="2:2">
      <c r="B3285" s="251">
        <f ca="1" t="shared" si="206"/>
        <v>41023</v>
      </c>
    </row>
    <row r="3286" spans="2:2">
      <c r="B3286" s="251">
        <f ca="1" t="shared" si="206"/>
        <v>41022</v>
      </c>
    </row>
    <row r="3287" spans="2:2">
      <c r="B3287" s="251">
        <f ca="1" t="shared" si="206"/>
        <v>41021</v>
      </c>
    </row>
    <row r="3288" spans="2:2">
      <c r="B3288" s="251">
        <f ca="1" t="shared" si="206"/>
        <v>41020</v>
      </c>
    </row>
    <row r="3289" spans="2:2">
      <c r="B3289" s="251">
        <f ca="1" t="shared" ref="B3289:B3304" si="207">B3288-1</f>
        <v>41019</v>
      </c>
    </row>
    <row r="3290" spans="2:2">
      <c r="B3290" s="251">
        <f ca="1" t="shared" si="207"/>
        <v>41018</v>
      </c>
    </row>
    <row r="3291" spans="2:2">
      <c r="B3291" s="251">
        <f ca="1" t="shared" si="207"/>
        <v>41017</v>
      </c>
    </row>
    <row r="3292" spans="2:2">
      <c r="B3292" s="251">
        <f ca="1" t="shared" si="207"/>
        <v>41016</v>
      </c>
    </row>
    <row r="3293" spans="2:2">
      <c r="B3293" s="251">
        <f ca="1" t="shared" si="207"/>
        <v>41015</v>
      </c>
    </row>
    <row r="3294" spans="2:2">
      <c r="B3294" s="251">
        <f ca="1" t="shared" si="207"/>
        <v>41014</v>
      </c>
    </row>
    <row r="3295" spans="2:2">
      <c r="B3295" s="251">
        <f ca="1" t="shared" si="207"/>
        <v>41013</v>
      </c>
    </row>
    <row r="3296" spans="2:2">
      <c r="B3296" s="251">
        <f ca="1" t="shared" si="207"/>
        <v>41012</v>
      </c>
    </row>
    <row r="3297" spans="2:2">
      <c r="B3297" s="251">
        <f ca="1" t="shared" si="207"/>
        <v>41011</v>
      </c>
    </row>
    <row r="3298" spans="2:2">
      <c r="B3298" s="251">
        <f ca="1" t="shared" si="207"/>
        <v>41010</v>
      </c>
    </row>
    <row r="3299" spans="2:2">
      <c r="B3299" s="251">
        <f ca="1" t="shared" si="207"/>
        <v>41009</v>
      </c>
    </row>
    <row r="3300" spans="2:2">
      <c r="B3300" s="251">
        <f ca="1" t="shared" si="207"/>
        <v>41008</v>
      </c>
    </row>
    <row r="3301" spans="2:2">
      <c r="B3301" s="251">
        <f ca="1" t="shared" si="207"/>
        <v>41007</v>
      </c>
    </row>
    <row r="3302" spans="2:2">
      <c r="B3302" s="251">
        <f ca="1" t="shared" si="207"/>
        <v>41006</v>
      </c>
    </row>
    <row r="3303" spans="2:2">
      <c r="B3303" s="251">
        <f ca="1" t="shared" si="207"/>
        <v>41005</v>
      </c>
    </row>
    <row r="3304" spans="2:2">
      <c r="B3304" s="251">
        <f ca="1" t="shared" si="207"/>
        <v>41004</v>
      </c>
    </row>
    <row r="3305" spans="2:2">
      <c r="B3305" s="251">
        <f ca="1" t="shared" ref="B3305:B3320" si="208">B3304-1</f>
        <v>41003</v>
      </c>
    </row>
    <row r="3306" spans="2:2">
      <c r="B3306" s="251">
        <f ca="1" t="shared" si="208"/>
        <v>41002</v>
      </c>
    </row>
    <row r="3307" spans="2:2">
      <c r="B3307" s="251">
        <f ca="1" t="shared" si="208"/>
        <v>41001</v>
      </c>
    </row>
    <row r="3308" spans="2:2">
      <c r="B3308" s="251">
        <f ca="1" t="shared" si="208"/>
        <v>41000</v>
      </c>
    </row>
    <row r="3309" spans="2:2">
      <c r="B3309" s="251">
        <f ca="1" t="shared" si="208"/>
        <v>40999</v>
      </c>
    </row>
    <row r="3310" spans="2:2">
      <c r="B3310" s="251">
        <f ca="1" t="shared" si="208"/>
        <v>40998</v>
      </c>
    </row>
    <row r="3311" spans="2:2">
      <c r="B3311" s="251">
        <f ca="1" t="shared" si="208"/>
        <v>40997</v>
      </c>
    </row>
    <row r="3312" spans="2:2">
      <c r="B3312" s="251">
        <f ca="1" t="shared" si="208"/>
        <v>40996</v>
      </c>
    </row>
    <row r="3313" spans="2:2">
      <c r="B3313" s="251">
        <f ca="1" t="shared" si="208"/>
        <v>40995</v>
      </c>
    </row>
    <row r="3314" spans="2:2">
      <c r="B3314" s="251">
        <f ca="1" t="shared" si="208"/>
        <v>40994</v>
      </c>
    </row>
    <row r="3315" spans="2:2">
      <c r="B3315" s="251">
        <f ca="1" t="shared" si="208"/>
        <v>40993</v>
      </c>
    </row>
    <row r="3316" spans="2:2">
      <c r="B3316" s="251">
        <f ca="1" t="shared" si="208"/>
        <v>40992</v>
      </c>
    </row>
    <row r="3317" spans="2:2">
      <c r="B3317" s="251">
        <f ca="1" t="shared" si="208"/>
        <v>40991</v>
      </c>
    </row>
    <row r="3318" spans="2:2">
      <c r="B3318" s="251">
        <f ca="1" t="shared" si="208"/>
        <v>40990</v>
      </c>
    </row>
    <row r="3319" spans="2:2">
      <c r="B3319" s="251">
        <f ca="1" t="shared" si="208"/>
        <v>40989</v>
      </c>
    </row>
    <row r="3320" spans="2:2">
      <c r="B3320" s="251">
        <f ca="1" t="shared" si="208"/>
        <v>40988</v>
      </c>
    </row>
    <row r="3321" spans="2:2">
      <c r="B3321" s="251">
        <f ca="1" t="shared" ref="B3321:B3336" si="209">B3320-1</f>
        <v>40987</v>
      </c>
    </row>
    <row r="3322" spans="2:2">
      <c r="B3322" s="251">
        <f ca="1" t="shared" si="209"/>
        <v>40986</v>
      </c>
    </row>
    <row r="3323" spans="2:2">
      <c r="B3323" s="251">
        <f ca="1" t="shared" si="209"/>
        <v>40985</v>
      </c>
    </row>
    <row r="3324" spans="2:2">
      <c r="B3324" s="251">
        <f ca="1" t="shared" si="209"/>
        <v>40984</v>
      </c>
    </row>
    <row r="3325" spans="2:2">
      <c r="B3325" s="251">
        <f ca="1" t="shared" si="209"/>
        <v>40983</v>
      </c>
    </row>
    <row r="3326" spans="2:2">
      <c r="B3326" s="251">
        <f ca="1" t="shared" si="209"/>
        <v>40982</v>
      </c>
    </row>
    <row r="3327" spans="2:2">
      <c r="B3327" s="251">
        <f ca="1" t="shared" si="209"/>
        <v>40981</v>
      </c>
    </row>
    <row r="3328" spans="2:2">
      <c r="B3328" s="251">
        <f ca="1" t="shared" si="209"/>
        <v>40980</v>
      </c>
    </row>
    <row r="3329" spans="2:2">
      <c r="B3329" s="251">
        <f ca="1" t="shared" si="209"/>
        <v>40979</v>
      </c>
    </row>
    <row r="3330" spans="2:2">
      <c r="B3330" s="251">
        <f ca="1" t="shared" si="209"/>
        <v>40978</v>
      </c>
    </row>
    <row r="3331" spans="2:2">
      <c r="B3331" s="251">
        <f ca="1" t="shared" si="209"/>
        <v>40977</v>
      </c>
    </row>
    <row r="3332" spans="2:2">
      <c r="B3332" s="251">
        <f ca="1" t="shared" si="209"/>
        <v>40976</v>
      </c>
    </row>
    <row r="3333" spans="2:2">
      <c r="B3333" s="251">
        <f ca="1" t="shared" si="209"/>
        <v>40975</v>
      </c>
    </row>
    <row r="3334" spans="2:2">
      <c r="B3334" s="251">
        <f ca="1" t="shared" si="209"/>
        <v>40974</v>
      </c>
    </row>
    <row r="3335" spans="2:2">
      <c r="B3335" s="251">
        <f ca="1" t="shared" si="209"/>
        <v>40973</v>
      </c>
    </row>
    <row r="3336" spans="2:2">
      <c r="B3336" s="251">
        <f ca="1" t="shared" si="209"/>
        <v>40972</v>
      </c>
    </row>
    <row r="3337" spans="2:2">
      <c r="B3337" s="251">
        <f ca="1" t="shared" ref="B3337:B3352" si="210">B3336-1</f>
        <v>40971</v>
      </c>
    </row>
    <row r="3338" spans="2:2">
      <c r="B3338" s="251">
        <f ca="1" t="shared" si="210"/>
        <v>40970</v>
      </c>
    </row>
    <row r="3339" spans="2:2">
      <c r="B3339" s="251">
        <f ca="1" t="shared" si="210"/>
        <v>40969</v>
      </c>
    </row>
    <row r="3340" spans="2:2">
      <c r="B3340" s="251">
        <f ca="1" t="shared" si="210"/>
        <v>40968</v>
      </c>
    </row>
    <row r="3341" spans="2:2">
      <c r="B3341" s="251">
        <f ca="1" t="shared" si="210"/>
        <v>40967</v>
      </c>
    </row>
    <row r="3342" spans="2:2">
      <c r="B3342" s="251">
        <f ca="1" t="shared" si="210"/>
        <v>40966</v>
      </c>
    </row>
    <row r="3343" spans="2:2">
      <c r="B3343" s="251">
        <f ca="1" t="shared" si="210"/>
        <v>40965</v>
      </c>
    </row>
    <row r="3344" spans="2:2">
      <c r="B3344" s="251">
        <f ca="1" t="shared" si="210"/>
        <v>40964</v>
      </c>
    </row>
    <row r="3345" spans="2:2">
      <c r="B3345" s="251">
        <f ca="1" t="shared" si="210"/>
        <v>40963</v>
      </c>
    </row>
    <row r="3346" spans="2:2">
      <c r="B3346" s="251">
        <f ca="1" t="shared" si="210"/>
        <v>40962</v>
      </c>
    </row>
    <row r="3347" spans="2:2">
      <c r="B3347" s="251">
        <f ca="1" t="shared" si="210"/>
        <v>40961</v>
      </c>
    </row>
    <row r="3348" spans="2:2">
      <c r="B3348" s="251">
        <f ca="1" t="shared" si="210"/>
        <v>40960</v>
      </c>
    </row>
    <row r="3349" spans="2:2">
      <c r="B3349" s="251">
        <f ca="1" t="shared" si="210"/>
        <v>40959</v>
      </c>
    </row>
    <row r="3350" spans="2:2">
      <c r="B3350" s="251">
        <f ca="1" t="shared" si="210"/>
        <v>40958</v>
      </c>
    </row>
    <row r="3351" spans="2:2">
      <c r="B3351" s="251">
        <f ca="1" t="shared" si="210"/>
        <v>40957</v>
      </c>
    </row>
    <row r="3352" spans="2:2">
      <c r="B3352" s="251">
        <f ca="1" t="shared" si="210"/>
        <v>40956</v>
      </c>
    </row>
    <row r="3353" spans="2:2">
      <c r="B3353" s="251">
        <f ca="1" t="shared" ref="B3353:B3368" si="211">B3352-1</f>
        <v>40955</v>
      </c>
    </row>
    <row r="3354" spans="2:2">
      <c r="B3354" s="251">
        <f ca="1" t="shared" si="211"/>
        <v>40954</v>
      </c>
    </row>
    <row r="3355" spans="2:2">
      <c r="B3355" s="251">
        <f ca="1" t="shared" si="211"/>
        <v>40953</v>
      </c>
    </row>
    <row r="3356" spans="2:2">
      <c r="B3356" s="251">
        <f ca="1" t="shared" si="211"/>
        <v>40952</v>
      </c>
    </row>
    <row r="3357" spans="2:2">
      <c r="B3357" s="251">
        <f ca="1" t="shared" si="211"/>
        <v>40951</v>
      </c>
    </row>
    <row r="3358" spans="2:2">
      <c r="B3358" s="251">
        <f ca="1" t="shared" si="211"/>
        <v>40950</v>
      </c>
    </row>
    <row r="3359" spans="2:2">
      <c r="B3359" s="251">
        <f ca="1" t="shared" si="211"/>
        <v>40949</v>
      </c>
    </row>
    <row r="3360" spans="2:2">
      <c r="B3360" s="251">
        <f ca="1" t="shared" si="211"/>
        <v>40948</v>
      </c>
    </row>
    <row r="3361" spans="2:2">
      <c r="B3361" s="251">
        <f ca="1" t="shared" si="211"/>
        <v>40947</v>
      </c>
    </row>
    <row r="3362" spans="2:2">
      <c r="B3362" s="251">
        <f ca="1" t="shared" si="211"/>
        <v>40946</v>
      </c>
    </row>
    <row r="3363" spans="2:2">
      <c r="B3363" s="251">
        <f ca="1" t="shared" si="211"/>
        <v>40945</v>
      </c>
    </row>
    <row r="3364" spans="2:2">
      <c r="B3364" s="251">
        <f ca="1" t="shared" si="211"/>
        <v>40944</v>
      </c>
    </row>
    <row r="3365" spans="2:2">
      <c r="B3365" s="251">
        <f ca="1" t="shared" si="211"/>
        <v>40943</v>
      </c>
    </row>
    <row r="3366" spans="2:2">
      <c r="B3366" s="251">
        <f ca="1" t="shared" si="211"/>
        <v>40942</v>
      </c>
    </row>
    <row r="3367" spans="2:2">
      <c r="B3367" s="251">
        <f ca="1" t="shared" si="211"/>
        <v>40941</v>
      </c>
    </row>
    <row r="3368" spans="2:2">
      <c r="B3368" s="251">
        <f ca="1" t="shared" si="211"/>
        <v>40940</v>
      </c>
    </row>
    <row r="3369" spans="2:2">
      <c r="B3369" s="251">
        <f ca="1" t="shared" ref="B3369:B3384" si="212">B3368-1</f>
        <v>40939</v>
      </c>
    </row>
    <row r="3370" spans="2:2">
      <c r="B3370" s="251">
        <f ca="1" t="shared" si="212"/>
        <v>40938</v>
      </c>
    </row>
    <row r="3371" spans="2:2">
      <c r="B3371" s="251">
        <f ca="1" t="shared" si="212"/>
        <v>40937</v>
      </c>
    </row>
    <row r="3372" spans="2:2">
      <c r="B3372" s="251">
        <f ca="1" t="shared" si="212"/>
        <v>40936</v>
      </c>
    </row>
    <row r="3373" spans="2:2">
      <c r="B3373" s="251">
        <f ca="1" t="shared" si="212"/>
        <v>40935</v>
      </c>
    </row>
    <row r="3374" spans="2:2">
      <c r="B3374" s="251">
        <f ca="1" t="shared" si="212"/>
        <v>40934</v>
      </c>
    </row>
    <row r="3375" spans="2:2">
      <c r="B3375" s="251">
        <f ca="1" t="shared" si="212"/>
        <v>40933</v>
      </c>
    </row>
    <row r="3376" spans="2:2">
      <c r="B3376" s="251">
        <f ca="1" t="shared" si="212"/>
        <v>40932</v>
      </c>
    </row>
    <row r="3377" spans="2:2">
      <c r="B3377" s="251">
        <f ca="1" t="shared" si="212"/>
        <v>40931</v>
      </c>
    </row>
    <row r="3378" spans="2:2">
      <c r="B3378" s="251">
        <f ca="1" t="shared" si="212"/>
        <v>40930</v>
      </c>
    </row>
    <row r="3379" spans="2:2">
      <c r="B3379" s="251">
        <f ca="1" t="shared" si="212"/>
        <v>40929</v>
      </c>
    </row>
    <row r="3380" spans="2:2">
      <c r="B3380" s="251">
        <f ca="1" t="shared" si="212"/>
        <v>40928</v>
      </c>
    </row>
    <row r="3381" spans="2:2">
      <c r="B3381" s="251">
        <f ca="1" t="shared" si="212"/>
        <v>40927</v>
      </c>
    </row>
    <row r="3382" spans="2:2">
      <c r="B3382" s="251">
        <f ca="1" t="shared" si="212"/>
        <v>40926</v>
      </c>
    </row>
    <row r="3383" spans="2:2">
      <c r="B3383" s="251">
        <f ca="1" t="shared" si="212"/>
        <v>40925</v>
      </c>
    </row>
    <row r="3384" spans="2:2">
      <c r="B3384" s="251">
        <f ca="1" t="shared" si="212"/>
        <v>40924</v>
      </c>
    </row>
    <row r="3385" spans="2:2">
      <c r="B3385" s="251">
        <f ca="1" t="shared" ref="B3385:B3400" si="213">B3384-1</f>
        <v>40923</v>
      </c>
    </row>
    <row r="3386" spans="2:2">
      <c r="B3386" s="251">
        <f ca="1" t="shared" si="213"/>
        <v>40922</v>
      </c>
    </row>
    <row r="3387" spans="2:2">
      <c r="B3387" s="251">
        <f ca="1" t="shared" si="213"/>
        <v>40921</v>
      </c>
    </row>
    <row r="3388" spans="2:2">
      <c r="B3388" s="251">
        <f ca="1" t="shared" si="213"/>
        <v>40920</v>
      </c>
    </row>
    <row r="3389" spans="2:2">
      <c r="B3389" s="251">
        <f ca="1" t="shared" si="213"/>
        <v>40919</v>
      </c>
    </row>
    <row r="3390" spans="2:2">
      <c r="B3390" s="251">
        <f ca="1" t="shared" si="213"/>
        <v>40918</v>
      </c>
    </row>
    <row r="3391" spans="2:2">
      <c r="B3391" s="251">
        <f ca="1" t="shared" si="213"/>
        <v>40917</v>
      </c>
    </row>
    <row r="3392" spans="2:2">
      <c r="B3392" s="251">
        <f ca="1" t="shared" si="213"/>
        <v>40916</v>
      </c>
    </row>
    <row r="3393" spans="2:2">
      <c r="B3393" s="251">
        <f ca="1" t="shared" si="213"/>
        <v>40915</v>
      </c>
    </row>
    <row r="3394" spans="2:2">
      <c r="B3394" s="251">
        <f ca="1" t="shared" si="213"/>
        <v>40914</v>
      </c>
    </row>
    <row r="3395" spans="2:2">
      <c r="B3395" s="251">
        <f ca="1" t="shared" si="213"/>
        <v>40913</v>
      </c>
    </row>
    <row r="3396" spans="2:2">
      <c r="B3396" s="251">
        <f ca="1" t="shared" si="213"/>
        <v>40912</v>
      </c>
    </row>
    <row r="3397" spans="2:2">
      <c r="B3397" s="251">
        <f ca="1" t="shared" si="213"/>
        <v>40911</v>
      </c>
    </row>
    <row r="3398" spans="2:2">
      <c r="B3398" s="251">
        <f ca="1" t="shared" si="213"/>
        <v>40910</v>
      </c>
    </row>
    <row r="3399" spans="2:2">
      <c r="B3399" s="251">
        <f ca="1" t="shared" si="213"/>
        <v>40909</v>
      </c>
    </row>
    <row r="3400" spans="2:2">
      <c r="B3400" s="251">
        <f ca="1" t="shared" si="213"/>
        <v>40908</v>
      </c>
    </row>
    <row r="3401" spans="2:2">
      <c r="B3401" s="251">
        <f ca="1" t="shared" ref="B3401:B3416" si="214">B3400-1</f>
        <v>40907</v>
      </c>
    </row>
    <row r="3402" spans="2:2">
      <c r="B3402" s="251">
        <f ca="1" t="shared" si="214"/>
        <v>40906</v>
      </c>
    </row>
    <row r="3403" spans="2:2">
      <c r="B3403" s="251">
        <f ca="1" t="shared" si="214"/>
        <v>40905</v>
      </c>
    </row>
    <row r="3404" spans="2:2">
      <c r="B3404" s="251">
        <f ca="1" t="shared" si="214"/>
        <v>40904</v>
      </c>
    </row>
    <row r="3405" spans="2:2">
      <c r="B3405" s="251">
        <f ca="1" t="shared" si="214"/>
        <v>40903</v>
      </c>
    </row>
    <row r="3406" spans="2:2">
      <c r="B3406" s="251">
        <f ca="1" t="shared" si="214"/>
        <v>40902</v>
      </c>
    </row>
    <row r="3407" spans="2:2">
      <c r="B3407" s="251">
        <f ca="1" t="shared" si="214"/>
        <v>40901</v>
      </c>
    </row>
    <row r="3408" spans="2:2">
      <c r="B3408" s="251">
        <f ca="1" t="shared" si="214"/>
        <v>40900</v>
      </c>
    </row>
    <row r="3409" spans="2:2">
      <c r="B3409" s="251">
        <f ca="1" t="shared" si="214"/>
        <v>40899</v>
      </c>
    </row>
    <row r="3410" spans="2:2">
      <c r="B3410" s="251">
        <f ca="1" t="shared" si="214"/>
        <v>40898</v>
      </c>
    </row>
    <row r="3411" spans="2:2">
      <c r="B3411" s="251">
        <f ca="1" t="shared" si="214"/>
        <v>40897</v>
      </c>
    </row>
    <row r="3412" spans="2:2">
      <c r="B3412" s="251">
        <f ca="1" t="shared" si="214"/>
        <v>40896</v>
      </c>
    </row>
    <row r="3413" spans="2:2">
      <c r="B3413" s="251">
        <f ca="1" t="shared" si="214"/>
        <v>40895</v>
      </c>
    </row>
    <row r="3414" spans="2:2">
      <c r="B3414" s="251">
        <f ca="1" t="shared" si="214"/>
        <v>40894</v>
      </c>
    </row>
    <row r="3415" spans="2:2">
      <c r="B3415" s="251">
        <f ca="1" t="shared" si="214"/>
        <v>40893</v>
      </c>
    </row>
    <row r="3416" spans="2:2">
      <c r="B3416" s="251">
        <f ca="1" t="shared" si="214"/>
        <v>40892</v>
      </c>
    </row>
    <row r="3417" spans="2:2">
      <c r="B3417" s="251">
        <f ca="1" t="shared" ref="B3417:B3432" si="215">B3416-1</f>
        <v>40891</v>
      </c>
    </row>
    <row r="3418" spans="2:2">
      <c r="B3418" s="251">
        <f ca="1" t="shared" si="215"/>
        <v>40890</v>
      </c>
    </row>
    <row r="3419" spans="2:2">
      <c r="B3419" s="251">
        <f ca="1" t="shared" si="215"/>
        <v>40889</v>
      </c>
    </row>
    <row r="3420" spans="2:2">
      <c r="B3420" s="251">
        <f ca="1" t="shared" si="215"/>
        <v>40888</v>
      </c>
    </row>
    <row r="3421" spans="2:2">
      <c r="B3421" s="251">
        <f ca="1" t="shared" si="215"/>
        <v>40887</v>
      </c>
    </row>
    <row r="3422" spans="2:2">
      <c r="B3422" s="251">
        <f ca="1" t="shared" si="215"/>
        <v>40886</v>
      </c>
    </row>
    <row r="3423" spans="2:2">
      <c r="B3423" s="251">
        <f ca="1" t="shared" si="215"/>
        <v>40885</v>
      </c>
    </row>
    <row r="3424" spans="2:2">
      <c r="B3424" s="251">
        <f ca="1" t="shared" si="215"/>
        <v>40884</v>
      </c>
    </row>
    <row r="3425" spans="2:2">
      <c r="B3425" s="251">
        <f ca="1" t="shared" si="215"/>
        <v>40883</v>
      </c>
    </row>
    <row r="3426" spans="2:2">
      <c r="B3426" s="251">
        <f ca="1" t="shared" si="215"/>
        <v>40882</v>
      </c>
    </row>
    <row r="3427" spans="2:2">
      <c r="B3427" s="251">
        <f ca="1" t="shared" si="215"/>
        <v>40881</v>
      </c>
    </row>
    <row r="3428" spans="2:2">
      <c r="B3428" s="251">
        <f ca="1" t="shared" si="215"/>
        <v>40880</v>
      </c>
    </row>
    <row r="3429" spans="2:2">
      <c r="B3429" s="251">
        <f ca="1" t="shared" si="215"/>
        <v>40879</v>
      </c>
    </row>
    <row r="3430" spans="2:2">
      <c r="B3430" s="251">
        <f ca="1" t="shared" si="215"/>
        <v>40878</v>
      </c>
    </row>
    <row r="3431" spans="2:2">
      <c r="B3431" s="251">
        <f ca="1" t="shared" si="215"/>
        <v>40877</v>
      </c>
    </row>
    <row r="3432" spans="2:2">
      <c r="B3432" s="251">
        <f ca="1" t="shared" si="215"/>
        <v>40876</v>
      </c>
    </row>
    <row r="3433" spans="2:2">
      <c r="B3433" s="251">
        <f ca="1" t="shared" ref="B3433:B3448" si="216">B3432-1</f>
        <v>40875</v>
      </c>
    </row>
    <row r="3434" spans="2:2">
      <c r="B3434" s="251">
        <f ca="1" t="shared" si="216"/>
        <v>40874</v>
      </c>
    </row>
    <row r="3435" spans="2:2">
      <c r="B3435" s="251">
        <f ca="1" t="shared" si="216"/>
        <v>40873</v>
      </c>
    </row>
    <row r="3436" spans="2:2">
      <c r="B3436" s="251">
        <f ca="1" t="shared" si="216"/>
        <v>40872</v>
      </c>
    </row>
    <row r="3437" spans="2:2">
      <c r="B3437" s="251">
        <f ca="1" t="shared" si="216"/>
        <v>40871</v>
      </c>
    </row>
    <row r="3438" spans="2:2">
      <c r="B3438" s="251">
        <f ca="1" t="shared" si="216"/>
        <v>40870</v>
      </c>
    </row>
    <row r="3439" spans="2:2">
      <c r="B3439" s="251">
        <f ca="1" t="shared" si="216"/>
        <v>40869</v>
      </c>
    </row>
    <row r="3440" spans="2:2">
      <c r="B3440" s="251">
        <f ca="1" t="shared" si="216"/>
        <v>40868</v>
      </c>
    </row>
    <row r="3441" spans="2:2">
      <c r="B3441" s="251">
        <f ca="1" t="shared" si="216"/>
        <v>40867</v>
      </c>
    </row>
    <row r="3442" spans="2:2">
      <c r="B3442" s="251">
        <f ca="1" t="shared" si="216"/>
        <v>40866</v>
      </c>
    </row>
    <row r="3443" spans="2:2">
      <c r="B3443" s="251">
        <f ca="1" t="shared" si="216"/>
        <v>40865</v>
      </c>
    </row>
    <row r="3444" spans="2:2">
      <c r="B3444" s="251">
        <f ca="1" t="shared" si="216"/>
        <v>40864</v>
      </c>
    </row>
    <row r="3445" spans="2:2">
      <c r="B3445" s="251">
        <f ca="1" t="shared" si="216"/>
        <v>40863</v>
      </c>
    </row>
    <row r="3446" spans="2:2">
      <c r="B3446" s="251">
        <f ca="1" t="shared" si="216"/>
        <v>40862</v>
      </c>
    </row>
    <row r="3447" spans="2:2">
      <c r="B3447" s="251">
        <f ca="1" t="shared" si="216"/>
        <v>40861</v>
      </c>
    </row>
    <row r="3448" spans="2:2">
      <c r="B3448" s="251">
        <f ca="1" t="shared" si="216"/>
        <v>40860</v>
      </c>
    </row>
    <row r="3449" spans="2:2">
      <c r="B3449" s="251">
        <f ca="1" t="shared" ref="B3449:B3464" si="217">B3448-1</f>
        <v>40859</v>
      </c>
    </row>
    <row r="3450" spans="2:2">
      <c r="B3450" s="251">
        <f ca="1" t="shared" si="217"/>
        <v>40858</v>
      </c>
    </row>
    <row r="3451" spans="2:2">
      <c r="B3451" s="251">
        <f ca="1" t="shared" si="217"/>
        <v>40857</v>
      </c>
    </row>
    <row r="3452" spans="2:2">
      <c r="B3452" s="251">
        <f ca="1" t="shared" si="217"/>
        <v>40856</v>
      </c>
    </row>
    <row r="3453" spans="2:2">
      <c r="B3453" s="251">
        <f ca="1" t="shared" si="217"/>
        <v>40855</v>
      </c>
    </row>
    <row r="3454" spans="2:2">
      <c r="B3454" s="251">
        <f ca="1" t="shared" si="217"/>
        <v>40854</v>
      </c>
    </row>
    <row r="3455" spans="2:2">
      <c r="B3455" s="251">
        <f ca="1" t="shared" si="217"/>
        <v>40853</v>
      </c>
    </row>
    <row r="3456" spans="2:2">
      <c r="B3456" s="251">
        <f ca="1" t="shared" si="217"/>
        <v>40852</v>
      </c>
    </row>
    <row r="3457" spans="2:2">
      <c r="B3457" s="251">
        <f ca="1" t="shared" si="217"/>
        <v>40851</v>
      </c>
    </row>
    <row r="3458" spans="2:2">
      <c r="B3458" s="251">
        <f ca="1" t="shared" si="217"/>
        <v>40850</v>
      </c>
    </row>
    <row r="3459" spans="2:2">
      <c r="B3459" s="251">
        <f ca="1" t="shared" si="217"/>
        <v>40849</v>
      </c>
    </row>
    <row r="3460" spans="2:2">
      <c r="B3460" s="251">
        <f ca="1" t="shared" si="217"/>
        <v>40848</v>
      </c>
    </row>
    <row r="3461" spans="2:2">
      <c r="B3461" s="251">
        <f ca="1" t="shared" si="217"/>
        <v>40847</v>
      </c>
    </row>
    <row r="3462" spans="2:2">
      <c r="B3462" s="251">
        <f ca="1" t="shared" si="217"/>
        <v>40846</v>
      </c>
    </row>
    <row r="3463" spans="2:2">
      <c r="B3463" s="251">
        <f ca="1" t="shared" si="217"/>
        <v>40845</v>
      </c>
    </row>
    <row r="3464" spans="2:2">
      <c r="B3464" s="251">
        <f ca="1" t="shared" si="217"/>
        <v>40844</v>
      </c>
    </row>
    <row r="3465" spans="2:2">
      <c r="B3465" s="251">
        <f ca="1" t="shared" ref="B3465:B3480" si="218">B3464-1</f>
        <v>40843</v>
      </c>
    </row>
    <row r="3466" spans="2:2">
      <c r="B3466" s="251">
        <f ca="1" t="shared" si="218"/>
        <v>40842</v>
      </c>
    </row>
    <row r="3467" spans="2:2">
      <c r="B3467" s="251">
        <f ca="1" t="shared" si="218"/>
        <v>40841</v>
      </c>
    </row>
    <row r="3468" spans="2:2">
      <c r="B3468" s="251">
        <f ca="1" t="shared" si="218"/>
        <v>40840</v>
      </c>
    </row>
    <row r="3469" spans="2:2">
      <c r="B3469" s="251">
        <f ca="1" t="shared" si="218"/>
        <v>40839</v>
      </c>
    </row>
    <row r="3470" spans="2:2">
      <c r="B3470" s="251">
        <f ca="1" t="shared" si="218"/>
        <v>40838</v>
      </c>
    </row>
    <row r="3471" spans="2:2">
      <c r="B3471" s="251">
        <f ca="1" t="shared" si="218"/>
        <v>40837</v>
      </c>
    </row>
    <row r="3472" spans="2:2">
      <c r="B3472" s="251">
        <f ca="1" t="shared" si="218"/>
        <v>40836</v>
      </c>
    </row>
    <row r="3473" spans="2:2">
      <c r="B3473" s="251">
        <f ca="1" t="shared" si="218"/>
        <v>40835</v>
      </c>
    </row>
    <row r="3474" spans="2:2">
      <c r="B3474" s="251">
        <f ca="1" t="shared" si="218"/>
        <v>40834</v>
      </c>
    </row>
    <row r="3475" spans="2:2">
      <c r="B3475" s="251">
        <f ca="1" t="shared" si="218"/>
        <v>40833</v>
      </c>
    </row>
    <row r="3476" spans="2:2">
      <c r="B3476" s="251">
        <f ca="1" t="shared" si="218"/>
        <v>40832</v>
      </c>
    </row>
    <row r="3477" spans="2:2">
      <c r="B3477" s="251">
        <f ca="1" t="shared" si="218"/>
        <v>40831</v>
      </c>
    </row>
    <row r="3478" spans="2:2">
      <c r="B3478" s="251">
        <f ca="1" t="shared" si="218"/>
        <v>40830</v>
      </c>
    </row>
    <row r="3479" spans="2:2">
      <c r="B3479" s="251">
        <f ca="1" t="shared" si="218"/>
        <v>40829</v>
      </c>
    </row>
    <row r="3480" spans="2:2">
      <c r="B3480" s="251">
        <f ca="1" t="shared" si="218"/>
        <v>40828</v>
      </c>
    </row>
    <row r="3481" spans="2:2">
      <c r="B3481" s="251">
        <f ca="1" t="shared" ref="B3481:B3496" si="219">B3480-1</f>
        <v>40827</v>
      </c>
    </row>
    <row r="3482" spans="2:2">
      <c r="B3482" s="251">
        <f ca="1" t="shared" si="219"/>
        <v>40826</v>
      </c>
    </row>
    <row r="3483" spans="2:2">
      <c r="B3483" s="251">
        <f ca="1" t="shared" si="219"/>
        <v>40825</v>
      </c>
    </row>
    <row r="3484" spans="2:2">
      <c r="B3484" s="251">
        <f ca="1" t="shared" si="219"/>
        <v>40824</v>
      </c>
    </row>
    <row r="3485" spans="2:2">
      <c r="B3485" s="251">
        <f ca="1" t="shared" si="219"/>
        <v>40823</v>
      </c>
    </row>
    <row r="3486" spans="2:2">
      <c r="B3486" s="251">
        <f ca="1" t="shared" si="219"/>
        <v>40822</v>
      </c>
    </row>
    <row r="3487" spans="2:2">
      <c r="B3487" s="251">
        <f ca="1" t="shared" si="219"/>
        <v>40821</v>
      </c>
    </row>
    <row r="3488" spans="2:2">
      <c r="B3488" s="251">
        <f ca="1" t="shared" si="219"/>
        <v>40820</v>
      </c>
    </row>
    <row r="3489" spans="2:2">
      <c r="B3489" s="251">
        <f ca="1" t="shared" si="219"/>
        <v>40819</v>
      </c>
    </row>
    <row r="3490" spans="2:2">
      <c r="B3490" s="251">
        <f ca="1" t="shared" si="219"/>
        <v>40818</v>
      </c>
    </row>
    <row r="3491" spans="2:2">
      <c r="B3491" s="251">
        <f ca="1" t="shared" si="219"/>
        <v>40817</v>
      </c>
    </row>
    <row r="3492" spans="2:2">
      <c r="B3492" s="251">
        <f ca="1" t="shared" si="219"/>
        <v>40816</v>
      </c>
    </row>
    <row r="3493" spans="2:2">
      <c r="B3493" s="251">
        <f ca="1" t="shared" si="219"/>
        <v>40815</v>
      </c>
    </row>
    <row r="3494" spans="2:2">
      <c r="B3494" s="251">
        <f ca="1" t="shared" si="219"/>
        <v>40814</v>
      </c>
    </row>
    <row r="3495" spans="2:2">
      <c r="B3495" s="251">
        <f ca="1" t="shared" si="219"/>
        <v>40813</v>
      </c>
    </row>
    <row r="3496" spans="2:2">
      <c r="B3496" s="251">
        <f ca="1" t="shared" si="219"/>
        <v>40812</v>
      </c>
    </row>
    <row r="3497" spans="2:2">
      <c r="B3497" s="251">
        <f ca="1" t="shared" ref="B3497:B3512" si="220">B3496-1</f>
        <v>40811</v>
      </c>
    </row>
    <row r="3498" spans="2:2">
      <c r="B3498" s="251">
        <f ca="1" t="shared" si="220"/>
        <v>40810</v>
      </c>
    </row>
    <row r="3499" spans="2:2">
      <c r="B3499" s="251">
        <f ca="1" t="shared" si="220"/>
        <v>40809</v>
      </c>
    </row>
    <row r="3500" spans="2:2">
      <c r="B3500" s="251">
        <f ca="1" t="shared" si="220"/>
        <v>40808</v>
      </c>
    </row>
    <row r="3501" spans="2:2">
      <c r="B3501" s="251">
        <f ca="1" t="shared" si="220"/>
        <v>40807</v>
      </c>
    </row>
    <row r="3502" spans="2:2">
      <c r="B3502" s="251">
        <f ca="1" t="shared" si="220"/>
        <v>40806</v>
      </c>
    </row>
    <row r="3503" spans="2:2">
      <c r="B3503" s="251">
        <f ca="1" t="shared" si="220"/>
        <v>40805</v>
      </c>
    </row>
    <row r="3504" spans="2:2">
      <c r="B3504" s="251">
        <f ca="1" t="shared" si="220"/>
        <v>40804</v>
      </c>
    </row>
    <row r="3505" spans="2:2">
      <c r="B3505" s="251">
        <f ca="1" t="shared" si="220"/>
        <v>40803</v>
      </c>
    </row>
    <row r="3506" spans="2:2">
      <c r="B3506" s="251">
        <f ca="1" t="shared" si="220"/>
        <v>40802</v>
      </c>
    </row>
    <row r="3507" spans="2:2">
      <c r="B3507" s="251">
        <f ca="1" t="shared" si="220"/>
        <v>40801</v>
      </c>
    </row>
    <row r="3508" spans="2:2">
      <c r="B3508" s="251">
        <f ca="1" t="shared" si="220"/>
        <v>40800</v>
      </c>
    </row>
    <row r="3509" spans="2:2">
      <c r="B3509" s="251">
        <f ca="1" t="shared" si="220"/>
        <v>40799</v>
      </c>
    </row>
    <row r="3510" spans="2:2">
      <c r="B3510" s="251">
        <f ca="1" t="shared" si="220"/>
        <v>40798</v>
      </c>
    </row>
    <row r="3511" spans="2:2">
      <c r="B3511" s="251">
        <f ca="1" t="shared" si="220"/>
        <v>40797</v>
      </c>
    </row>
    <row r="3512" spans="2:2">
      <c r="B3512" s="251">
        <f ca="1" t="shared" si="220"/>
        <v>40796</v>
      </c>
    </row>
    <row r="3513" spans="2:2">
      <c r="B3513" s="251">
        <f ca="1" t="shared" ref="B3513:B3528" si="221">B3512-1</f>
        <v>40795</v>
      </c>
    </row>
    <row r="3514" spans="2:2">
      <c r="B3514" s="251">
        <f ca="1" t="shared" si="221"/>
        <v>40794</v>
      </c>
    </row>
    <row r="3515" spans="2:2">
      <c r="B3515" s="251">
        <f ca="1" t="shared" si="221"/>
        <v>40793</v>
      </c>
    </row>
    <row r="3516" spans="2:2">
      <c r="B3516" s="251">
        <f ca="1" t="shared" si="221"/>
        <v>40792</v>
      </c>
    </row>
    <row r="3517" spans="2:2">
      <c r="B3517" s="251">
        <f ca="1" t="shared" si="221"/>
        <v>40791</v>
      </c>
    </row>
    <row r="3518" spans="2:2">
      <c r="B3518" s="251">
        <f ca="1" t="shared" si="221"/>
        <v>40790</v>
      </c>
    </row>
    <row r="3519" spans="2:2">
      <c r="B3519" s="251">
        <f ca="1" t="shared" si="221"/>
        <v>40789</v>
      </c>
    </row>
    <row r="3520" spans="2:2">
      <c r="B3520" s="251">
        <f ca="1" t="shared" si="221"/>
        <v>40788</v>
      </c>
    </row>
    <row r="3521" spans="2:2">
      <c r="B3521" s="251">
        <f ca="1" t="shared" si="221"/>
        <v>40787</v>
      </c>
    </row>
    <row r="3522" spans="2:2">
      <c r="B3522" s="251">
        <f ca="1" t="shared" si="221"/>
        <v>40786</v>
      </c>
    </row>
    <row r="3523" spans="2:2">
      <c r="B3523" s="251">
        <f ca="1" t="shared" si="221"/>
        <v>40785</v>
      </c>
    </row>
    <row r="3524" spans="2:2">
      <c r="B3524" s="251">
        <f ca="1" t="shared" si="221"/>
        <v>40784</v>
      </c>
    </row>
    <row r="3525" spans="2:2">
      <c r="B3525" s="251">
        <f ca="1" t="shared" si="221"/>
        <v>40783</v>
      </c>
    </row>
    <row r="3526" spans="2:2">
      <c r="B3526" s="251">
        <f ca="1" t="shared" si="221"/>
        <v>40782</v>
      </c>
    </row>
    <row r="3527" spans="2:2">
      <c r="B3527" s="251">
        <f ca="1" t="shared" si="221"/>
        <v>40781</v>
      </c>
    </row>
    <row r="3528" spans="2:2">
      <c r="B3528" s="251">
        <f ca="1" t="shared" si="221"/>
        <v>40780</v>
      </c>
    </row>
    <row r="3529" spans="2:2">
      <c r="B3529" s="251">
        <f ca="1" t="shared" ref="B3529:B3544" si="222">B3528-1</f>
        <v>40779</v>
      </c>
    </row>
    <row r="3530" spans="2:2">
      <c r="B3530" s="251">
        <f ca="1" t="shared" si="222"/>
        <v>40778</v>
      </c>
    </row>
    <row r="3531" spans="2:2">
      <c r="B3531" s="251">
        <f ca="1" t="shared" si="222"/>
        <v>40777</v>
      </c>
    </row>
    <row r="3532" spans="2:2">
      <c r="B3532" s="251">
        <f ca="1" t="shared" si="222"/>
        <v>40776</v>
      </c>
    </row>
    <row r="3533" spans="2:2">
      <c r="B3533" s="251">
        <f ca="1" t="shared" si="222"/>
        <v>40775</v>
      </c>
    </row>
    <row r="3534" spans="2:2">
      <c r="B3534" s="251">
        <f ca="1" t="shared" si="222"/>
        <v>40774</v>
      </c>
    </row>
    <row r="3535" spans="2:2">
      <c r="B3535" s="251">
        <f ca="1" t="shared" si="222"/>
        <v>40773</v>
      </c>
    </row>
    <row r="3536" spans="2:2">
      <c r="B3536" s="251">
        <f ca="1" t="shared" si="222"/>
        <v>40772</v>
      </c>
    </row>
    <row r="3537" spans="2:2">
      <c r="B3537" s="251">
        <f ca="1" t="shared" si="222"/>
        <v>40771</v>
      </c>
    </row>
    <row r="3538" spans="2:2">
      <c r="B3538" s="251">
        <f ca="1" t="shared" si="222"/>
        <v>40770</v>
      </c>
    </row>
    <row r="3539" spans="2:2">
      <c r="B3539" s="251">
        <f ca="1" t="shared" si="222"/>
        <v>40769</v>
      </c>
    </row>
    <row r="3540" spans="2:2">
      <c r="B3540" s="251">
        <f ca="1" t="shared" si="222"/>
        <v>40768</v>
      </c>
    </row>
    <row r="3541" spans="2:2">
      <c r="B3541" s="251">
        <f ca="1" t="shared" si="222"/>
        <v>40767</v>
      </c>
    </row>
    <row r="3542" spans="2:2">
      <c r="B3542" s="251">
        <f ca="1" t="shared" si="222"/>
        <v>40766</v>
      </c>
    </row>
    <row r="3543" spans="2:2">
      <c r="B3543" s="251">
        <f ca="1" t="shared" si="222"/>
        <v>40765</v>
      </c>
    </row>
    <row r="3544" spans="2:2">
      <c r="B3544" s="251">
        <f ca="1" t="shared" si="222"/>
        <v>40764</v>
      </c>
    </row>
    <row r="3545" spans="2:2">
      <c r="B3545" s="251">
        <f ca="1" t="shared" ref="B3545:B3560" si="223">B3544-1</f>
        <v>40763</v>
      </c>
    </row>
    <row r="3546" spans="2:2">
      <c r="B3546" s="251">
        <f ca="1" t="shared" si="223"/>
        <v>40762</v>
      </c>
    </row>
    <row r="3547" spans="2:2">
      <c r="B3547" s="251">
        <f ca="1" t="shared" si="223"/>
        <v>40761</v>
      </c>
    </row>
    <row r="3548" spans="2:2">
      <c r="B3548" s="251">
        <f ca="1" t="shared" si="223"/>
        <v>40760</v>
      </c>
    </row>
    <row r="3549" spans="2:2">
      <c r="B3549" s="251">
        <f ca="1" t="shared" si="223"/>
        <v>40759</v>
      </c>
    </row>
    <row r="3550" spans="2:2">
      <c r="B3550" s="251">
        <f ca="1" t="shared" si="223"/>
        <v>40758</v>
      </c>
    </row>
    <row r="3551" spans="2:2">
      <c r="B3551" s="251">
        <f ca="1" t="shared" si="223"/>
        <v>40757</v>
      </c>
    </row>
    <row r="3552" spans="2:2">
      <c r="B3552" s="251">
        <f ca="1" t="shared" si="223"/>
        <v>40756</v>
      </c>
    </row>
    <row r="3553" spans="2:2">
      <c r="B3553" s="251">
        <f ca="1" t="shared" si="223"/>
        <v>40755</v>
      </c>
    </row>
    <row r="3554" spans="2:2">
      <c r="B3554" s="251">
        <f ca="1" t="shared" si="223"/>
        <v>40754</v>
      </c>
    </row>
    <row r="3555" spans="2:2">
      <c r="B3555" s="251">
        <f ca="1" t="shared" si="223"/>
        <v>40753</v>
      </c>
    </row>
    <row r="3556" spans="2:2">
      <c r="B3556" s="251">
        <f ca="1" t="shared" si="223"/>
        <v>40752</v>
      </c>
    </row>
    <row r="3557" spans="2:2">
      <c r="B3557" s="251">
        <f ca="1" t="shared" si="223"/>
        <v>40751</v>
      </c>
    </row>
    <row r="3558" spans="2:2">
      <c r="B3558" s="251">
        <f ca="1" t="shared" si="223"/>
        <v>40750</v>
      </c>
    </row>
    <row r="3559" spans="2:2">
      <c r="B3559" s="251">
        <f ca="1" t="shared" si="223"/>
        <v>40749</v>
      </c>
    </row>
    <row r="3560" spans="2:2">
      <c r="B3560" s="251">
        <f ca="1" t="shared" si="223"/>
        <v>40748</v>
      </c>
    </row>
    <row r="3561" spans="2:2">
      <c r="B3561" s="251">
        <f ca="1" t="shared" ref="B3561:B3576" si="224">B3560-1</f>
        <v>40747</v>
      </c>
    </row>
    <row r="3562" spans="2:2">
      <c r="B3562" s="251">
        <f ca="1" t="shared" si="224"/>
        <v>40746</v>
      </c>
    </row>
    <row r="3563" spans="2:2">
      <c r="B3563" s="251">
        <f ca="1" t="shared" si="224"/>
        <v>40745</v>
      </c>
    </row>
    <row r="3564" spans="2:2">
      <c r="B3564" s="251">
        <f ca="1" t="shared" si="224"/>
        <v>40744</v>
      </c>
    </row>
    <row r="3565" spans="2:2">
      <c r="B3565" s="251">
        <f ca="1" t="shared" si="224"/>
        <v>40743</v>
      </c>
    </row>
    <row r="3566" spans="2:2">
      <c r="B3566" s="251">
        <f ca="1" t="shared" si="224"/>
        <v>40742</v>
      </c>
    </row>
    <row r="3567" spans="2:2">
      <c r="B3567" s="251">
        <f ca="1" t="shared" si="224"/>
        <v>40741</v>
      </c>
    </row>
    <row r="3568" spans="2:2">
      <c r="B3568" s="251">
        <f ca="1" t="shared" si="224"/>
        <v>40740</v>
      </c>
    </row>
    <row r="3569" spans="2:2">
      <c r="B3569" s="251">
        <f ca="1" t="shared" si="224"/>
        <v>40739</v>
      </c>
    </row>
    <row r="3570" spans="2:2">
      <c r="B3570" s="251">
        <f ca="1" t="shared" si="224"/>
        <v>40738</v>
      </c>
    </row>
    <row r="3571" spans="2:2">
      <c r="B3571" s="251">
        <f ca="1" t="shared" si="224"/>
        <v>40737</v>
      </c>
    </row>
    <row r="3572" spans="2:2">
      <c r="B3572" s="251">
        <f ca="1" t="shared" si="224"/>
        <v>40736</v>
      </c>
    </row>
    <row r="3573" spans="2:2">
      <c r="B3573" s="251">
        <f ca="1" t="shared" si="224"/>
        <v>40735</v>
      </c>
    </row>
    <row r="3574" spans="2:2">
      <c r="B3574" s="251">
        <f ca="1" t="shared" si="224"/>
        <v>40734</v>
      </c>
    </row>
    <row r="3575" spans="2:2">
      <c r="B3575" s="251">
        <f ca="1" t="shared" si="224"/>
        <v>40733</v>
      </c>
    </row>
    <row r="3576" spans="2:2">
      <c r="B3576" s="251">
        <f ca="1" t="shared" si="224"/>
        <v>40732</v>
      </c>
    </row>
    <row r="3577" spans="2:2">
      <c r="B3577" s="251">
        <f ca="1" t="shared" ref="B3577:B3592" si="225">B3576-1</f>
        <v>40731</v>
      </c>
    </row>
    <row r="3578" spans="2:2">
      <c r="B3578" s="251">
        <f ca="1" t="shared" si="225"/>
        <v>40730</v>
      </c>
    </row>
    <row r="3579" spans="2:2">
      <c r="B3579" s="251">
        <f ca="1" t="shared" si="225"/>
        <v>40729</v>
      </c>
    </row>
    <row r="3580" spans="2:2">
      <c r="B3580" s="251">
        <f ca="1" t="shared" si="225"/>
        <v>40728</v>
      </c>
    </row>
    <row r="3581" spans="2:2">
      <c r="B3581" s="251">
        <f ca="1" t="shared" si="225"/>
        <v>40727</v>
      </c>
    </row>
    <row r="3582" spans="2:2">
      <c r="B3582" s="251">
        <f ca="1" t="shared" si="225"/>
        <v>40726</v>
      </c>
    </row>
    <row r="3583" spans="2:2">
      <c r="B3583" s="251">
        <f ca="1" t="shared" si="225"/>
        <v>40725</v>
      </c>
    </row>
    <row r="3584" spans="2:2">
      <c r="B3584" s="251">
        <f ca="1" t="shared" si="225"/>
        <v>40724</v>
      </c>
    </row>
    <row r="3585" spans="2:2">
      <c r="B3585" s="251">
        <f ca="1" t="shared" si="225"/>
        <v>40723</v>
      </c>
    </row>
    <row r="3586" spans="2:2">
      <c r="B3586" s="251">
        <f ca="1" t="shared" si="225"/>
        <v>40722</v>
      </c>
    </row>
    <row r="3587" spans="2:2">
      <c r="B3587" s="251">
        <f ca="1" t="shared" si="225"/>
        <v>40721</v>
      </c>
    </row>
    <row r="3588" spans="2:2">
      <c r="B3588" s="251">
        <f ca="1" t="shared" si="225"/>
        <v>40720</v>
      </c>
    </row>
    <row r="3589" spans="2:2">
      <c r="B3589" s="251">
        <f ca="1" t="shared" si="225"/>
        <v>40719</v>
      </c>
    </row>
    <row r="3590" spans="2:2">
      <c r="B3590" s="251">
        <f ca="1" t="shared" si="225"/>
        <v>40718</v>
      </c>
    </row>
    <row r="3591" spans="2:2">
      <c r="B3591" s="251">
        <f ca="1" t="shared" si="225"/>
        <v>40717</v>
      </c>
    </row>
    <row r="3592" spans="2:2">
      <c r="B3592" s="251">
        <f ca="1" t="shared" si="225"/>
        <v>40716</v>
      </c>
    </row>
    <row r="3593" spans="2:2">
      <c r="B3593" s="251">
        <f ca="1" t="shared" ref="B3593:B3608" si="226">B3592-1</f>
        <v>40715</v>
      </c>
    </row>
    <row r="3594" spans="2:2">
      <c r="B3594" s="251">
        <f ca="1" t="shared" si="226"/>
        <v>40714</v>
      </c>
    </row>
    <row r="3595" spans="2:2">
      <c r="B3595" s="251">
        <f ca="1" t="shared" si="226"/>
        <v>40713</v>
      </c>
    </row>
    <row r="3596" spans="2:2">
      <c r="B3596" s="251">
        <f ca="1" t="shared" si="226"/>
        <v>40712</v>
      </c>
    </row>
    <row r="3597" spans="2:2">
      <c r="B3597" s="251">
        <f ca="1" t="shared" si="226"/>
        <v>40711</v>
      </c>
    </row>
    <row r="3598" spans="2:2">
      <c r="B3598" s="251">
        <f ca="1" t="shared" si="226"/>
        <v>40710</v>
      </c>
    </row>
    <row r="3599" spans="2:2">
      <c r="B3599" s="251">
        <f ca="1" t="shared" si="226"/>
        <v>40709</v>
      </c>
    </row>
    <row r="3600" spans="2:2">
      <c r="B3600" s="251">
        <f ca="1" t="shared" si="226"/>
        <v>40708</v>
      </c>
    </row>
    <row r="3601" spans="2:2">
      <c r="B3601" s="251">
        <f ca="1" t="shared" si="226"/>
        <v>40707</v>
      </c>
    </row>
    <row r="3602" spans="2:2">
      <c r="B3602" s="251">
        <f ca="1" t="shared" si="226"/>
        <v>40706</v>
      </c>
    </row>
    <row r="3603" spans="2:2">
      <c r="B3603" s="251">
        <f ca="1" t="shared" si="226"/>
        <v>40705</v>
      </c>
    </row>
    <row r="3604" spans="2:2">
      <c r="B3604" s="251">
        <f ca="1" t="shared" si="226"/>
        <v>40704</v>
      </c>
    </row>
    <row r="3605" spans="2:2">
      <c r="B3605" s="251">
        <f ca="1" t="shared" si="226"/>
        <v>40703</v>
      </c>
    </row>
    <row r="3606" spans="2:2">
      <c r="B3606" s="251">
        <f ca="1" t="shared" si="226"/>
        <v>40702</v>
      </c>
    </row>
    <row r="3607" spans="2:2">
      <c r="B3607" s="251">
        <f ca="1" t="shared" si="226"/>
        <v>40701</v>
      </c>
    </row>
    <row r="3608" spans="2:2">
      <c r="B3608" s="251">
        <f ca="1" t="shared" si="226"/>
        <v>40700</v>
      </c>
    </row>
    <row r="3609" spans="2:2">
      <c r="B3609" s="251">
        <f ca="1" t="shared" ref="B3609:B3624" si="227">B3608-1</f>
        <v>40699</v>
      </c>
    </row>
    <row r="3610" spans="2:2">
      <c r="B3610" s="251">
        <f ca="1" t="shared" si="227"/>
        <v>40698</v>
      </c>
    </row>
    <row r="3611" spans="2:2">
      <c r="B3611" s="251">
        <f ca="1" t="shared" si="227"/>
        <v>40697</v>
      </c>
    </row>
    <row r="3612" spans="2:2">
      <c r="B3612" s="251">
        <f ca="1" t="shared" si="227"/>
        <v>40696</v>
      </c>
    </row>
    <row r="3613" spans="2:2">
      <c r="B3613" s="251">
        <f ca="1" t="shared" si="227"/>
        <v>40695</v>
      </c>
    </row>
    <row r="3614" spans="2:2">
      <c r="B3614" s="251">
        <f ca="1" t="shared" si="227"/>
        <v>40694</v>
      </c>
    </row>
    <row r="3615" spans="2:2">
      <c r="B3615" s="251">
        <f ca="1" t="shared" si="227"/>
        <v>40693</v>
      </c>
    </row>
    <row r="3616" spans="2:2">
      <c r="B3616" s="251">
        <f ca="1" t="shared" si="227"/>
        <v>40692</v>
      </c>
    </row>
    <row r="3617" spans="2:2">
      <c r="B3617" s="251">
        <f ca="1" t="shared" si="227"/>
        <v>40691</v>
      </c>
    </row>
    <row r="3618" spans="2:2">
      <c r="B3618" s="251">
        <f ca="1" t="shared" si="227"/>
        <v>40690</v>
      </c>
    </row>
    <row r="3619" spans="2:2">
      <c r="B3619" s="251">
        <f ca="1" t="shared" si="227"/>
        <v>40689</v>
      </c>
    </row>
    <row r="3620" spans="2:2">
      <c r="B3620" s="251">
        <f ca="1" t="shared" si="227"/>
        <v>40688</v>
      </c>
    </row>
    <row r="3621" spans="2:2">
      <c r="B3621" s="251">
        <f ca="1" t="shared" si="227"/>
        <v>40687</v>
      </c>
    </row>
    <row r="3622" spans="2:2">
      <c r="B3622" s="251">
        <f ca="1" t="shared" si="227"/>
        <v>40686</v>
      </c>
    </row>
    <row r="3623" spans="2:2">
      <c r="B3623" s="251">
        <f ca="1" t="shared" si="227"/>
        <v>40685</v>
      </c>
    </row>
    <row r="3624" spans="2:2">
      <c r="B3624" s="251">
        <f ca="1" t="shared" si="227"/>
        <v>40684</v>
      </c>
    </row>
    <row r="3625" spans="2:2">
      <c r="B3625" s="251">
        <f ca="1" t="shared" ref="B3625:B3640" si="228">B3624-1</f>
        <v>40683</v>
      </c>
    </row>
    <row r="3626" spans="2:2">
      <c r="B3626" s="251">
        <f ca="1" t="shared" si="228"/>
        <v>40682</v>
      </c>
    </row>
    <row r="3627" spans="2:2">
      <c r="B3627" s="251">
        <f ca="1" t="shared" si="228"/>
        <v>40681</v>
      </c>
    </row>
    <row r="3628" spans="2:2">
      <c r="B3628" s="251">
        <f ca="1" t="shared" si="228"/>
        <v>40680</v>
      </c>
    </row>
    <row r="3629" spans="2:2">
      <c r="B3629" s="251">
        <f ca="1" t="shared" si="228"/>
        <v>40679</v>
      </c>
    </row>
    <row r="3630" spans="2:2">
      <c r="B3630" s="251">
        <f ca="1" t="shared" si="228"/>
        <v>40678</v>
      </c>
    </row>
    <row r="3631" spans="2:2">
      <c r="B3631" s="251">
        <f ca="1" t="shared" si="228"/>
        <v>40677</v>
      </c>
    </row>
    <row r="3632" spans="2:2">
      <c r="B3632" s="251">
        <f ca="1" t="shared" si="228"/>
        <v>40676</v>
      </c>
    </row>
    <row r="3633" spans="2:2">
      <c r="B3633" s="251">
        <f ca="1" t="shared" si="228"/>
        <v>40675</v>
      </c>
    </row>
    <row r="3634" spans="2:2">
      <c r="B3634" s="251">
        <f ca="1" t="shared" si="228"/>
        <v>40674</v>
      </c>
    </row>
    <row r="3635" spans="2:2">
      <c r="B3635" s="251">
        <f ca="1" t="shared" si="228"/>
        <v>40673</v>
      </c>
    </row>
    <row r="3636" spans="2:2">
      <c r="B3636" s="251">
        <f ca="1" t="shared" si="228"/>
        <v>40672</v>
      </c>
    </row>
    <row r="3637" spans="2:2">
      <c r="B3637" s="251">
        <f ca="1" t="shared" si="228"/>
        <v>40671</v>
      </c>
    </row>
    <row r="3638" spans="2:2">
      <c r="B3638" s="251">
        <f ca="1" t="shared" si="228"/>
        <v>40670</v>
      </c>
    </row>
    <row r="3639" spans="2:2">
      <c r="B3639" s="251">
        <f ca="1" t="shared" si="228"/>
        <v>40669</v>
      </c>
    </row>
    <row r="3640" spans="2:2">
      <c r="B3640" s="251">
        <f ca="1" t="shared" si="228"/>
        <v>40668</v>
      </c>
    </row>
    <row r="3641" spans="2:2">
      <c r="B3641" s="251">
        <f ca="1" t="shared" ref="B3641:B3656" si="229">B3640-1</f>
        <v>40667</v>
      </c>
    </row>
    <row r="3642" spans="2:2">
      <c r="B3642" s="251">
        <f ca="1" t="shared" si="229"/>
        <v>40666</v>
      </c>
    </row>
    <row r="3643" spans="2:2">
      <c r="B3643" s="251">
        <f ca="1" t="shared" si="229"/>
        <v>40665</v>
      </c>
    </row>
    <row r="3644" spans="2:2">
      <c r="B3644" s="251">
        <f ca="1" t="shared" si="229"/>
        <v>40664</v>
      </c>
    </row>
    <row r="3645" spans="2:2">
      <c r="B3645" s="251">
        <f ca="1" t="shared" si="229"/>
        <v>40663</v>
      </c>
    </row>
    <row r="3646" spans="2:2">
      <c r="B3646" s="251">
        <f ca="1" t="shared" si="229"/>
        <v>40662</v>
      </c>
    </row>
    <row r="3647" spans="2:2">
      <c r="B3647" s="251">
        <f ca="1" t="shared" si="229"/>
        <v>40661</v>
      </c>
    </row>
    <row r="3648" spans="2:2">
      <c r="B3648" s="251">
        <f ca="1" t="shared" si="229"/>
        <v>40660</v>
      </c>
    </row>
    <row r="3649" spans="2:2">
      <c r="B3649" s="251">
        <f ca="1" t="shared" si="229"/>
        <v>40659</v>
      </c>
    </row>
    <row r="3650" spans="2:2">
      <c r="B3650" s="251">
        <f ca="1" t="shared" si="229"/>
        <v>40658</v>
      </c>
    </row>
    <row r="3651" spans="2:2">
      <c r="B3651" s="251">
        <f ca="1" t="shared" si="229"/>
        <v>40657</v>
      </c>
    </row>
    <row r="3652" spans="2:2">
      <c r="B3652" s="251">
        <f ca="1" t="shared" si="229"/>
        <v>40656</v>
      </c>
    </row>
    <row r="3653" spans="2:2">
      <c r="B3653" s="251">
        <f ca="1" t="shared" si="229"/>
        <v>40655</v>
      </c>
    </row>
    <row r="3654" spans="2:2">
      <c r="B3654" s="251">
        <f ca="1" t="shared" si="229"/>
        <v>40654</v>
      </c>
    </row>
    <row r="3655" spans="2:2">
      <c r="B3655" s="251">
        <f ca="1" t="shared" si="229"/>
        <v>40653</v>
      </c>
    </row>
    <row r="3656" spans="2:2">
      <c r="B3656" s="251">
        <f ca="1" t="shared" si="229"/>
        <v>40652</v>
      </c>
    </row>
    <row r="3657" spans="2:2">
      <c r="B3657" s="251">
        <f ca="1" t="shared" ref="B3657:B3672" si="230">B3656-1</f>
        <v>40651</v>
      </c>
    </row>
    <row r="3658" spans="2:2">
      <c r="B3658" s="251">
        <f ca="1" t="shared" si="230"/>
        <v>40650</v>
      </c>
    </row>
    <row r="3659" spans="2:2">
      <c r="B3659" s="251">
        <f ca="1" t="shared" si="230"/>
        <v>40649</v>
      </c>
    </row>
    <row r="3660" spans="2:2">
      <c r="B3660" s="251">
        <f ca="1" t="shared" si="230"/>
        <v>40648</v>
      </c>
    </row>
    <row r="3661" spans="2:2">
      <c r="B3661" s="251">
        <f ca="1" t="shared" si="230"/>
        <v>40647</v>
      </c>
    </row>
    <row r="3662" spans="2:2">
      <c r="B3662" s="251">
        <f ca="1" t="shared" si="230"/>
        <v>40646</v>
      </c>
    </row>
    <row r="3663" spans="2:2">
      <c r="B3663" s="251">
        <f ca="1" t="shared" si="230"/>
        <v>40645</v>
      </c>
    </row>
    <row r="3664" spans="2:2">
      <c r="B3664" s="251">
        <f ca="1" t="shared" si="230"/>
        <v>40644</v>
      </c>
    </row>
    <row r="3665" spans="2:2">
      <c r="B3665" s="251">
        <f ca="1" t="shared" si="230"/>
        <v>40643</v>
      </c>
    </row>
    <row r="3666" spans="2:2">
      <c r="B3666" s="251">
        <f ca="1" t="shared" si="230"/>
        <v>40642</v>
      </c>
    </row>
    <row r="3667" spans="2:2">
      <c r="B3667" s="251">
        <f ca="1" t="shared" si="230"/>
        <v>40641</v>
      </c>
    </row>
    <row r="3668" spans="2:2">
      <c r="B3668" s="251">
        <f ca="1" t="shared" si="230"/>
        <v>40640</v>
      </c>
    </row>
    <row r="3669" spans="2:2">
      <c r="B3669" s="251">
        <f ca="1" t="shared" si="230"/>
        <v>40639</v>
      </c>
    </row>
    <row r="3670" spans="2:2">
      <c r="B3670" s="251">
        <f ca="1" t="shared" si="230"/>
        <v>40638</v>
      </c>
    </row>
    <row r="3671" spans="2:2">
      <c r="B3671" s="251">
        <f ca="1" t="shared" si="230"/>
        <v>40637</v>
      </c>
    </row>
    <row r="3672" spans="2:2">
      <c r="B3672" s="251">
        <f ca="1" t="shared" si="230"/>
        <v>40636</v>
      </c>
    </row>
    <row r="3673" spans="2:2">
      <c r="B3673" s="251">
        <f ca="1" t="shared" ref="B3673:B3688" si="231">B3672-1</f>
        <v>40635</v>
      </c>
    </row>
    <row r="3674" spans="2:2">
      <c r="B3674" s="251">
        <f ca="1" t="shared" si="231"/>
        <v>40634</v>
      </c>
    </row>
    <row r="3675" spans="2:2">
      <c r="B3675" s="251">
        <f ca="1" t="shared" si="231"/>
        <v>40633</v>
      </c>
    </row>
    <row r="3676" spans="2:2">
      <c r="B3676" s="251">
        <f ca="1" t="shared" si="231"/>
        <v>40632</v>
      </c>
    </row>
    <row r="3677" spans="2:2">
      <c r="B3677" s="251">
        <f ca="1" t="shared" si="231"/>
        <v>40631</v>
      </c>
    </row>
    <row r="3678" spans="2:2">
      <c r="B3678" s="251">
        <f ca="1" t="shared" si="231"/>
        <v>40630</v>
      </c>
    </row>
    <row r="3679" spans="2:2">
      <c r="B3679" s="251">
        <f ca="1" t="shared" si="231"/>
        <v>40629</v>
      </c>
    </row>
    <row r="3680" spans="2:2">
      <c r="B3680" s="251">
        <f ca="1" t="shared" si="231"/>
        <v>40628</v>
      </c>
    </row>
    <row r="3681" spans="2:2">
      <c r="B3681" s="251">
        <f ca="1" t="shared" si="231"/>
        <v>40627</v>
      </c>
    </row>
    <row r="3682" spans="2:2">
      <c r="B3682" s="251">
        <f ca="1" t="shared" si="231"/>
        <v>40626</v>
      </c>
    </row>
    <row r="3683" spans="2:2">
      <c r="B3683" s="251">
        <f ca="1" t="shared" si="231"/>
        <v>40625</v>
      </c>
    </row>
    <row r="3684" spans="2:2">
      <c r="B3684" s="251">
        <f ca="1" t="shared" si="231"/>
        <v>40624</v>
      </c>
    </row>
    <row r="3685" spans="2:2">
      <c r="B3685" s="251">
        <f ca="1" t="shared" si="231"/>
        <v>40623</v>
      </c>
    </row>
    <row r="3686" spans="2:2">
      <c r="B3686" s="251">
        <f ca="1" t="shared" si="231"/>
        <v>40622</v>
      </c>
    </row>
    <row r="3687" spans="2:2">
      <c r="B3687" s="251">
        <f ca="1" t="shared" si="231"/>
        <v>40621</v>
      </c>
    </row>
    <row r="3688" spans="2:2">
      <c r="B3688" s="251">
        <f ca="1" t="shared" si="231"/>
        <v>40620</v>
      </c>
    </row>
    <row r="3689" spans="2:2">
      <c r="B3689" s="251">
        <f ca="1" t="shared" ref="B3689:B3704" si="232">B3688-1</f>
        <v>40619</v>
      </c>
    </row>
    <row r="3690" spans="2:2">
      <c r="B3690" s="251">
        <f ca="1" t="shared" si="232"/>
        <v>40618</v>
      </c>
    </row>
    <row r="3691" spans="2:2">
      <c r="B3691" s="251">
        <f ca="1" t="shared" si="232"/>
        <v>40617</v>
      </c>
    </row>
    <row r="3692" spans="2:2">
      <c r="B3692" s="251">
        <f ca="1" t="shared" si="232"/>
        <v>40616</v>
      </c>
    </row>
    <row r="3693" spans="2:2">
      <c r="B3693" s="251">
        <f ca="1" t="shared" si="232"/>
        <v>40615</v>
      </c>
    </row>
    <row r="3694" spans="2:2">
      <c r="B3694" s="251">
        <f ca="1" t="shared" si="232"/>
        <v>40614</v>
      </c>
    </row>
    <row r="3695" spans="2:2">
      <c r="B3695" s="251">
        <f ca="1" t="shared" si="232"/>
        <v>40613</v>
      </c>
    </row>
    <row r="3696" spans="2:2">
      <c r="B3696" s="251">
        <f ca="1" t="shared" si="232"/>
        <v>40612</v>
      </c>
    </row>
    <row r="3697" spans="2:2">
      <c r="B3697" s="251">
        <f ca="1" t="shared" si="232"/>
        <v>40611</v>
      </c>
    </row>
    <row r="3698" spans="2:2">
      <c r="B3698" s="251">
        <f ca="1" t="shared" si="232"/>
        <v>40610</v>
      </c>
    </row>
    <row r="3699" spans="2:2">
      <c r="B3699" s="251">
        <f ca="1" t="shared" si="232"/>
        <v>40609</v>
      </c>
    </row>
    <row r="3700" spans="2:2">
      <c r="B3700" s="251">
        <f ca="1" t="shared" si="232"/>
        <v>40608</v>
      </c>
    </row>
    <row r="3701" spans="2:2">
      <c r="B3701" s="251">
        <f ca="1" t="shared" si="232"/>
        <v>40607</v>
      </c>
    </row>
    <row r="3702" spans="2:2">
      <c r="B3702" s="251">
        <f ca="1" t="shared" si="232"/>
        <v>40606</v>
      </c>
    </row>
    <row r="3703" spans="2:2">
      <c r="B3703" s="251">
        <f ca="1" t="shared" si="232"/>
        <v>40605</v>
      </c>
    </row>
    <row r="3704" spans="2:2">
      <c r="B3704" s="251">
        <f ca="1" t="shared" si="232"/>
        <v>40604</v>
      </c>
    </row>
    <row r="3705" spans="2:2">
      <c r="B3705" s="251">
        <f ca="1" t="shared" ref="B3705:B3720" si="233">B3704-1</f>
        <v>40603</v>
      </c>
    </row>
    <row r="3706" spans="2:2">
      <c r="B3706" s="251">
        <f ca="1" t="shared" si="233"/>
        <v>40602</v>
      </c>
    </row>
    <row r="3707" spans="2:2">
      <c r="B3707" s="251">
        <f ca="1" t="shared" si="233"/>
        <v>40601</v>
      </c>
    </row>
    <row r="3708" spans="2:2">
      <c r="B3708" s="251">
        <f ca="1" t="shared" si="233"/>
        <v>40600</v>
      </c>
    </row>
    <row r="3709" spans="2:2">
      <c r="B3709" s="251">
        <f ca="1" t="shared" si="233"/>
        <v>40599</v>
      </c>
    </row>
    <row r="3710" spans="2:2">
      <c r="B3710" s="251">
        <f ca="1" t="shared" si="233"/>
        <v>40598</v>
      </c>
    </row>
    <row r="3711" spans="2:2">
      <c r="B3711" s="251">
        <f ca="1" t="shared" si="233"/>
        <v>40597</v>
      </c>
    </row>
    <row r="3712" spans="2:2">
      <c r="B3712" s="251">
        <f ca="1" t="shared" si="233"/>
        <v>40596</v>
      </c>
    </row>
    <row r="3713" spans="2:2">
      <c r="B3713" s="251">
        <f ca="1" t="shared" si="233"/>
        <v>40595</v>
      </c>
    </row>
    <row r="3714" spans="2:2">
      <c r="B3714" s="251">
        <f ca="1" t="shared" si="233"/>
        <v>40594</v>
      </c>
    </row>
    <row r="3715" spans="2:2">
      <c r="B3715" s="251">
        <f ca="1" t="shared" si="233"/>
        <v>40593</v>
      </c>
    </row>
    <row r="3716" spans="2:2">
      <c r="B3716" s="251">
        <f ca="1" t="shared" si="233"/>
        <v>40592</v>
      </c>
    </row>
    <row r="3717" spans="2:2">
      <c r="B3717" s="251">
        <f ca="1" t="shared" si="233"/>
        <v>40591</v>
      </c>
    </row>
    <row r="3718" spans="2:2">
      <c r="B3718" s="251">
        <f ca="1" t="shared" si="233"/>
        <v>40590</v>
      </c>
    </row>
    <row r="3719" spans="2:2">
      <c r="B3719" s="251">
        <f ca="1" t="shared" si="233"/>
        <v>40589</v>
      </c>
    </row>
    <row r="3720" spans="2:2">
      <c r="B3720" s="251">
        <f ca="1" t="shared" si="233"/>
        <v>40588</v>
      </c>
    </row>
    <row r="3721" spans="2:2">
      <c r="B3721" s="251">
        <f ca="1" t="shared" ref="B3721:B3736" si="234">B3720-1</f>
        <v>40587</v>
      </c>
    </row>
    <row r="3722" spans="2:2">
      <c r="B3722" s="251">
        <f ca="1" t="shared" si="234"/>
        <v>40586</v>
      </c>
    </row>
    <row r="3723" spans="2:2">
      <c r="B3723" s="251">
        <f ca="1" t="shared" si="234"/>
        <v>40585</v>
      </c>
    </row>
    <row r="3724" spans="2:2">
      <c r="B3724" s="251">
        <f ca="1" t="shared" si="234"/>
        <v>40584</v>
      </c>
    </row>
    <row r="3725" spans="2:2">
      <c r="B3725" s="251">
        <f ca="1" t="shared" si="234"/>
        <v>40583</v>
      </c>
    </row>
    <row r="3726" spans="2:2">
      <c r="B3726" s="251">
        <f ca="1" t="shared" si="234"/>
        <v>40582</v>
      </c>
    </row>
    <row r="3727" spans="2:2">
      <c r="B3727" s="251">
        <f ca="1" t="shared" si="234"/>
        <v>40581</v>
      </c>
    </row>
    <row r="3728" spans="2:2">
      <c r="B3728" s="251">
        <f ca="1" t="shared" si="234"/>
        <v>40580</v>
      </c>
    </row>
    <row r="3729" spans="2:2">
      <c r="B3729" s="251">
        <f ca="1" t="shared" si="234"/>
        <v>40579</v>
      </c>
    </row>
    <row r="3730" spans="2:2">
      <c r="B3730" s="251">
        <f ca="1" t="shared" si="234"/>
        <v>40578</v>
      </c>
    </row>
    <row r="3731" spans="2:2">
      <c r="B3731" s="251">
        <f ca="1" t="shared" si="234"/>
        <v>40577</v>
      </c>
    </row>
    <row r="3732" spans="2:2">
      <c r="B3732" s="251">
        <f ca="1" t="shared" si="234"/>
        <v>40576</v>
      </c>
    </row>
    <row r="3733" spans="2:2">
      <c r="B3733" s="251">
        <f ca="1" t="shared" si="234"/>
        <v>40575</v>
      </c>
    </row>
    <row r="3734" spans="2:2">
      <c r="B3734" s="251">
        <f ca="1" t="shared" si="234"/>
        <v>40574</v>
      </c>
    </row>
    <row r="3735" spans="2:2">
      <c r="B3735" s="251">
        <f ca="1" t="shared" si="234"/>
        <v>40573</v>
      </c>
    </row>
    <row r="3736" spans="2:2">
      <c r="B3736" s="251">
        <f ca="1" t="shared" si="234"/>
        <v>40572</v>
      </c>
    </row>
    <row r="3737" spans="2:2">
      <c r="B3737" s="251">
        <f ca="1" t="shared" ref="B3737:B3752" si="235">B3736-1</f>
        <v>40571</v>
      </c>
    </row>
    <row r="3738" spans="2:2">
      <c r="B3738" s="251">
        <f ca="1" t="shared" si="235"/>
        <v>40570</v>
      </c>
    </row>
    <row r="3739" spans="2:2">
      <c r="B3739" s="251">
        <f ca="1" t="shared" si="235"/>
        <v>40569</v>
      </c>
    </row>
    <row r="3740" spans="2:2">
      <c r="B3740" s="251">
        <f ca="1" t="shared" si="235"/>
        <v>40568</v>
      </c>
    </row>
    <row r="3741" spans="2:2">
      <c r="B3741" s="251">
        <f ca="1" t="shared" si="235"/>
        <v>40567</v>
      </c>
    </row>
    <row r="3742" spans="2:2">
      <c r="B3742" s="251">
        <f ca="1" t="shared" si="235"/>
        <v>40566</v>
      </c>
    </row>
    <row r="3743" spans="2:2">
      <c r="B3743" s="251">
        <f ca="1" t="shared" si="235"/>
        <v>40565</v>
      </c>
    </row>
    <row r="3744" spans="2:2">
      <c r="B3744" s="251">
        <f ca="1" t="shared" si="235"/>
        <v>40564</v>
      </c>
    </row>
    <row r="3745" spans="2:2">
      <c r="B3745" s="251">
        <f ca="1" t="shared" si="235"/>
        <v>40563</v>
      </c>
    </row>
    <row r="3746" spans="2:2">
      <c r="B3746" s="251">
        <f ca="1" t="shared" si="235"/>
        <v>40562</v>
      </c>
    </row>
    <row r="3747" spans="2:2">
      <c r="B3747" s="251">
        <f ca="1" t="shared" si="235"/>
        <v>40561</v>
      </c>
    </row>
    <row r="3748" spans="2:2">
      <c r="B3748" s="251">
        <f ca="1" t="shared" si="235"/>
        <v>40560</v>
      </c>
    </row>
    <row r="3749" spans="2:2">
      <c r="B3749" s="251">
        <f ca="1" t="shared" si="235"/>
        <v>40559</v>
      </c>
    </row>
    <row r="3750" spans="2:2">
      <c r="B3750" s="251">
        <f ca="1" t="shared" si="235"/>
        <v>40558</v>
      </c>
    </row>
    <row r="3751" spans="2:2">
      <c r="B3751" s="251">
        <f ca="1" t="shared" si="235"/>
        <v>40557</v>
      </c>
    </row>
    <row r="3752" spans="2:2">
      <c r="B3752" s="251">
        <f ca="1" t="shared" si="235"/>
        <v>40556</v>
      </c>
    </row>
    <row r="3753" spans="2:2">
      <c r="B3753" s="251">
        <f ca="1" t="shared" ref="B3753:B3768" si="236">B3752-1</f>
        <v>40555</v>
      </c>
    </row>
    <row r="3754" spans="2:2">
      <c r="B3754" s="251">
        <f ca="1" t="shared" si="236"/>
        <v>40554</v>
      </c>
    </row>
    <row r="3755" spans="2:2">
      <c r="B3755" s="251">
        <f ca="1" t="shared" si="236"/>
        <v>40553</v>
      </c>
    </row>
    <row r="3756" spans="2:2">
      <c r="B3756" s="251">
        <f ca="1" t="shared" si="236"/>
        <v>40552</v>
      </c>
    </row>
    <row r="3757" spans="2:2">
      <c r="B3757" s="251">
        <f ca="1" t="shared" si="236"/>
        <v>40551</v>
      </c>
    </row>
    <row r="3758" spans="2:2">
      <c r="B3758" s="251">
        <f ca="1" t="shared" si="236"/>
        <v>40550</v>
      </c>
    </row>
    <row r="3759" spans="2:2">
      <c r="B3759" s="251">
        <f ca="1" t="shared" si="236"/>
        <v>40549</v>
      </c>
    </row>
    <row r="3760" spans="2:2">
      <c r="B3760" s="251">
        <f ca="1" t="shared" si="236"/>
        <v>40548</v>
      </c>
    </row>
    <row r="3761" spans="2:2">
      <c r="B3761" s="251">
        <f ca="1" t="shared" si="236"/>
        <v>40547</v>
      </c>
    </row>
    <row r="3762" spans="2:2">
      <c r="B3762" s="251">
        <f ca="1" t="shared" si="236"/>
        <v>40546</v>
      </c>
    </row>
    <row r="3763" spans="2:2">
      <c r="B3763" s="251">
        <f ca="1" t="shared" si="236"/>
        <v>40545</v>
      </c>
    </row>
    <row r="3764" spans="2:2">
      <c r="B3764" s="251">
        <f ca="1" t="shared" si="236"/>
        <v>40544</v>
      </c>
    </row>
    <row r="3765" spans="2:2">
      <c r="B3765" s="251">
        <f ca="1" t="shared" si="236"/>
        <v>40543</v>
      </c>
    </row>
    <row r="3766" spans="2:2">
      <c r="B3766" s="251">
        <f ca="1" t="shared" si="236"/>
        <v>40542</v>
      </c>
    </row>
    <row r="3767" spans="2:2">
      <c r="B3767" s="251">
        <f ca="1" t="shared" si="236"/>
        <v>40541</v>
      </c>
    </row>
    <row r="3768" spans="2:2">
      <c r="B3768" s="251">
        <f ca="1" t="shared" si="236"/>
        <v>40540</v>
      </c>
    </row>
    <row r="3769" spans="2:2">
      <c r="B3769" s="251">
        <f ca="1" t="shared" ref="B3769:B3784" si="237">B3768-1</f>
        <v>40539</v>
      </c>
    </row>
    <row r="3770" spans="2:2">
      <c r="B3770" s="251">
        <f ca="1" t="shared" si="237"/>
        <v>40538</v>
      </c>
    </row>
    <row r="3771" spans="2:2">
      <c r="B3771" s="251">
        <f ca="1" t="shared" si="237"/>
        <v>40537</v>
      </c>
    </row>
    <row r="3772" spans="2:2">
      <c r="B3772" s="251">
        <f ca="1" t="shared" si="237"/>
        <v>40536</v>
      </c>
    </row>
    <row r="3773" spans="2:2">
      <c r="B3773" s="251">
        <f ca="1" t="shared" si="237"/>
        <v>40535</v>
      </c>
    </row>
    <row r="3774" spans="2:2">
      <c r="B3774" s="251">
        <f ca="1" t="shared" si="237"/>
        <v>40534</v>
      </c>
    </row>
    <row r="3775" spans="2:2">
      <c r="B3775" s="251">
        <f ca="1" t="shared" si="237"/>
        <v>40533</v>
      </c>
    </row>
    <row r="3776" spans="2:2">
      <c r="B3776" s="251">
        <f ca="1" t="shared" si="237"/>
        <v>40532</v>
      </c>
    </row>
    <row r="3777" spans="2:2">
      <c r="B3777" s="251">
        <f ca="1" t="shared" si="237"/>
        <v>40531</v>
      </c>
    </row>
    <row r="3778" spans="2:2">
      <c r="B3778" s="251">
        <f ca="1" t="shared" si="237"/>
        <v>40530</v>
      </c>
    </row>
    <row r="3779" spans="2:2">
      <c r="B3779" s="251">
        <f ca="1" t="shared" si="237"/>
        <v>40529</v>
      </c>
    </row>
    <row r="3780" spans="2:2">
      <c r="B3780" s="251">
        <f ca="1" t="shared" si="237"/>
        <v>40528</v>
      </c>
    </row>
    <row r="3781" spans="2:2">
      <c r="B3781" s="251">
        <f ca="1" t="shared" si="237"/>
        <v>40527</v>
      </c>
    </row>
    <row r="3782" spans="2:2">
      <c r="B3782" s="251">
        <f ca="1" t="shared" si="237"/>
        <v>40526</v>
      </c>
    </row>
    <row r="3783" spans="2:2">
      <c r="B3783" s="251">
        <f ca="1" t="shared" si="237"/>
        <v>40525</v>
      </c>
    </row>
    <row r="3784" spans="2:2">
      <c r="B3784" s="251">
        <f ca="1" t="shared" si="237"/>
        <v>40524</v>
      </c>
    </row>
    <row r="3785" spans="2:2">
      <c r="B3785" s="251">
        <f ca="1" t="shared" ref="B3785:B3800" si="238">B3784-1</f>
        <v>40523</v>
      </c>
    </row>
    <row r="3786" spans="2:2">
      <c r="B3786" s="251">
        <f ca="1" t="shared" si="238"/>
        <v>40522</v>
      </c>
    </row>
    <row r="3787" spans="2:2">
      <c r="B3787" s="251">
        <f ca="1" t="shared" si="238"/>
        <v>40521</v>
      </c>
    </row>
    <row r="3788" spans="2:2">
      <c r="B3788" s="251">
        <f ca="1" t="shared" si="238"/>
        <v>40520</v>
      </c>
    </row>
    <row r="3789" spans="2:2">
      <c r="B3789" s="251">
        <f ca="1" t="shared" si="238"/>
        <v>40519</v>
      </c>
    </row>
    <row r="3790" spans="2:2">
      <c r="B3790" s="251">
        <f ca="1" t="shared" si="238"/>
        <v>40518</v>
      </c>
    </row>
    <row r="3791" spans="2:2">
      <c r="B3791" s="251">
        <f ca="1" t="shared" si="238"/>
        <v>40517</v>
      </c>
    </row>
    <row r="3792" spans="2:2">
      <c r="B3792" s="251">
        <f ca="1" t="shared" si="238"/>
        <v>40516</v>
      </c>
    </row>
    <row r="3793" spans="2:2">
      <c r="B3793" s="251">
        <f ca="1" t="shared" si="238"/>
        <v>40515</v>
      </c>
    </row>
    <row r="3794" spans="2:2">
      <c r="B3794" s="251">
        <f ca="1" t="shared" si="238"/>
        <v>40514</v>
      </c>
    </row>
    <row r="3795" spans="2:2">
      <c r="B3795" s="251">
        <f ca="1" t="shared" si="238"/>
        <v>40513</v>
      </c>
    </row>
    <row r="3796" spans="2:2">
      <c r="B3796" s="251">
        <f ca="1" t="shared" si="238"/>
        <v>40512</v>
      </c>
    </row>
    <row r="3797" spans="2:2">
      <c r="B3797" s="251">
        <f ca="1" t="shared" si="238"/>
        <v>40511</v>
      </c>
    </row>
    <row r="3798" spans="2:2">
      <c r="B3798" s="251">
        <f ca="1" t="shared" si="238"/>
        <v>40510</v>
      </c>
    </row>
    <row r="3799" spans="2:2">
      <c r="B3799" s="251">
        <f ca="1" t="shared" si="238"/>
        <v>40509</v>
      </c>
    </row>
    <row r="3800" spans="2:2">
      <c r="B3800" s="251">
        <f ca="1" t="shared" si="238"/>
        <v>40508</v>
      </c>
    </row>
    <row r="3801" spans="2:2">
      <c r="B3801" s="251">
        <f ca="1" t="shared" ref="B3801:B3816" si="239">B3800-1</f>
        <v>40507</v>
      </c>
    </row>
    <row r="3802" spans="2:2">
      <c r="B3802" s="251">
        <f ca="1" t="shared" si="239"/>
        <v>40506</v>
      </c>
    </row>
    <row r="3803" spans="2:2">
      <c r="B3803" s="251">
        <f ca="1" t="shared" si="239"/>
        <v>40505</v>
      </c>
    </row>
    <row r="3804" spans="2:2">
      <c r="B3804" s="251">
        <f ca="1" t="shared" si="239"/>
        <v>40504</v>
      </c>
    </row>
    <row r="3805" spans="2:2">
      <c r="B3805" s="251">
        <f ca="1" t="shared" si="239"/>
        <v>40503</v>
      </c>
    </row>
    <row r="3806" spans="2:2">
      <c r="B3806" s="251">
        <f ca="1" t="shared" si="239"/>
        <v>40502</v>
      </c>
    </row>
    <row r="3807" spans="2:2">
      <c r="B3807" s="251">
        <f ca="1" t="shared" si="239"/>
        <v>40501</v>
      </c>
    </row>
    <row r="3808" spans="2:2">
      <c r="B3808" s="251">
        <f ca="1" t="shared" si="239"/>
        <v>40500</v>
      </c>
    </row>
    <row r="3809" spans="2:2">
      <c r="B3809" s="251">
        <f ca="1" t="shared" si="239"/>
        <v>40499</v>
      </c>
    </row>
    <row r="3810" spans="2:2">
      <c r="B3810" s="251">
        <f ca="1" t="shared" si="239"/>
        <v>40498</v>
      </c>
    </row>
    <row r="3811" spans="2:2">
      <c r="B3811" s="251">
        <f ca="1" t="shared" si="239"/>
        <v>40497</v>
      </c>
    </row>
    <row r="3812" spans="2:2">
      <c r="B3812" s="251">
        <f ca="1" t="shared" si="239"/>
        <v>40496</v>
      </c>
    </row>
    <row r="3813" spans="2:2">
      <c r="B3813" s="251">
        <f ca="1" t="shared" si="239"/>
        <v>40495</v>
      </c>
    </row>
    <row r="3814" spans="2:2">
      <c r="B3814" s="251">
        <f ca="1" t="shared" si="239"/>
        <v>40494</v>
      </c>
    </row>
    <row r="3815" spans="2:2">
      <c r="B3815" s="251">
        <f ca="1" t="shared" si="239"/>
        <v>40493</v>
      </c>
    </row>
    <row r="3816" spans="2:2">
      <c r="B3816" s="251">
        <f ca="1" t="shared" si="239"/>
        <v>40492</v>
      </c>
    </row>
    <row r="3817" spans="2:2">
      <c r="B3817" s="251">
        <f ca="1" t="shared" ref="B3817:B3832" si="240">B3816-1</f>
        <v>40491</v>
      </c>
    </row>
    <row r="3818" spans="2:2">
      <c r="B3818" s="251">
        <f ca="1" t="shared" si="240"/>
        <v>40490</v>
      </c>
    </row>
    <row r="3819" spans="2:2">
      <c r="B3819" s="251">
        <f ca="1" t="shared" si="240"/>
        <v>40489</v>
      </c>
    </row>
    <row r="3820" spans="2:2">
      <c r="B3820" s="251">
        <f ca="1" t="shared" si="240"/>
        <v>40488</v>
      </c>
    </row>
    <row r="3821" spans="2:2">
      <c r="B3821" s="251">
        <f ca="1" t="shared" si="240"/>
        <v>40487</v>
      </c>
    </row>
    <row r="3822" spans="2:2">
      <c r="B3822" s="251">
        <f ca="1" t="shared" si="240"/>
        <v>40486</v>
      </c>
    </row>
    <row r="3823" spans="2:2">
      <c r="B3823" s="251">
        <f ca="1" t="shared" si="240"/>
        <v>40485</v>
      </c>
    </row>
    <row r="3824" spans="2:2">
      <c r="B3824" s="251">
        <f ca="1" t="shared" si="240"/>
        <v>40484</v>
      </c>
    </row>
    <row r="3825" spans="2:2">
      <c r="B3825" s="251">
        <f ca="1" t="shared" si="240"/>
        <v>40483</v>
      </c>
    </row>
    <row r="3826" spans="2:2">
      <c r="B3826" s="251">
        <f ca="1" t="shared" si="240"/>
        <v>40482</v>
      </c>
    </row>
    <row r="3827" spans="2:2">
      <c r="B3827" s="251">
        <f ca="1" t="shared" si="240"/>
        <v>40481</v>
      </c>
    </row>
    <row r="3828" spans="2:2">
      <c r="B3828" s="251">
        <f ca="1" t="shared" si="240"/>
        <v>40480</v>
      </c>
    </row>
    <row r="3829" spans="2:2">
      <c r="B3829" s="251">
        <f ca="1" t="shared" si="240"/>
        <v>40479</v>
      </c>
    </row>
    <row r="3830" spans="2:2">
      <c r="B3830" s="251">
        <f ca="1" t="shared" si="240"/>
        <v>40478</v>
      </c>
    </row>
    <row r="3831" spans="2:2">
      <c r="B3831" s="251">
        <f ca="1" t="shared" si="240"/>
        <v>40477</v>
      </c>
    </row>
    <row r="3832" spans="2:2">
      <c r="B3832" s="251">
        <f ca="1" t="shared" si="240"/>
        <v>40476</v>
      </c>
    </row>
    <row r="3833" spans="2:2">
      <c r="B3833" s="251">
        <f ca="1" t="shared" ref="B3833:B3848" si="241">B3832-1</f>
        <v>40475</v>
      </c>
    </row>
    <row r="3834" spans="2:2">
      <c r="B3834" s="251">
        <f ca="1" t="shared" si="241"/>
        <v>40474</v>
      </c>
    </row>
    <row r="3835" spans="2:2">
      <c r="B3835" s="251">
        <f ca="1" t="shared" si="241"/>
        <v>40473</v>
      </c>
    </row>
    <row r="3836" spans="2:2">
      <c r="B3836" s="251">
        <f ca="1" t="shared" si="241"/>
        <v>40472</v>
      </c>
    </row>
    <row r="3837" spans="2:2">
      <c r="B3837" s="251">
        <f ca="1" t="shared" si="241"/>
        <v>40471</v>
      </c>
    </row>
    <row r="3838" spans="2:2">
      <c r="B3838" s="251">
        <f ca="1" t="shared" si="241"/>
        <v>40470</v>
      </c>
    </row>
    <row r="3839" spans="2:2">
      <c r="B3839" s="251">
        <f ca="1" t="shared" si="241"/>
        <v>40469</v>
      </c>
    </row>
    <row r="3840" spans="2:2">
      <c r="B3840" s="251">
        <f ca="1" t="shared" si="241"/>
        <v>40468</v>
      </c>
    </row>
    <row r="3841" spans="2:2">
      <c r="B3841" s="251">
        <f ca="1" t="shared" si="241"/>
        <v>40467</v>
      </c>
    </row>
    <row r="3842" spans="2:2">
      <c r="B3842" s="251">
        <f ca="1" t="shared" si="241"/>
        <v>40466</v>
      </c>
    </row>
    <row r="3843" spans="2:2">
      <c r="B3843" s="251">
        <f ca="1" t="shared" si="241"/>
        <v>40465</v>
      </c>
    </row>
    <row r="3844" spans="2:2">
      <c r="B3844" s="251">
        <f ca="1" t="shared" si="241"/>
        <v>40464</v>
      </c>
    </row>
    <row r="3845" spans="2:2">
      <c r="B3845" s="251">
        <f ca="1" t="shared" si="241"/>
        <v>40463</v>
      </c>
    </row>
    <row r="3846" spans="2:2">
      <c r="B3846" s="251">
        <f ca="1" t="shared" si="241"/>
        <v>40462</v>
      </c>
    </row>
    <row r="3847" spans="2:2">
      <c r="B3847" s="251">
        <f ca="1" t="shared" si="241"/>
        <v>40461</v>
      </c>
    </row>
    <row r="3848" spans="2:2">
      <c r="B3848" s="251">
        <f ca="1" t="shared" si="241"/>
        <v>40460</v>
      </c>
    </row>
    <row r="3849" spans="2:2">
      <c r="B3849" s="251">
        <f ca="1" t="shared" ref="B3849:B3864" si="242">B3848-1</f>
        <v>40459</v>
      </c>
    </row>
    <row r="3850" spans="2:2">
      <c r="B3850" s="251">
        <f ca="1" t="shared" si="242"/>
        <v>40458</v>
      </c>
    </row>
    <row r="3851" spans="2:2">
      <c r="B3851" s="251">
        <f ca="1" t="shared" si="242"/>
        <v>40457</v>
      </c>
    </row>
    <row r="3852" spans="2:2">
      <c r="B3852" s="251">
        <f ca="1" t="shared" si="242"/>
        <v>40456</v>
      </c>
    </row>
    <row r="3853" spans="2:2">
      <c r="B3853" s="251">
        <f ca="1" t="shared" si="242"/>
        <v>40455</v>
      </c>
    </row>
    <row r="3854" spans="2:2">
      <c r="B3854" s="251">
        <f ca="1" t="shared" si="242"/>
        <v>40454</v>
      </c>
    </row>
    <row r="3855" spans="2:2">
      <c r="B3855" s="251">
        <f ca="1" t="shared" si="242"/>
        <v>40453</v>
      </c>
    </row>
    <row r="3856" spans="2:2">
      <c r="B3856" s="251">
        <f ca="1" t="shared" si="242"/>
        <v>40452</v>
      </c>
    </row>
    <row r="3857" spans="2:2">
      <c r="B3857" s="251">
        <f ca="1" t="shared" si="242"/>
        <v>40451</v>
      </c>
    </row>
    <row r="3858" spans="2:2">
      <c r="B3858" s="251">
        <f ca="1" t="shared" si="242"/>
        <v>40450</v>
      </c>
    </row>
    <row r="3859" spans="2:2">
      <c r="B3859" s="251">
        <f ca="1" t="shared" si="242"/>
        <v>40449</v>
      </c>
    </row>
    <row r="3860" spans="2:2">
      <c r="B3860" s="251">
        <f ca="1" t="shared" si="242"/>
        <v>40448</v>
      </c>
    </row>
    <row r="3861" spans="2:2">
      <c r="B3861" s="251">
        <f ca="1" t="shared" si="242"/>
        <v>40447</v>
      </c>
    </row>
    <row r="3862" spans="2:2">
      <c r="B3862" s="251">
        <f ca="1" t="shared" si="242"/>
        <v>40446</v>
      </c>
    </row>
    <row r="3863" spans="2:2">
      <c r="B3863" s="251">
        <f ca="1" t="shared" si="242"/>
        <v>40445</v>
      </c>
    </row>
    <row r="3864" spans="2:2">
      <c r="B3864" s="251">
        <f ca="1" t="shared" si="242"/>
        <v>40444</v>
      </c>
    </row>
    <row r="3865" spans="2:2">
      <c r="B3865" s="251">
        <f ca="1" t="shared" ref="B3865:B3880" si="243">B3864-1</f>
        <v>40443</v>
      </c>
    </row>
    <row r="3866" spans="2:2">
      <c r="B3866" s="251">
        <f ca="1" t="shared" si="243"/>
        <v>40442</v>
      </c>
    </row>
    <row r="3867" spans="2:2">
      <c r="B3867" s="251">
        <f ca="1" t="shared" si="243"/>
        <v>40441</v>
      </c>
    </row>
    <row r="3868" spans="2:2">
      <c r="B3868" s="251">
        <f ca="1" t="shared" si="243"/>
        <v>40440</v>
      </c>
    </row>
    <row r="3869" spans="2:2">
      <c r="B3869" s="251">
        <f ca="1" t="shared" si="243"/>
        <v>40439</v>
      </c>
    </row>
    <row r="3870" spans="2:2">
      <c r="B3870" s="251">
        <f ca="1" t="shared" si="243"/>
        <v>40438</v>
      </c>
    </row>
    <row r="3871" spans="2:2">
      <c r="B3871" s="251">
        <f ca="1" t="shared" si="243"/>
        <v>40437</v>
      </c>
    </row>
    <row r="3872" spans="2:2">
      <c r="B3872" s="251">
        <f ca="1" t="shared" si="243"/>
        <v>40436</v>
      </c>
    </row>
    <row r="3873" spans="2:2">
      <c r="B3873" s="251">
        <f ca="1" t="shared" si="243"/>
        <v>40435</v>
      </c>
    </row>
    <row r="3874" spans="2:2">
      <c r="B3874" s="251">
        <f ca="1" t="shared" si="243"/>
        <v>40434</v>
      </c>
    </row>
    <row r="3875" spans="2:2">
      <c r="B3875" s="251">
        <f ca="1" t="shared" si="243"/>
        <v>40433</v>
      </c>
    </row>
    <row r="3876" spans="2:2">
      <c r="B3876" s="251">
        <f ca="1" t="shared" si="243"/>
        <v>40432</v>
      </c>
    </row>
    <row r="3877" spans="2:2">
      <c r="B3877" s="251">
        <f ca="1" t="shared" si="243"/>
        <v>40431</v>
      </c>
    </row>
    <row r="3878" spans="2:2">
      <c r="B3878" s="251">
        <f ca="1" t="shared" si="243"/>
        <v>40430</v>
      </c>
    </row>
    <row r="3879" spans="2:2">
      <c r="B3879" s="251">
        <f ca="1" t="shared" si="243"/>
        <v>40429</v>
      </c>
    </row>
    <row r="3880" spans="2:2">
      <c r="B3880" s="251">
        <f ca="1" t="shared" si="243"/>
        <v>40428</v>
      </c>
    </row>
    <row r="3881" spans="2:2">
      <c r="B3881" s="251">
        <f ca="1" t="shared" ref="B3881:B3896" si="244">B3880-1</f>
        <v>40427</v>
      </c>
    </row>
    <row r="3882" spans="2:2">
      <c r="B3882" s="251">
        <f ca="1" t="shared" si="244"/>
        <v>40426</v>
      </c>
    </row>
    <row r="3883" spans="2:2">
      <c r="B3883" s="251">
        <f ca="1" t="shared" si="244"/>
        <v>40425</v>
      </c>
    </row>
    <row r="3884" spans="2:2">
      <c r="B3884" s="251">
        <f ca="1" t="shared" si="244"/>
        <v>40424</v>
      </c>
    </row>
    <row r="3885" spans="2:2">
      <c r="B3885" s="251">
        <f ca="1" t="shared" si="244"/>
        <v>40423</v>
      </c>
    </row>
    <row r="3886" spans="2:2">
      <c r="B3886" s="251">
        <f ca="1" t="shared" si="244"/>
        <v>40422</v>
      </c>
    </row>
    <row r="3887" spans="2:2">
      <c r="B3887" s="251">
        <f ca="1" t="shared" si="244"/>
        <v>40421</v>
      </c>
    </row>
    <row r="3888" spans="2:2">
      <c r="B3888" s="251">
        <f ca="1" t="shared" si="244"/>
        <v>40420</v>
      </c>
    </row>
    <row r="3889" spans="2:2">
      <c r="B3889" s="251">
        <f ca="1" t="shared" si="244"/>
        <v>40419</v>
      </c>
    </row>
    <row r="3890" spans="2:2">
      <c r="B3890" s="251">
        <f ca="1" t="shared" si="244"/>
        <v>40418</v>
      </c>
    </row>
    <row r="3891" spans="2:2">
      <c r="B3891" s="251">
        <f ca="1" t="shared" si="244"/>
        <v>40417</v>
      </c>
    </row>
    <row r="3892" spans="2:2">
      <c r="B3892" s="251">
        <f ca="1" t="shared" si="244"/>
        <v>40416</v>
      </c>
    </row>
    <row r="3893" spans="2:2">
      <c r="B3893" s="251">
        <f ca="1" t="shared" si="244"/>
        <v>40415</v>
      </c>
    </row>
    <row r="3894" spans="2:2">
      <c r="B3894" s="251">
        <f ca="1" t="shared" si="244"/>
        <v>40414</v>
      </c>
    </row>
    <row r="3895" spans="2:2">
      <c r="B3895" s="251">
        <f ca="1" t="shared" si="244"/>
        <v>40413</v>
      </c>
    </row>
    <row r="3896" spans="2:2">
      <c r="B3896" s="251">
        <f ca="1" t="shared" si="244"/>
        <v>40412</v>
      </c>
    </row>
    <row r="3897" spans="2:2">
      <c r="B3897" s="251">
        <f ca="1" t="shared" ref="B3897:B3912" si="245">B3896-1</f>
        <v>40411</v>
      </c>
    </row>
    <row r="3898" spans="2:2">
      <c r="B3898" s="251">
        <f ca="1" t="shared" si="245"/>
        <v>40410</v>
      </c>
    </row>
    <row r="3899" spans="2:2">
      <c r="B3899" s="251">
        <f ca="1" t="shared" si="245"/>
        <v>40409</v>
      </c>
    </row>
    <row r="3900" spans="2:2">
      <c r="B3900" s="251">
        <f ca="1" t="shared" si="245"/>
        <v>40408</v>
      </c>
    </row>
    <row r="3901" spans="2:2">
      <c r="B3901" s="251">
        <f ca="1" t="shared" si="245"/>
        <v>40407</v>
      </c>
    </row>
    <row r="3902" spans="2:2">
      <c r="B3902" s="251">
        <f ca="1" t="shared" si="245"/>
        <v>40406</v>
      </c>
    </row>
    <row r="3903" spans="2:2">
      <c r="B3903" s="251">
        <f ca="1" t="shared" si="245"/>
        <v>40405</v>
      </c>
    </row>
    <row r="3904" spans="2:2">
      <c r="B3904" s="251">
        <f ca="1" t="shared" si="245"/>
        <v>40404</v>
      </c>
    </row>
    <row r="3905" spans="2:2">
      <c r="B3905" s="251">
        <f ca="1" t="shared" si="245"/>
        <v>40403</v>
      </c>
    </row>
    <row r="3906" spans="2:2">
      <c r="B3906" s="251">
        <f ca="1" t="shared" si="245"/>
        <v>40402</v>
      </c>
    </row>
    <row r="3907" spans="2:2">
      <c r="B3907" s="251">
        <f ca="1" t="shared" si="245"/>
        <v>40401</v>
      </c>
    </row>
    <row r="3908" spans="2:2">
      <c r="B3908" s="251">
        <f ca="1" t="shared" si="245"/>
        <v>40400</v>
      </c>
    </row>
    <row r="3909" spans="2:2">
      <c r="B3909" s="251">
        <f ca="1" t="shared" si="245"/>
        <v>40399</v>
      </c>
    </row>
    <row r="3910" spans="2:2">
      <c r="B3910" s="251">
        <f ca="1" t="shared" si="245"/>
        <v>40398</v>
      </c>
    </row>
    <row r="3911" spans="2:2">
      <c r="B3911" s="251">
        <f ca="1" t="shared" si="245"/>
        <v>40397</v>
      </c>
    </row>
    <row r="3912" spans="2:2">
      <c r="B3912" s="251">
        <f ca="1" t="shared" si="245"/>
        <v>40396</v>
      </c>
    </row>
    <row r="3913" spans="2:2">
      <c r="B3913" s="251">
        <f ca="1" t="shared" ref="B3913:B3928" si="246">B3912-1</f>
        <v>40395</v>
      </c>
    </row>
    <row r="3914" spans="2:2">
      <c r="B3914" s="251">
        <f ca="1" t="shared" si="246"/>
        <v>40394</v>
      </c>
    </row>
    <row r="3915" spans="2:2">
      <c r="B3915" s="251">
        <f ca="1" t="shared" si="246"/>
        <v>40393</v>
      </c>
    </row>
    <row r="3916" spans="2:2">
      <c r="B3916" s="251">
        <f ca="1" t="shared" si="246"/>
        <v>40392</v>
      </c>
    </row>
    <row r="3917" spans="2:2">
      <c r="B3917" s="251">
        <f ca="1" t="shared" si="246"/>
        <v>40391</v>
      </c>
    </row>
    <row r="3918" spans="2:2">
      <c r="B3918" s="251">
        <f ca="1" t="shared" si="246"/>
        <v>40390</v>
      </c>
    </row>
    <row r="3919" spans="2:2">
      <c r="B3919" s="251">
        <f ca="1" t="shared" si="246"/>
        <v>40389</v>
      </c>
    </row>
    <row r="3920" spans="2:2">
      <c r="B3920" s="251">
        <f ca="1" t="shared" si="246"/>
        <v>40388</v>
      </c>
    </row>
    <row r="3921" spans="2:2">
      <c r="B3921" s="251">
        <f ca="1" t="shared" si="246"/>
        <v>40387</v>
      </c>
    </row>
    <row r="3922" spans="2:2">
      <c r="B3922" s="251">
        <f ca="1" t="shared" si="246"/>
        <v>40386</v>
      </c>
    </row>
    <row r="3923" spans="2:2">
      <c r="B3923" s="251">
        <f ca="1" t="shared" si="246"/>
        <v>40385</v>
      </c>
    </row>
    <row r="3924" spans="2:2">
      <c r="B3924" s="251">
        <f ca="1" t="shared" si="246"/>
        <v>40384</v>
      </c>
    </row>
    <row r="3925" spans="2:2">
      <c r="B3925" s="251">
        <f ca="1" t="shared" si="246"/>
        <v>40383</v>
      </c>
    </row>
    <row r="3926" spans="2:2">
      <c r="B3926" s="251">
        <f ca="1" t="shared" si="246"/>
        <v>40382</v>
      </c>
    </row>
    <row r="3927" spans="2:2">
      <c r="B3927" s="251">
        <f ca="1" t="shared" si="246"/>
        <v>40381</v>
      </c>
    </row>
    <row r="3928" spans="2:2">
      <c r="B3928" s="251">
        <f ca="1" t="shared" si="246"/>
        <v>40380</v>
      </c>
    </row>
    <row r="3929" spans="2:2">
      <c r="B3929" s="251">
        <f ca="1" t="shared" ref="B3929:B3944" si="247">B3928-1</f>
        <v>40379</v>
      </c>
    </row>
    <row r="3930" spans="2:2">
      <c r="B3930" s="251">
        <f ca="1" t="shared" si="247"/>
        <v>40378</v>
      </c>
    </row>
    <row r="3931" spans="2:2">
      <c r="B3931" s="251">
        <f ca="1" t="shared" si="247"/>
        <v>40377</v>
      </c>
    </row>
    <row r="3932" spans="2:2">
      <c r="B3932" s="251">
        <f ca="1" t="shared" si="247"/>
        <v>40376</v>
      </c>
    </row>
    <row r="3933" spans="2:2">
      <c r="B3933" s="251">
        <f ca="1" t="shared" si="247"/>
        <v>40375</v>
      </c>
    </row>
    <row r="3934" spans="2:2">
      <c r="B3934" s="251">
        <f ca="1" t="shared" si="247"/>
        <v>40374</v>
      </c>
    </row>
    <row r="3935" spans="2:2">
      <c r="B3935" s="251">
        <f ca="1" t="shared" si="247"/>
        <v>40373</v>
      </c>
    </row>
    <row r="3936" spans="2:2">
      <c r="B3936" s="251">
        <f ca="1" t="shared" si="247"/>
        <v>40372</v>
      </c>
    </row>
    <row r="3937" spans="2:2">
      <c r="B3937" s="251">
        <f ca="1" t="shared" si="247"/>
        <v>40371</v>
      </c>
    </row>
    <row r="3938" spans="2:2">
      <c r="B3938" s="251">
        <f ca="1" t="shared" si="247"/>
        <v>40370</v>
      </c>
    </row>
    <row r="3939" spans="2:2">
      <c r="B3939" s="251">
        <f ca="1" t="shared" si="247"/>
        <v>40369</v>
      </c>
    </row>
    <row r="3940" spans="2:2">
      <c r="B3940" s="251">
        <f ca="1" t="shared" si="247"/>
        <v>40368</v>
      </c>
    </row>
    <row r="3941" spans="2:2">
      <c r="B3941" s="251">
        <f ca="1" t="shared" si="247"/>
        <v>40367</v>
      </c>
    </row>
    <row r="3942" spans="2:2">
      <c r="B3942" s="251">
        <f ca="1" t="shared" si="247"/>
        <v>40366</v>
      </c>
    </row>
    <row r="3943" spans="2:2">
      <c r="B3943" s="251">
        <f ca="1" t="shared" si="247"/>
        <v>40365</v>
      </c>
    </row>
    <row r="3944" spans="2:2">
      <c r="B3944" s="251">
        <f ca="1" t="shared" si="247"/>
        <v>40364</v>
      </c>
    </row>
    <row r="3945" spans="2:2">
      <c r="B3945" s="251">
        <f ca="1" t="shared" ref="B3945:B3960" si="248">B3944-1</f>
        <v>40363</v>
      </c>
    </row>
    <row r="3946" spans="2:2">
      <c r="B3946" s="251">
        <f ca="1" t="shared" si="248"/>
        <v>40362</v>
      </c>
    </row>
    <row r="3947" spans="2:2">
      <c r="B3947" s="251">
        <f ca="1" t="shared" si="248"/>
        <v>40361</v>
      </c>
    </row>
    <row r="3948" spans="2:2">
      <c r="B3948" s="251">
        <f ca="1" t="shared" si="248"/>
        <v>40360</v>
      </c>
    </row>
    <row r="3949" spans="2:2">
      <c r="B3949" s="251">
        <f ca="1" t="shared" si="248"/>
        <v>40359</v>
      </c>
    </row>
    <row r="3950" spans="2:2">
      <c r="B3950" s="251">
        <f ca="1" t="shared" si="248"/>
        <v>40358</v>
      </c>
    </row>
    <row r="3951" spans="2:2">
      <c r="B3951" s="251">
        <f ca="1" t="shared" si="248"/>
        <v>40357</v>
      </c>
    </row>
    <row r="3952" spans="2:2">
      <c r="B3952" s="251">
        <f ca="1" t="shared" si="248"/>
        <v>40356</v>
      </c>
    </row>
    <row r="3953" spans="2:2">
      <c r="B3953" s="251">
        <f ca="1" t="shared" si="248"/>
        <v>40355</v>
      </c>
    </row>
    <row r="3954" spans="2:2">
      <c r="B3954" s="251">
        <f ca="1" t="shared" si="248"/>
        <v>40354</v>
      </c>
    </row>
    <row r="3955" spans="2:2">
      <c r="B3955" s="251">
        <f ca="1" t="shared" si="248"/>
        <v>40353</v>
      </c>
    </row>
    <row r="3956" spans="2:2">
      <c r="B3956" s="251">
        <f ca="1" t="shared" si="248"/>
        <v>40352</v>
      </c>
    </row>
    <row r="3957" spans="2:2">
      <c r="B3957" s="251">
        <f ca="1" t="shared" si="248"/>
        <v>40351</v>
      </c>
    </row>
    <row r="3958" spans="2:2">
      <c r="B3958" s="251">
        <f ca="1" t="shared" si="248"/>
        <v>40350</v>
      </c>
    </row>
    <row r="3959" spans="2:2">
      <c r="B3959" s="251">
        <f ca="1" t="shared" si="248"/>
        <v>40349</v>
      </c>
    </row>
    <row r="3960" spans="2:2">
      <c r="B3960" s="251">
        <f ca="1" t="shared" si="248"/>
        <v>40348</v>
      </c>
    </row>
    <row r="3961" spans="2:2">
      <c r="B3961" s="251">
        <f ca="1" t="shared" ref="B3961:B3976" si="249">B3960-1</f>
        <v>40347</v>
      </c>
    </row>
    <row r="3962" spans="2:2">
      <c r="B3962" s="251">
        <f ca="1" t="shared" si="249"/>
        <v>40346</v>
      </c>
    </row>
    <row r="3963" spans="2:2">
      <c r="B3963" s="251">
        <f ca="1" t="shared" si="249"/>
        <v>40345</v>
      </c>
    </row>
    <row r="3964" spans="2:2">
      <c r="B3964" s="251">
        <f ca="1" t="shared" si="249"/>
        <v>40344</v>
      </c>
    </row>
    <row r="3965" spans="2:2">
      <c r="B3965" s="251">
        <f ca="1" t="shared" si="249"/>
        <v>40343</v>
      </c>
    </row>
    <row r="3966" spans="2:2">
      <c r="B3966" s="251">
        <f ca="1" t="shared" si="249"/>
        <v>40342</v>
      </c>
    </row>
    <row r="3967" spans="2:2">
      <c r="B3967" s="251">
        <f ca="1" t="shared" si="249"/>
        <v>40341</v>
      </c>
    </row>
    <row r="3968" spans="2:2">
      <c r="B3968" s="251">
        <f ca="1" t="shared" si="249"/>
        <v>40340</v>
      </c>
    </row>
    <row r="3969" spans="2:2">
      <c r="B3969" s="251">
        <f ca="1" t="shared" si="249"/>
        <v>40339</v>
      </c>
    </row>
    <row r="3970" spans="2:2">
      <c r="B3970" s="251">
        <f ca="1" t="shared" si="249"/>
        <v>40338</v>
      </c>
    </row>
    <row r="3971" spans="2:2">
      <c r="B3971" s="251">
        <f ca="1" t="shared" si="249"/>
        <v>40337</v>
      </c>
    </row>
    <row r="3972" spans="2:2">
      <c r="B3972" s="251">
        <f ca="1" t="shared" si="249"/>
        <v>40336</v>
      </c>
    </row>
    <row r="3973" spans="2:2">
      <c r="B3973" s="251">
        <f ca="1" t="shared" si="249"/>
        <v>40335</v>
      </c>
    </row>
    <row r="3974" spans="2:2">
      <c r="B3974" s="251">
        <f ca="1" t="shared" si="249"/>
        <v>40334</v>
      </c>
    </row>
    <row r="3975" spans="2:2">
      <c r="B3975" s="251">
        <f ca="1" t="shared" si="249"/>
        <v>40333</v>
      </c>
    </row>
    <row r="3976" spans="2:2">
      <c r="B3976" s="251">
        <f ca="1" t="shared" si="249"/>
        <v>40332</v>
      </c>
    </row>
    <row r="3977" spans="2:2">
      <c r="B3977" s="251">
        <f ca="1" t="shared" ref="B3977:B3992" si="250">B3976-1</f>
        <v>40331</v>
      </c>
    </row>
    <row r="3978" spans="2:2">
      <c r="B3978" s="251">
        <f ca="1" t="shared" si="250"/>
        <v>40330</v>
      </c>
    </row>
    <row r="3979" spans="2:2">
      <c r="B3979" s="251">
        <f ca="1" t="shared" si="250"/>
        <v>40329</v>
      </c>
    </row>
    <row r="3980" spans="2:2">
      <c r="B3980" s="251">
        <f ca="1" t="shared" si="250"/>
        <v>40328</v>
      </c>
    </row>
    <row r="3981" spans="2:2">
      <c r="B3981" s="251">
        <f ca="1" t="shared" si="250"/>
        <v>40327</v>
      </c>
    </row>
    <row r="3982" spans="2:2">
      <c r="B3982" s="251">
        <f ca="1" t="shared" si="250"/>
        <v>40326</v>
      </c>
    </row>
    <row r="3983" spans="2:2">
      <c r="B3983" s="251">
        <f ca="1" t="shared" si="250"/>
        <v>40325</v>
      </c>
    </row>
    <row r="3984" spans="2:2">
      <c r="B3984" s="251">
        <f ca="1" t="shared" si="250"/>
        <v>40324</v>
      </c>
    </row>
    <row r="3985" spans="2:2">
      <c r="B3985" s="251">
        <f ca="1" t="shared" si="250"/>
        <v>40323</v>
      </c>
    </row>
    <row r="3986" spans="2:2">
      <c r="B3986" s="251">
        <f ca="1" t="shared" si="250"/>
        <v>40322</v>
      </c>
    </row>
    <row r="3987" spans="2:2">
      <c r="B3987" s="251">
        <f ca="1" t="shared" si="250"/>
        <v>40321</v>
      </c>
    </row>
    <row r="3988" spans="2:2">
      <c r="B3988" s="251">
        <f ca="1" t="shared" si="250"/>
        <v>40320</v>
      </c>
    </row>
    <row r="3989" spans="2:2">
      <c r="B3989" s="251">
        <f ca="1" t="shared" si="250"/>
        <v>40319</v>
      </c>
    </row>
    <row r="3990" spans="2:2">
      <c r="B3990" s="251">
        <f ca="1" t="shared" si="250"/>
        <v>40318</v>
      </c>
    </row>
    <row r="3991" spans="2:2">
      <c r="B3991" s="251">
        <f ca="1" t="shared" si="250"/>
        <v>40317</v>
      </c>
    </row>
    <row r="3992" spans="2:2">
      <c r="B3992" s="251">
        <f ca="1" t="shared" si="250"/>
        <v>40316</v>
      </c>
    </row>
    <row r="3993" spans="2:2">
      <c r="B3993" s="251">
        <f ca="1" t="shared" ref="B3993:B4008" si="251">B3992-1</f>
        <v>40315</v>
      </c>
    </row>
    <row r="3994" spans="2:2">
      <c r="B3994" s="251">
        <f ca="1" t="shared" si="251"/>
        <v>40314</v>
      </c>
    </row>
    <row r="3995" spans="2:2">
      <c r="B3995" s="251">
        <f ca="1" t="shared" si="251"/>
        <v>40313</v>
      </c>
    </row>
    <row r="3996" spans="2:2">
      <c r="B3996" s="251">
        <f ca="1" t="shared" si="251"/>
        <v>40312</v>
      </c>
    </row>
    <row r="3997" spans="2:2">
      <c r="B3997" s="251">
        <f ca="1" t="shared" si="251"/>
        <v>40311</v>
      </c>
    </row>
    <row r="3998" spans="2:2">
      <c r="B3998" s="251">
        <f ca="1" t="shared" si="251"/>
        <v>40310</v>
      </c>
    </row>
    <row r="3999" spans="2:2">
      <c r="B3999" s="251">
        <f ca="1" t="shared" si="251"/>
        <v>40309</v>
      </c>
    </row>
    <row r="4000" spans="2:2">
      <c r="B4000" s="251">
        <f ca="1" t="shared" si="251"/>
        <v>40308</v>
      </c>
    </row>
    <row r="4001" spans="2:2">
      <c r="B4001" s="251">
        <f ca="1" t="shared" si="251"/>
        <v>40307</v>
      </c>
    </row>
    <row r="4002" spans="2:2">
      <c r="B4002" s="251">
        <f ca="1" t="shared" si="251"/>
        <v>40306</v>
      </c>
    </row>
    <row r="4003" spans="2:2">
      <c r="B4003" s="251">
        <f ca="1" t="shared" si="251"/>
        <v>40305</v>
      </c>
    </row>
    <row r="4004" spans="2:2">
      <c r="B4004" s="251">
        <f ca="1" t="shared" si="251"/>
        <v>40304</v>
      </c>
    </row>
    <row r="4005" spans="2:2">
      <c r="B4005" s="251">
        <f ca="1" t="shared" si="251"/>
        <v>40303</v>
      </c>
    </row>
    <row r="4006" spans="2:2">
      <c r="B4006" s="251">
        <f ca="1" t="shared" si="251"/>
        <v>40302</v>
      </c>
    </row>
    <row r="4007" spans="2:2">
      <c r="B4007" s="251">
        <f ca="1" t="shared" si="251"/>
        <v>40301</v>
      </c>
    </row>
    <row r="4008" spans="2:2">
      <c r="B4008" s="251">
        <f ca="1" t="shared" si="251"/>
        <v>40300</v>
      </c>
    </row>
    <row r="4009" spans="2:2">
      <c r="B4009" s="251">
        <f ca="1" t="shared" ref="B4009:B4024" si="252">B4008-1</f>
        <v>40299</v>
      </c>
    </row>
    <row r="4010" spans="2:2">
      <c r="B4010" s="251">
        <f ca="1" t="shared" si="252"/>
        <v>40298</v>
      </c>
    </row>
    <row r="4011" spans="2:2">
      <c r="B4011" s="251">
        <f ca="1" t="shared" si="252"/>
        <v>40297</v>
      </c>
    </row>
    <row r="4012" spans="2:2">
      <c r="B4012" s="251">
        <f ca="1" t="shared" si="252"/>
        <v>40296</v>
      </c>
    </row>
    <row r="4013" spans="2:2">
      <c r="B4013" s="251">
        <f ca="1" t="shared" si="252"/>
        <v>40295</v>
      </c>
    </row>
    <row r="4014" spans="2:2">
      <c r="B4014" s="251">
        <f ca="1" t="shared" si="252"/>
        <v>40294</v>
      </c>
    </row>
    <row r="4015" spans="2:2">
      <c r="B4015" s="251">
        <f ca="1" t="shared" si="252"/>
        <v>40293</v>
      </c>
    </row>
    <row r="4016" spans="2:2">
      <c r="B4016" s="251">
        <f ca="1" t="shared" si="252"/>
        <v>40292</v>
      </c>
    </row>
    <row r="4017" spans="2:2">
      <c r="B4017" s="251">
        <f ca="1" t="shared" si="252"/>
        <v>40291</v>
      </c>
    </row>
    <row r="4018" spans="2:2">
      <c r="B4018" s="251">
        <f ca="1" t="shared" si="252"/>
        <v>40290</v>
      </c>
    </row>
    <row r="4019" spans="2:2">
      <c r="B4019" s="251">
        <f ca="1" t="shared" si="252"/>
        <v>40289</v>
      </c>
    </row>
    <row r="4020" spans="2:2">
      <c r="B4020" s="251">
        <f ca="1" t="shared" si="252"/>
        <v>40288</v>
      </c>
    </row>
    <row r="4021" spans="2:2">
      <c r="B4021" s="251">
        <f ca="1" t="shared" si="252"/>
        <v>40287</v>
      </c>
    </row>
    <row r="4022" spans="2:2">
      <c r="B4022" s="251">
        <f ca="1" t="shared" si="252"/>
        <v>40286</v>
      </c>
    </row>
    <row r="4023" spans="2:2">
      <c r="B4023" s="251">
        <f ca="1" t="shared" si="252"/>
        <v>40285</v>
      </c>
    </row>
    <row r="4024" spans="2:2">
      <c r="B4024" s="251">
        <f ca="1" t="shared" si="252"/>
        <v>40284</v>
      </c>
    </row>
    <row r="4025" spans="2:2">
      <c r="B4025" s="251">
        <f ca="1" t="shared" ref="B4025:B4040" si="253">B4024-1</f>
        <v>40283</v>
      </c>
    </row>
    <row r="4026" spans="2:2">
      <c r="B4026" s="251">
        <f ca="1" t="shared" si="253"/>
        <v>40282</v>
      </c>
    </row>
    <row r="4027" spans="2:2">
      <c r="B4027" s="251">
        <f ca="1" t="shared" si="253"/>
        <v>40281</v>
      </c>
    </row>
    <row r="4028" spans="2:2">
      <c r="B4028" s="251">
        <f ca="1" t="shared" si="253"/>
        <v>40280</v>
      </c>
    </row>
    <row r="4029" spans="2:2">
      <c r="B4029" s="251">
        <f ca="1" t="shared" si="253"/>
        <v>40279</v>
      </c>
    </row>
    <row r="4030" spans="2:2">
      <c r="B4030" s="251">
        <f ca="1" t="shared" si="253"/>
        <v>40278</v>
      </c>
    </row>
    <row r="4031" spans="2:2">
      <c r="B4031" s="251">
        <f ca="1" t="shared" si="253"/>
        <v>40277</v>
      </c>
    </row>
    <row r="4032" spans="2:2">
      <c r="B4032" s="251">
        <f ca="1" t="shared" si="253"/>
        <v>40276</v>
      </c>
    </row>
    <row r="4033" spans="2:2">
      <c r="B4033" s="251">
        <f ca="1" t="shared" si="253"/>
        <v>40275</v>
      </c>
    </row>
    <row r="4034" spans="2:2">
      <c r="B4034" s="251">
        <f ca="1" t="shared" si="253"/>
        <v>40274</v>
      </c>
    </row>
    <row r="4035" spans="2:2">
      <c r="B4035" s="251">
        <f ca="1" t="shared" si="253"/>
        <v>40273</v>
      </c>
    </row>
    <row r="4036" spans="2:2">
      <c r="B4036" s="251">
        <f ca="1" t="shared" si="253"/>
        <v>40272</v>
      </c>
    </row>
    <row r="4037" spans="2:2">
      <c r="B4037" s="251">
        <f ca="1" t="shared" si="253"/>
        <v>40271</v>
      </c>
    </row>
    <row r="4038" spans="2:2">
      <c r="B4038" s="251">
        <f ca="1" t="shared" si="253"/>
        <v>40270</v>
      </c>
    </row>
    <row r="4039" spans="2:2">
      <c r="B4039" s="251">
        <f ca="1" t="shared" si="253"/>
        <v>40269</v>
      </c>
    </row>
    <row r="4040" spans="2:2">
      <c r="B4040" s="251">
        <f ca="1" t="shared" si="253"/>
        <v>40268</v>
      </c>
    </row>
    <row r="4041" spans="2:2">
      <c r="B4041" s="251">
        <f ca="1" t="shared" ref="B4041:B4056" si="254">B4040-1</f>
        <v>40267</v>
      </c>
    </row>
    <row r="4042" spans="2:2">
      <c r="B4042" s="251">
        <f ca="1" t="shared" si="254"/>
        <v>40266</v>
      </c>
    </row>
    <row r="4043" spans="2:2">
      <c r="B4043" s="251">
        <f ca="1" t="shared" si="254"/>
        <v>40265</v>
      </c>
    </row>
    <row r="4044" spans="2:2">
      <c r="B4044" s="251">
        <f ca="1" t="shared" si="254"/>
        <v>40264</v>
      </c>
    </row>
    <row r="4045" spans="2:2">
      <c r="B4045" s="251">
        <f ca="1" t="shared" si="254"/>
        <v>40263</v>
      </c>
    </row>
    <row r="4046" spans="2:2">
      <c r="B4046" s="251">
        <f ca="1" t="shared" si="254"/>
        <v>40262</v>
      </c>
    </row>
    <row r="4047" spans="2:2">
      <c r="B4047" s="251">
        <f ca="1" t="shared" si="254"/>
        <v>40261</v>
      </c>
    </row>
    <row r="4048" spans="2:2">
      <c r="B4048" s="251">
        <f ca="1" t="shared" si="254"/>
        <v>40260</v>
      </c>
    </row>
    <row r="4049" spans="2:2">
      <c r="B4049" s="251">
        <f ca="1" t="shared" si="254"/>
        <v>40259</v>
      </c>
    </row>
    <row r="4050" spans="2:2">
      <c r="B4050" s="251">
        <f ca="1" t="shared" si="254"/>
        <v>40258</v>
      </c>
    </row>
    <row r="4051" spans="2:2">
      <c r="B4051" s="251">
        <f ca="1" t="shared" si="254"/>
        <v>40257</v>
      </c>
    </row>
    <row r="4052" spans="2:2">
      <c r="B4052" s="251">
        <f ca="1" t="shared" si="254"/>
        <v>40256</v>
      </c>
    </row>
    <row r="4053" spans="2:2">
      <c r="B4053" s="251">
        <f ca="1" t="shared" si="254"/>
        <v>40255</v>
      </c>
    </row>
    <row r="4054" spans="2:2">
      <c r="B4054" s="251">
        <f ca="1" t="shared" si="254"/>
        <v>40254</v>
      </c>
    </row>
    <row r="4055" spans="2:2">
      <c r="B4055" s="251">
        <f ca="1" t="shared" si="254"/>
        <v>40253</v>
      </c>
    </row>
    <row r="4056" spans="2:2">
      <c r="B4056" s="251">
        <f ca="1" t="shared" si="254"/>
        <v>40252</v>
      </c>
    </row>
    <row r="4057" spans="2:2">
      <c r="B4057" s="251">
        <f ca="1" t="shared" ref="B4057:B4072" si="255">B4056-1</f>
        <v>40251</v>
      </c>
    </row>
    <row r="4058" spans="2:2">
      <c r="B4058" s="251">
        <f ca="1" t="shared" si="255"/>
        <v>40250</v>
      </c>
    </row>
    <row r="4059" spans="2:2">
      <c r="B4059" s="251">
        <f ca="1" t="shared" si="255"/>
        <v>40249</v>
      </c>
    </row>
    <row r="4060" spans="2:2">
      <c r="B4060" s="251">
        <f ca="1" t="shared" si="255"/>
        <v>40248</v>
      </c>
    </row>
    <row r="4061" spans="2:2">
      <c r="B4061" s="251">
        <f ca="1" t="shared" si="255"/>
        <v>40247</v>
      </c>
    </row>
    <row r="4062" spans="2:2">
      <c r="B4062" s="251">
        <f ca="1" t="shared" si="255"/>
        <v>40246</v>
      </c>
    </row>
    <row r="4063" spans="2:2">
      <c r="B4063" s="251">
        <f ca="1" t="shared" si="255"/>
        <v>40245</v>
      </c>
    </row>
    <row r="4064" spans="2:2">
      <c r="B4064" s="251">
        <f ca="1" t="shared" si="255"/>
        <v>40244</v>
      </c>
    </row>
    <row r="4065" spans="2:2">
      <c r="B4065" s="251">
        <f ca="1" t="shared" si="255"/>
        <v>40243</v>
      </c>
    </row>
    <row r="4066" spans="2:2">
      <c r="B4066" s="251">
        <f ca="1" t="shared" si="255"/>
        <v>40242</v>
      </c>
    </row>
    <row r="4067" spans="2:2">
      <c r="B4067" s="251">
        <f ca="1" t="shared" si="255"/>
        <v>40241</v>
      </c>
    </row>
    <row r="4068" spans="2:2">
      <c r="B4068" s="251">
        <f ca="1" t="shared" si="255"/>
        <v>40240</v>
      </c>
    </row>
    <row r="4069" spans="2:2">
      <c r="B4069" s="251">
        <f ca="1" t="shared" si="255"/>
        <v>40239</v>
      </c>
    </row>
    <row r="4070" spans="2:2">
      <c r="B4070" s="251">
        <f ca="1" t="shared" si="255"/>
        <v>40238</v>
      </c>
    </row>
    <row r="4071" spans="2:2">
      <c r="B4071" s="251">
        <f ca="1" t="shared" si="255"/>
        <v>40237</v>
      </c>
    </row>
    <row r="4072" spans="2:2">
      <c r="B4072" s="251">
        <f ca="1" t="shared" si="255"/>
        <v>40236</v>
      </c>
    </row>
    <row r="4073" spans="2:2">
      <c r="B4073" s="251">
        <f ca="1" t="shared" ref="B4073:B4088" si="256">B4072-1</f>
        <v>40235</v>
      </c>
    </row>
    <row r="4074" spans="2:2">
      <c r="B4074" s="251">
        <f ca="1" t="shared" si="256"/>
        <v>40234</v>
      </c>
    </row>
    <row r="4075" spans="2:2">
      <c r="B4075" s="251">
        <f ca="1" t="shared" si="256"/>
        <v>40233</v>
      </c>
    </row>
    <row r="4076" spans="2:2">
      <c r="B4076" s="251">
        <f ca="1" t="shared" si="256"/>
        <v>40232</v>
      </c>
    </row>
    <row r="4077" spans="2:2">
      <c r="B4077" s="251">
        <f ca="1" t="shared" si="256"/>
        <v>40231</v>
      </c>
    </row>
    <row r="4078" spans="2:2">
      <c r="B4078" s="251">
        <f ca="1" t="shared" si="256"/>
        <v>40230</v>
      </c>
    </row>
    <row r="4079" spans="2:2">
      <c r="B4079" s="251">
        <f ca="1" t="shared" si="256"/>
        <v>40229</v>
      </c>
    </row>
    <row r="4080" spans="2:2">
      <c r="B4080" s="251">
        <f ca="1" t="shared" si="256"/>
        <v>40228</v>
      </c>
    </row>
    <row r="4081" spans="2:2">
      <c r="B4081" s="251">
        <f ca="1" t="shared" si="256"/>
        <v>40227</v>
      </c>
    </row>
    <row r="4082" spans="2:2">
      <c r="B4082" s="251">
        <f ca="1" t="shared" si="256"/>
        <v>40226</v>
      </c>
    </row>
    <row r="4083" spans="2:2">
      <c r="B4083" s="251">
        <f ca="1" t="shared" si="256"/>
        <v>40225</v>
      </c>
    </row>
    <row r="4084" spans="2:2">
      <c r="B4084" s="251">
        <f ca="1" t="shared" si="256"/>
        <v>40224</v>
      </c>
    </row>
    <row r="4085" spans="2:2">
      <c r="B4085" s="251">
        <f ca="1" t="shared" si="256"/>
        <v>40223</v>
      </c>
    </row>
    <row r="4086" spans="2:2">
      <c r="B4086" s="251">
        <f ca="1" t="shared" si="256"/>
        <v>40222</v>
      </c>
    </row>
    <row r="4087" spans="2:2">
      <c r="B4087" s="251">
        <f ca="1" t="shared" si="256"/>
        <v>40221</v>
      </c>
    </row>
    <row r="4088" spans="2:2">
      <c r="B4088" s="251">
        <f ca="1" t="shared" si="256"/>
        <v>40220</v>
      </c>
    </row>
    <row r="4089" spans="2:2">
      <c r="B4089" s="251">
        <f ca="1" t="shared" ref="B4089:B4104" si="257">B4088-1</f>
        <v>40219</v>
      </c>
    </row>
    <row r="4090" spans="2:2">
      <c r="B4090" s="251">
        <f ca="1" t="shared" si="257"/>
        <v>40218</v>
      </c>
    </row>
    <row r="4091" spans="2:2">
      <c r="B4091" s="251">
        <f ca="1" t="shared" si="257"/>
        <v>40217</v>
      </c>
    </row>
    <row r="4092" spans="2:2">
      <c r="B4092" s="251">
        <f ca="1" t="shared" si="257"/>
        <v>40216</v>
      </c>
    </row>
    <row r="4093" spans="2:2">
      <c r="B4093" s="251">
        <f ca="1" t="shared" si="257"/>
        <v>40215</v>
      </c>
    </row>
    <row r="4094" spans="2:2">
      <c r="B4094" s="251">
        <f ca="1" t="shared" si="257"/>
        <v>40214</v>
      </c>
    </row>
    <row r="4095" spans="2:2">
      <c r="B4095" s="251">
        <f ca="1" t="shared" si="257"/>
        <v>40213</v>
      </c>
    </row>
    <row r="4096" spans="2:2">
      <c r="B4096" s="251">
        <f ca="1" t="shared" si="257"/>
        <v>40212</v>
      </c>
    </row>
    <row r="4097" spans="2:2">
      <c r="B4097" s="251">
        <f ca="1" t="shared" si="257"/>
        <v>40211</v>
      </c>
    </row>
    <row r="4098" spans="2:2">
      <c r="B4098" s="251">
        <f ca="1" t="shared" si="257"/>
        <v>40210</v>
      </c>
    </row>
    <row r="4099" spans="2:2">
      <c r="B4099" s="251">
        <f ca="1" t="shared" si="257"/>
        <v>40209</v>
      </c>
    </row>
    <row r="4100" spans="2:2">
      <c r="B4100" s="251">
        <f ca="1" t="shared" si="257"/>
        <v>40208</v>
      </c>
    </row>
    <row r="4101" spans="2:2">
      <c r="B4101" s="251">
        <f ca="1" t="shared" si="257"/>
        <v>40207</v>
      </c>
    </row>
    <row r="4102" spans="2:2">
      <c r="B4102" s="251">
        <f ca="1" t="shared" si="257"/>
        <v>40206</v>
      </c>
    </row>
    <row r="4103" spans="2:2">
      <c r="B4103" s="251">
        <f ca="1" t="shared" si="257"/>
        <v>40205</v>
      </c>
    </row>
    <row r="4104" spans="2:2">
      <c r="B4104" s="251">
        <f ca="1" t="shared" si="257"/>
        <v>40204</v>
      </c>
    </row>
    <row r="4105" spans="2:2">
      <c r="B4105" s="251">
        <f ca="1" t="shared" ref="B4105:B4120" si="258">B4104-1</f>
        <v>40203</v>
      </c>
    </row>
    <row r="4106" spans="2:2">
      <c r="B4106" s="251">
        <f ca="1" t="shared" si="258"/>
        <v>40202</v>
      </c>
    </row>
    <row r="4107" spans="2:2">
      <c r="B4107" s="251">
        <f ca="1" t="shared" si="258"/>
        <v>40201</v>
      </c>
    </row>
    <row r="4108" spans="2:2">
      <c r="B4108" s="251">
        <f ca="1" t="shared" si="258"/>
        <v>40200</v>
      </c>
    </row>
    <row r="4109" spans="2:2">
      <c r="B4109" s="251">
        <f ca="1" t="shared" si="258"/>
        <v>40199</v>
      </c>
    </row>
    <row r="4110" spans="2:2">
      <c r="B4110" s="251">
        <f ca="1" t="shared" si="258"/>
        <v>40198</v>
      </c>
    </row>
    <row r="4111" spans="2:2">
      <c r="B4111" s="251">
        <f ca="1" t="shared" si="258"/>
        <v>40197</v>
      </c>
    </row>
    <row r="4112" spans="2:2">
      <c r="B4112" s="251">
        <f ca="1" t="shared" si="258"/>
        <v>40196</v>
      </c>
    </row>
    <row r="4113" spans="2:2">
      <c r="B4113" s="251">
        <f ca="1" t="shared" si="258"/>
        <v>40195</v>
      </c>
    </row>
    <row r="4114" spans="2:2">
      <c r="B4114" s="251">
        <f ca="1" t="shared" si="258"/>
        <v>40194</v>
      </c>
    </row>
    <row r="4115" spans="2:2">
      <c r="B4115" s="251">
        <f ca="1" t="shared" si="258"/>
        <v>40193</v>
      </c>
    </row>
    <row r="4116" spans="2:2">
      <c r="B4116" s="251">
        <f ca="1" t="shared" si="258"/>
        <v>40192</v>
      </c>
    </row>
    <row r="4117" spans="2:2">
      <c r="B4117" s="251">
        <f ca="1" t="shared" si="258"/>
        <v>40191</v>
      </c>
    </row>
    <row r="4118" spans="2:2">
      <c r="B4118" s="251">
        <f ca="1" t="shared" si="258"/>
        <v>40190</v>
      </c>
    </row>
    <row r="4119" spans="2:2">
      <c r="B4119" s="251">
        <f ca="1" t="shared" si="258"/>
        <v>40189</v>
      </c>
    </row>
    <row r="4120" spans="2:2">
      <c r="B4120" s="251">
        <f ca="1" t="shared" si="258"/>
        <v>40188</v>
      </c>
    </row>
    <row r="4121" spans="2:2">
      <c r="B4121" s="251">
        <f ca="1" t="shared" ref="B4121:B4136" si="259">B4120-1</f>
        <v>40187</v>
      </c>
    </row>
    <row r="4122" spans="2:2">
      <c r="B4122" s="251">
        <f ca="1" t="shared" si="259"/>
        <v>40186</v>
      </c>
    </row>
    <row r="4123" spans="2:2">
      <c r="B4123" s="251">
        <f ca="1" t="shared" si="259"/>
        <v>40185</v>
      </c>
    </row>
    <row r="4124" spans="2:2">
      <c r="B4124" s="251">
        <f ca="1" t="shared" si="259"/>
        <v>40184</v>
      </c>
    </row>
    <row r="4125" spans="2:2">
      <c r="B4125" s="251">
        <f ca="1" t="shared" si="259"/>
        <v>40183</v>
      </c>
    </row>
    <row r="4126" spans="2:2">
      <c r="B4126" s="251">
        <f ca="1" t="shared" si="259"/>
        <v>40182</v>
      </c>
    </row>
    <row r="4127" spans="2:2">
      <c r="B4127" s="251">
        <f ca="1" t="shared" si="259"/>
        <v>40181</v>
      </c>
    </row>
    <row r="4128" spans="2:2">
      <c r="B4128" s="251">
        <f ca="1" t="shared" si="259"/>
        <v>40180</v>
      </c>
    </row>
    <row r="4129" spans="2:2">
      <c r="B4129" s="251">
        <f ca="1" t="shared" si="259"/>
        <v>40179</v>
      </c>
    </row>
    <row r="4130" spans="2:2">
      <c r="B4130" s="251">
        <f ca="1" t="shared" si="259"/>
        <v>40178</v>
      </c>
    </row>
    <row r="4131" spans="2:2">
      <c r="B4131" s="251">
        <f ca="1" t="shared" si="259"/>
        <v>40177</v>
      </c>
    </row>
    <row r="4132" spans="2:2">
      <c r="B4132" s="251">
        <f ca="1" t="shared" si="259"/>
        <v>40176</v>
      </c>
    </row>
    <row r="4133" spans="2:2">
      <c r="B4133" s="251">
        <f ca="1" t="shared" si="259"/>
        <v>40175</v>
      </c>
    </row>
    <row r="4134" spans="2:2">
      <c r="B4134" s="251">
        <f ca="1" t="shared" si="259"/>
        <v>40174</v>
      </c>
    </row>
    <row r="4135" spans="2:2">
      <c r="B4135" s="251">
        <f ca="1" t="shared" si="259"/>
        <v>40173</v>
      </c>
    </row>
    <row r="4136" spans="2:2">
      <c r="B4136" s="251">
        <f ca="1" t="shared" si="259"/>
        <v>40172</v>
      </c>
    </row>
    <row r="4137" spans="2:2">
      <c r="B4137" s="251">
        <f ca="1" t="shared" ref="B4137:B4152" si="260">B4136-1</f>
        <v>40171</v>
      </c>
    </row>
    <row r="4138" spans="2:2">
      <c r="B4138" s="251">
        <f ca="1" t="shared" si="260"/>
        <v>40170</v>
      </c>
    </row>
    <row r="4139" spans="2:2">
      <c r="B4139" s="251">
        <f ca="1" t="shared" si="260"/>
        <v>40169</v>
      </c>
    </row>
    <row r="4140" spans="2:2">
      <c r="B4140" s="251">
        <f ca="1" t="shared" si="260"/>
        <v>40168</v>
      </c>
    </row>
    <row r="4141" spans="2:2">
      <c r="B4141" s="251">
        <f ca="1" t="shared" si="260"/>
        <v>40167</v>
      </c>
    </row>
    <row r="4142" spans="2:2">
      <c r="B4142" s="251">
        <f ca="1" t="shared" si="260"/>
        <v>40166</v>
      </c>
    </row>
    <row r="4143" spans="2:2">
      <c r="B4143" s="251">
        <f ca="1" t="shared" si="260"/>
        <v>40165</v>
      </c>
    </row>
    <row r="4144" spans="2:2">
      <c r="B4144" s="251">
        <f ca="1" t="shared" si="260"/>
        <v>40164</v>
      </c>
    </row>
    <row r="4145" spans="2:2">
      <c r="B4145" s="251">
        <f ca="1" t="shared" si="260"/>
        <v>40163</v>
      </c>
    </row>
    <row r="4146" spans="2:2">
      <c r="B4146" s="251">
        <f ca="1" t="shared" si="260"/>
        <v>40162</v>
      </c>
    </row>
    <row r="4147" spans="2:2">
      <c r="B4147" s="251">
        <f ca="1" t="shared" si="260"/>
        <v>40161</v>
      </c>
    </row>
    <row r="4148" spans="2:2">
      <c r="B4148" s="251">
        <f ca="1" t="shared" si="260"/>
        <v>40160</v>
      </c>
    </row>
    <row r="4149" spans="2:2">
      <c r="B4149" s="251">
        <f ca="1" t="shared" si="260"/>
        <v>40159</v>
      </c>
    </row>
    <row r="4150" spans="2:2">
      <c r="B4150" s="251">
        <f ca="1" t="shared" si="260"/>
        <v>40158</v>
      </c>
    </row>
    <row r="4151" spans="2:2">
      <c r="B4151" s="251">
        <f ca="1" t="shared" si="260"/>
        <v>40157</v>
      </c>
    </row>
    <row r="4152" spans="2:2">
      <c r="B4152" s="251">
        <f ca="1" t="shared" si="260"/>
        <v>40156</v>
      </c>
    </row>
    <row r="4153" spans="2:2">
      <c r="B4153" s="251">
        <f ca="1" t="shared" ref="B4153:B4168" si="261">B4152-1</f>
        <v>40155</v>
      </c>
    </row>
    <row r="4154" spans="2:2">
      <c r="B4154" s="251">
        <f ca="1" t="shared" si="261"/>
        <v>40154</v>
      </c>
    </row>
    <row r="4155" spans="2:2">
      <c r="B4155" s="251">
        <f ca="1" t="shared" si="261"/>
        <v>40153</v>
      </c>
    </row>
    <row r="4156" spans="2:2">
      <c r="B4156" s="251">
        <f ca="1" t="shared" si="261"/>
        <v>40152</v>
      </c>
    </row>
    <row r="4157" spans="2:2">
      <c r="B4157" s="251">
        <f ca="1" t="shared" si="261"/>
        <v>40151</v>
      </c>
    </row>
    <row r="4158" spans="2:2">
      <c r="B4158" s="251">
        <f ca="1" t="shared" si="261"/>
        <v>40150</v>
      </c>
    </row>
    <row r="4159" spans="2:2">
      <c r="B4159" s="251">
        <f ca="1" t="shared" si="261"/>
        <v>40149</v>
      </c>
    </row>
    <row r="4160" spans="2:2">
      <c r="B4160" s="251">
        <f ca="1" t="shared" si="261"/>
        <v>40148</v>
      </c>
    </row>
    <row r="4161" spans="2:2">
      <c r="B4161" s="251">
        <f ca="1" t="shared" si="261"/>
        <v>40147</v>
      </c>
    </row>
    <row r="4162" spans="2:2">
      <c r="B4162" s="251">
        <f ca="1" t="shared" si="261"/>
        <v>40146</v>
      </c>
    </row>
    <row r="4163" spans="2:2">
      <c r="B4163" s="251">
        <f ca="1" t="shared" si="261"/>
        <v>40145</v>
      </c>
    </row>
    <row r="4164" spans="2:2">
      <c r="B4164" s="251">
        <f ca="1" t="shared" si="261"/>
        <v>40144</v>
      </c>
    </row>
    <row r="4165" spans="2:2">
      <c r="B4165" s="251">
        <f ca="1" t="shared" si="261"/>
        <v>40143</v>
      </c>
    </row>
    <row r="4166" spans="2:2">
      <c r="B4166" s="251">
        <f ca="1" t="shared" si="261"/>
        <v>40142</v>
      </c>
    </row>
    <row r="4167" spans="2:2">
      <c r="B4167" s="251">
        <f ca="1" t="shared" si="261"/>
        <v>40141</v>
      </c>
    </row>
    <row r="4168" spans="2:2">
      <c r="B4168" s="251">
        <f ca="1" t="shared" si="261"/>
        <v>40140</v>
      </c>
    </row>
    <row r="4169" spans="2:2">
      <c r="B4169" s="251">
        <f ca="1" t="shared" ref="B4169:B4184" si="262">B4168-1</f>
        <v>40139</v>
      </c>
    </row>
    <row r="4170" spans="2:2">
      <c r="B4170" s="251">
        <f ca="1" t="shared" si="262"/>
        <v>40138</v>
      </c>
    </row>
    <row r="4171" spans="2:2">
      <c r="B4171" s="251">
        <f ca="1" t="shared" si="262"/>
        <v>40137</v>
      </c>
    </row>
    <row r="4172" spans="2:2">
      <c r="B4172" s="251">
        <f ca="1" t="shared" si="262"/>
        <v>40136</v>
      </c>
    </row>
    <row r="4173" spans="2:2">
      <c r="B4173" s="251">
        <f ca="1" t="shared" si="262"/>
        <v>40135</v>
      </c>
    </row>
    <row r="4174" spans="2:2">
      <c r="B4174" s="251">
        <f ca="1" t="shared" si="262"/>
        <v>40134</v>
      </c>
    </row>
    <row r="4175" spans="2:2">
      <c r="B4175" s="251">
        <f ca="1" t="shared" si="262"/>
        <v>40133</v>
      </c>
    </row>
    <row r="4176" spans="2:2">
      <c r="B4176" s="251">
        <f ca="1" t="shared" si="262"/>
        <v>40132</v>
      </c>
    </row>
    <row r="4177" spans="2:2">
      <c r="B4177" s="251">
        <f ca="1" t="shared" si="262"/>
        <v>40131</v>
      </c>
    </row>
    <row r="4178" spans="2:2">
      <c r="B4178" s="251">
        <f ca="1" t="shared" si="262"/>
        <v>40130</v>
      </c>
    </row>
    <row r="4179" spans="2:2">
      <c r="B4179" s="251">
        <f ca="1" t="shared" si="262"/>
        <v>40129</v>
      </c>
    </row>
    <row r="4180" spans="2:2">
      <c r="B4180" s="251">
        <f ca="1" t="shared" si="262"/>
        <v>40128</v>
      </c>
    </row>
    <row r="4181" spans="2:2">
      <c r="B4181" s="251">
        <f ca="1" t="shared" si="262"/>
        <v>40127</v>
      </c>
    </row>
    <row r="4182" spans="2:2">
      <c r="B4182" s="251">
        <f ca="1" t="shared" si="262"/>
        <v>40126</v>
      </c>
    </row>
    <row r="4183" spans="2:2">
      <c r="B4183" s="251">
        <f ca="1" t="shared" si="262"/>
        <v>40125</v>
      </c>
    </row>
    <row r="4184" spans="2:2">
      <c r="B4184" s="251">
        <f ca="1" t="shared" si="262"/>
        <v>40124</v>
      </c>
    </row>
    <row r="4185" spans="2:2">
      <c r="B4185" s="251">
        <f ca="1" t="shared" ref="B4185:B4200" si="263">B4184-1</f>
        <v>40123</v>
      </c>
    </row>
    <row r="4186" spans="2:2">
      <c r="B4186" s="251">
        <f ca="1" t="shared" si="263"/>
        <v>40122</v>
      </c>
    </row>
    <row r="4187" spans="2:2">
      <c r="B4187" s="251">
        <f ca="1" t="shared" si="263"/>
        <v>40121</v>
      </c>
    </row>
    <row r="4188" spans="2:2">
      <c r="B4188" s="251">
        <f ca="1" t="shared" si="263"/>
        <v>40120</v>
      </c>
    </row>
    <row r="4189" spans="2:2">
      <c r="B4189" s="251">
        <f ca="1" t="shared" si="263"/>
        <v>40119</v>
      </c>
    </row>
    <row r="4190" spans="2:2">
      <c r="B4190" s="251">
        <f ca="1" t="shared" si="263"/>
        <v>40118</v>
      </c>
    </row>
    <row r="4191" spans="2:2">
      <c r="B4191" s="251">
        <f ca="1" t="shared" si="263"/>
        <v>40117</v>
      </c>
    </row>
    <row r="4192" spans="2:2">
      <c r="B4192" s="251">
        <f ca="1" t="shared" si="263"/>
        <v>40116</v>
      </c>
    </row>
    <row r="4193" spans="2:2">
      <c r="B4193" s="251">
        <f ca="1" t="shared" si="263"/>
        <v>40115</v>
      </c>
    </row>
    <row r="4194" spans="2:2">
      <c r="B4194" s="251">
        <f ca="1" t="shared" si="263"/>
        <v>40114</v>
      </c>
    </row>
    <row r="4195" spans="2:2">
      <c r="B4195" s="251">
        <f ca="1" t="shared" si="263"/>
        <v>40113</v>
      </c>
    </row>
    <row r="4196" spans="2:2">
      <c r="B4196" s="251">
        <f ca="1" t="shared" si="263"/>
        <v>40112</v>
      </c>
    </row>
    <row r="4197" spans="2:2">
      <c r="B4197" s="251">
        <f ca="1" t="shared" si="263"/>
        <v>40111</v>
      </c>
    </row>
    <row r="4198" spans="2:2">
      <c r="B4198" s="251">
        <f ca="1" t="shared" si="263"/>
        <v>40110</v>
      </c>
    </row>
    <row r="4199" spans="2:2">
      <c r="B4199" s="251">
        <f ca="1" t="shared" si="263"/>
        <v>40109</v>
      </c>
    </row>
    <row r="4200" spans="2:2">
      <c r="B4200" s="251">
        <f ca="1" t="shared" si="263"/>
        <v>40108</v>
      </c>
    </row>
    <row r="4201" spans="2:2">
      <c r="B4201" s="251">
        <f ca="1" t="shared" ref="B4201:B4216" si="264">B4200-1</f>
        <v>40107</v>
      </c>
    </row>
    <row r="4202" spans="2:2">
      <c r="B4202" s="251">
        <f ca="1" t="shared" si="264"/>
        <v>40106</v>
      </c>
    </row>
    <row r="4203" spans="2:2">
      <c r="B4203" s="251">
        <f ca="1" t="shared" si="264"/>
        <v>40105</v>
      </c>
    </row>
    <row r="4204" spans="2:2">
      <c r="B4204" s="251">
        <f ca="1" t="shared" si="264"/>
        <v>40104</v>
      </c>
    </row>
    <row r="4205" spans="2:2">
      <c r="B4205" s="251">
        <f ca="1" t="shared" si="264"/>
        <v>40103</v>
      </c>
    </row>
    <row r="4206" spans="2:2">
      <c r="B4206" s="251">
        <f ca="1" t="shared" si="264"/>
        <v>40102</v>
      </c>
    </row>
    <row r="4207" spans="2:2">
      <c r="B4207" s="251">
        <f ca="1" t="shared" si="264"/>
        <v>40101</v>
      </c>
    </row>
    <row r="4208" spans="2:2">
      <c r="B4208" s="251">
        <f ca="1" t="shared" si="264"/>
        <v>40100</v>
      </c>
    </row>
    <row r="4209" spans="2:2">
      <c r="B4209" s="251">
        <f ca="1" t="shared" si="264"/>
        <v>40099</v>
      </c>
    </row>
    <row r="4210" spans="2:2">
      <c r="B4210" s="251">
        <f ca="1" t="shared" si="264"/>
        <v>40098</v>
      </c>
    </row>
    <row r="4211" spans="2:2">
      <c r="B4211" s="251">
        <f ca="1" t="shared" si="264"/>
        <v>40097</v>
      </c>
    </row>
    <row r="4212" spans="2:2">
      <c r="B4212" s="251">
        <f ca="1" t="shared" si="264"/>
        <v>40096</v>
      </c>
    </row>
    <row r="4213" spans="2:2">
      <c r="B4213" s="251">
        <f ca="1" t="shared" si="264"/>
        <v>40095</v>
      </c>
    </row>
    <row r="4214" spans="2:2">
      <c r="B4214" s="251">
        <f ca="1" t="shared" si="264"/>
        <v>40094</v>
      </c>
    </row>
    <row r="4215" spans="2:2">
      <c r="B4215" s="251">
        <f ca="1" t="shared" si="264"/>
        <v>40093</v>
      </c>
    </row>
    <row r="4216" spans="2:2">
      <c r="B4216" s="251">
        <f ca="1" t="shared" si="264"/>
        <v>40092</v>
      </c>
    </row>
    <row r="4217" spans="2:2">
      <c r="B4217" s="251">
        <f ca="1" t="shared" ref="B4217:B4232" si="265">B4216-1</f>
        <v>40091</v>
      </c>
    </row>
    <row r="4218" spans="2:2">
      <c r="B4218" s="251">
        <f ca="1" t="shared" si="265"/>
        <v>40090</v>
      </c>
    </row>
    <row r="4219" spans="2:2">
      <c r="B4219" s="251">
        <f ca="1" t="shared" si="265"/>
        <v>40089</v>
      </c>
    </row>
    <row r="4220" spans="2:2">
      <c r="B4220" s="251">
        <f ca="1" t="shared" si="265"/>
        <v>40088</v>
      </c>
    </row>
    <row r="4221" spans="2:2">
      <c r="B4221" s="251">
        <f ca="1" t="shared" si="265"/>
        <v>40087</v>
      </c>
    </row>
    <row r="4222" spans="2:2">
      <c r="B4222" s="251">
        <f ca="1" t="shared" si="265"/>
        <v>40086</v>
      </c>
    </row>
    <row r="4223" spans="2:2">
      <c r="B4223" s="251">
        <f ca="1" t="shared" si="265"/>
        <v>40085</v>
      </c>
    </row>
    <row r="4224" spans="2:2">
      <c r="B4224" s="251">
        <f ca="1" t="shared" si="265"/>
        <v>40084</v>
      </c>
    </row>
    <row r="4225" spans="2:2">
      <c r="B4225" s="251">
        <f ca="1" t="shared" si="265"/>
        <v>40083</v>
      </c>
    </row>
    <row r="4226" spans="2:2">
      <c r="B4226" s="251">
        <f ca="1" t="shared" si="265"/>
        <v>40082</v>
      </c>
    </row>
    <row r="4227" spans="2:2">
      <c r="B4227" s="251">
        <f ca="1" t="shared" si="265"/>
        <v>40081</v>
      </c>
    </row>
    <row r="4228" spans="2:2">
      <c r="B4228" s="251">
        <f ca="1" t="shared" si="265"/>
        <v>40080</v>
      </c>
    </row>
    <row r="4229" spans="2:2">
      <c r="B4229" s="251">
        <f ca="1" t="shared" si="265"/>
        <v>40079</v>
      </c>
    </row>
    <row r="4230" spans="2:2">
      <c r="B4230" s="251">
        <f ca="1" t="shared" si="265"/>
        <v>40078</v>
      </c>
    </row>
    <row r="4231" spans="2:2">
      <c r="B4231" s="251">
        <f ca="1" t="shared" si="265"/>
        <v>40077</v>
      </c>
    </row>
    <row r="4232" spans="2:2">
      <c r="B4232" s="251">
        <f ca="1" t="shared" si="265"/>
        <v>40076</v>
      </c>
    </row>
    <row r="4233" spans="2:2">
      <c r="B4233" s="251">
        <f ca="1" t="shared" ref="B4233:B4248" si="266">B4232-1</f>
        <v>40075</v>
      </c>
    </row>
    <row r="4234" spans="2:2">
      <c r="B4234" s="251">
        <f ca="1" t="shared" si="266"/>
        <v>40074</v>
      </c>
    </row>
    <row r="4235" spans="2:2">
      <c r="B4235" s="251">
        <f ca="1" t="shared" si="266"/>
        <v>40073</v>
      </c>
    </row>
    <row r="4236" spans="2:2">
      <c r="B4236" s="251">
        <f ca="1" t="shared" si="266"/>
        <v>40072</v>
      </c>
    </row>
    <row r="4237" spans="2:2">
      <c r="B4237" s="251">
        <f ca="1" t="shared" si="266"/>
        <v>40071</v>
      </c>
    </row>
    <row r="4238" spans="2:2">
      <c r="B4238" s="251">
        <f ca="1" t="shared" si="266"/>
        <v>40070</v>
      </c>
    </row>
    <row r="4239" spans="2:2">
      <c r="B4239" s="251">
        <f ca="1" t="shared" si="266"/>
        <v>40069</v>
      </c>
    </row>
    <row r="4240" spans="2:2">
      <c r="B4240" s="251">
        <f ca="1" t="shared" si="266"/>
        <v>40068</v>
      </c>
    </row>
    <row r="4241" spans="2:2">
      <c r="B4241" s="251">
        <f ca="1" t="shared" si="266"/>
        <v>40067</v>
      </c>
    </row>
    <row r="4242" spans="2:2">
      <c r="B4242" s="251">
        <f ca="1" t="shared" si="266"/>
        <v>40066</v>
      </c>
    </row>
    <row r="4243" spans="2:2">
      <c r="B4243" s="251">
        <f ca="1" t="shared" si="266"/>
        <v>40065</v>
      </c>
    </row>
    <row r="4244" spans="2:2">
      <c r="B4244" s="251">
        <f ca="1" t="shared" si="266"/>
        <v>40064</v>
      </c>
    </row>
    <row r="4245" spans="2:2">
      <c r="B4245" s="251">
        <f ca="1" t="shared" si="266"/>
        <v>40063</v>
      </c>
    </row>
    <row r="4246" spans="2:2">
      <c r="B4246" s="251">
        <f ca="1" t="shared" si="266"/>
        <v>40062</v>
      </c>
    </row>
    <row r="4247" spans="2:2">
      <c r="B4247" s="251">
        <f ca="1" t="shared" si="266"/>
        <v>40061</v>
      </c>
    </row>
    <row r="4248" spans="2:2">
      <c r="B4248" s="251">
        <f ca="1" t="shared" si="266"/>
        <v>40060</v>
      </c>
    </row>
    <row r="4249" spans="2:2">
      <c r="B4249" s="251">
        <f ca="1" t="shared" ref="B4249:B4264" si="267">B4248-1</f>
        <v>40059</v>
      </c>
    </row>
    <row r="4250" spans="2:2">
      <c r="B4250" s="251">
        <f ca="1" t="shared" si="267"/>
        <v>40058</v>
      </c>
    </row>
    <row r="4251" spans="2:2">
      <c r="B4251" s="251">
        <f ca="1" t="shared" si="267"/>
        <v>40057</v>
      </c>
    </row>
    <row r="4252" spans="2:2">
      <c r="B4252" s="251">
        <f ca="1" t="shared" si="267"/>
        <v>40056</v>
      </c>
    </row>
    <row r="4253" spans="2:2">
      <c r="B4253" s="251">
        <f ca="1" t="shared" si="267"/>
        <v>40055</v>
      </c>
    </row>
    <row r="4254" spans="2:2">
      <c r="B4254" s="251">
        <f ca="1" t="shared" si="267"/>
        <v>40054</v>
      </c>
    </row>
    <row r="4255" spans="2:2">
      <c r="B4255" s="251">
        <f ca="1" t="shared" si="267"/>
        <v>40053</v>
      </c>
    </row>
    <row r="4256" spans="2:2">
      <c r="B4256" s="251">
        <f ca="1" t="shared" si="267"/>
        <v>40052</v>
      </c>
    </row>
    <row r="4257" spans="2:2">
      <c r="B4257" s="251">
        <f ca="1" t="shared" si="267"/>
        <v>40051</v>
      </c>
    </row>
    <row r="4258" spans="2:2">
      <c r="B4258" s="251">
        <f ca="1" t="shared" si="267"/>
        <v>40050</v>
      </c>
    </row>
    <row r="4259" spans="2:2">
      <c r="B4259" s="251">
        <f ca="1" t="shared" si="267"/>
        <v>40049</v>
      </c>
    </row>
    <row r="4260" spans="2:2">
      <c r="B4260" s="251">
        <f ca="1" t="shared" si="267"/>
        <v>40048</v>
      </c>
    </row>
    <row r="4261" spans="2:2">
      <c r="B4261" s="251">
        <f ca="1" t="shared" si="267"/>
        <v>40047</v>
      </c>
    </row>
    <row r="4262" spans="2:2">
      <c r="B4262" s="251">
        <f ca="1" t="shared" si="267"/>
        <v>40046</v>
      </c>
    </row>
    <row r="4263" spans="2:2">
      <c r="B4263" s="251">
        <f ca="1" t="shared" si="267"/>
        <v>40045</v>
      </c>
    </row>
    <row r="4264" spans="2:2">
      <c r="B4264" s="251">
        <f ca="1" t="shared" si="267"/>
        <v>40044</v>
      </c>
    </row>
    <row r="4265" spans="2:2">
      <c r="B4265" s="251">
        <f ca="1" t="shared" ref="B4265:B4280" si="268">B4264-1</f>
        <v>40043</v>
      </c>
    </row>
    <row r="4266" spans="2:2">
      <c r="B4266" s="251">
        <f ca="1" t="shared" si="268"/>
        <v>40042</v>
      </c>
    </row>
    <row r="4267" spans="2:2">
      <c r="B4267" s="251">
        <f ca="1" t="shared" si="268"/>
        <v>40041</v>
      </c>
    </row>
    <row r="4268" spans="2:2">
      <c r="B4268" s="251">
        <f ca="1" t="shared" si="268"/>
        <v>40040</v>
      </c>
    </row>
    <row r="4269" spans="2:2">
      <c r="B4269" s="251">
        <f ca="1" t="shared" si="268"/>
        <v>40039</v>
      </c>
    </row>
    <row r="4270" spans="2:2">
      <c r="B4270" s="251">
        <f ca="1" t="shared" si="268"/>
        <v>40038</v>
      </c>
    </row>
    <row r="4271" spans="2:2">
      <c r="B4271" s="251">
        <f ca="1" t="shared" si="268"/>
        <v>40037</v>
      </c>
    </row>
    <row r="4272" spans="2:2">
      <c r="B4272" s="251">
        <f ca="1" t="shared" si="268"/>
        <v>40036</v>
      </c>
    </row>
    <row r="4273" spans="2:2">
      <c r="B4273" s="251">
        <f ca="1" t="shared" si="268"/>
        <v>40035</v>
      </c>
    </row>
    <row r="4274" spans="2:2">
      <c r="B4274" s="251">
        <f ca="1" t="shared" si="268"/>
        <v>40034</v>
      </c>
    </row>
    <row r="4275" spans="2:2">
      <c r="B4275" s="251">
        <f ca="1" t="shared" si="268"/>
        <v>40033</v>
      </c>
    </row>
    <row r="4276" spans="2:2">
      <c r="B4276" s="251">
        <f ca="1" t="shared" si="268"/>
        <v>40032</v>
      </c>
    </row>
    <row r="4277" spans="2:2">
      <c r="B4277" s="251">
        <f ca="1" t="shared" si="268"/>
        <v>40031</v>
      </c>
    </row>
    <row r="4278" spans="2:2">
      <c r="B4278" s="251">
        <f ca="1" t="shared" si="268"/>
        <v>40030</v>
      </c>
    </row>
    <row r="4279" spans="2:2">
      <c r="B4279" s="251">
        <f ca="1" t="shared" si="268"/>
        <v>40029</v>
      </c>
    </row>
    <row r="4280" spans="2:2">
      <c r="B4280" s="251">
        <f ca="1" t="shared" si="268"/>
        <v>40028</v>
      </c>
    </row>
    <row r="4281" spans="2:2">
      <c r="B4281" s="251">
        <f ca="1" t="shared" ref="B4281:B4296" si="269">B4280-1</f>
        <v>40027</v>
      </c>
    </row>
    <row r="4282" spans="2:2">
      <c r="B4282" s="251">
        <f ca="1" t="shared" si="269"/>
        <v>40026</v>
      </c>
    </row>
    <row r="4283" spans="2:2">
      <c r="B4283" s="251">
        <f ca="1" t="shared" si="269"/>
        <v>40025</v>
      </c>
    </row>
    <row r="4284" spans="2:2">
      <c r="B4284" s="251">
        <f ca="1" t="shared" si="269"/>
        <v>40024</v>
      </c>
    </row>
    <row r="4285" spans="2:2">
      <c r="B4285" s="251">
        <f ca="1" t="shared" si="269"/>
        <v>40023</v>
      </c>
    </row>
    <row r="4286" spans="2:2">
      <c r="B4286" s="251">
        <f ca="1" t="shared" si="269"/>
        <v>40022</v>
      </c>
    </row>
    <row r="4287" spans="2:2">
      <c r="B4287" s="251">
        <f ca="1" t="shared" si="269"/>
        <v>40021</v>
      </c>
    </row>
    <row r="4288" spans="2:2">
      <c r="B4288" s="251">
        <f ca="1" t="shared" si="269"/>
        <v>40020</v>
      </c>
    </row>
    <row r="4289" spans="2:2">
      <c r="B4289" s="251">
        <f ca="1" t="shared" si="269"/>
        <v>40019</v>
      </c>
    </row>
    <row r="4290" spans="2:2">
      <c r="B4290" s="251">
        <f ca="1" t="shared" si="269"/>
        <v>40018</v>
      </c>
    </row>
    <row r="4291" spans="2:2">
      <c r="B4291" s="251">
        <f ca="1" t="shared" si="269"/>
        <v>40017</v>
      </c>
    </row>
    <row r="4292" spans="2:2">
      <c r="B4292" s="251">
        <f ca="1" t="shared" si="269"/>
        <v>40016</v>
      </c>
    </row>
    <row r="4293" spans="2:2">
      <c r="B4293" s="251">
        <f ca="1" t="shared" si="269"/>
        <v>40015</v>
      </c>
    </row>
    <row r="4294" spans="2:2">
      <c r="B4294" s="251">
        <f ca="1" t="shared" si="269"/>
        <v>40014</v>
      </c>
    </row>
    <row r="4295" spans="2:2">
      <c r="B4295" s="251">
        <f ca="1" t="shared" si="269"/>
        <v>40013</v>
      </c>
    </row>
    <row r="4296" spans="2:2">
      <c r="B4296" s="251">
        <f ca="1" t="shared" si="269"/>
        <v>40012</v>
      </c>
    </row>
    <row r="4297" spans="2:2">
      <c r="B4297" s="251">
        <f ca="1" t="shared" ref="B4297:B4312" si="270">B4296-1</f>
        <v>40011</v>
      </c>
    </row>
    <row r="4298" spans="2:2">
      <c r="B4298" s="251">
        <f ca="1" t="shared" si="270"/>
        <v>40010</v>
      </c>
    </row>
    <row r="4299" spans="2:2">
      <c r="B4299" s="251">
        <f ca="1" t="shared" si="270"/>
        <v>40009</v>
      </c>
    </row>
    <row r="4300" spans="2:2">
      <c r="B4300" s="251">
        <f ca="1" t="shared" si="270"/>
        <v>40008</v>
      </c>
    </row>
    <row r="4301" spans="2:2">
      <c r="B4301" s="251">
        <f ca="1" t="shared" si="270"/>
        <v>40007</v>
      </c>
    </row>
    <row r="4302" spans="2:2">
      <c r="B4302" s="251">
        <f ca="1" t="shared" si="270"/>
        <v>40006</v>
      </c>
    </row>
    <row r="4303" spans="2:2">
      <c r="B4303" s="251">
        <f ca="1" t="shared" si="270"/>
        <v>40005</v>
      </c>
    </row>
    <row r="4304" spans="2:2">
      <c r="B4304" s="251">
        <f ca="1" t="shared" si="270"/>
        <v>40004</v>
      </c>
    </row>
    <row r="4305" spans="2:2">
      <c r="B4305" s="251">
        <f ca="1" t="shared" si="270"/>
        <v>40003</v>
      </c>
    </row>
    <row r="4306" spans="2:2">
      <c r="B4306" s="251">
        <f ca="1" t="shared" si="270"/>
        <v>40002</v>
      </c>
    </row>
    <row r="4307" spans="2:2">
      <c r="B4307" s="251">
        <f ca="1" t="shared" si="270"/>
        <v>40001</v>
      </c>
    </row>
    <row r="4308" spans="2:2">
      <c r="B4308" s="251">
        <f ca="1" t="shared" si="270"/>
        <v>40000</v>
      </c>
    </row>
    <row r="4309" spans="2:2">
      <c r="B4309" s="251">
        <f ca="1" t="shared" si="270"/>
        <v>39999</v>
      </c>
    </row>
    <row r="4310" spans="2:2">
      <c r="B4310" s="251">
        <f ca="1" t="shared" si="270"/>
        <v>39998</v>
      </c>
    </row>
    <row r="4311" spans="2:2">
      <c r="B4311" s="251">
        <f ca="1" t="shared" si="270"/>
        <v>39997</v>
      </c>
    </row>
    <row r="4312" spans="2:2">
      <c r="B4312" s="251">
        <f ca="1" t="shared" si="270"/>
        <v>39996</v>
      </c>
    </row>
    <row r="4313" spans="2:2">
      <c r="B4313" s="251">
        <f ca="1" t="shared" ref="B4313:B4328" si="271">B4312-1</f>
        <v>39995</v>
      </c>
    </row>
    <row r="4314" spans="2:2">
      <c r="B4314" s="251">
        <f ca="1" t="shared" si="271"/>
        <v>39994</v>
      </c>
    </row>
    <row r="4315" spans="2:2">
      <c r="B4315" s="251">
        <f ca="1" t="shared" si="271"/>
        <v>39993</v>
      </c>
    </row>
    <row r="4316" spans="2:2">
      <c r="B4316" s="251">
        <f ca="1" t="shared" si="271"/>
        <v>39992</v>
      </c>
    </row>
    <row r="4317" spans="2:2">
      <c r="B4317" s="251">
        <f ca="1" t="shared" si="271"/>
        <v>39991</v>
      </c>
    </row>
    <row r="4318" spans="2:2">
      <c r="B4318" s="251">
        <f ca="1" t="shared" si="271"/>
        <v>39990</v>
      </c>
    </row>
    <row r="4319" spans="2:2">
      <c r="B4319" s="251">
        <f ca="1" t="shared" si="271"/>
        <v>39989</v>
      </c>
    </row>
    <row r="4320" spans="2:2">
      <c r="B4320" s="251">
        <f ca="1" t="shared" si="271"/>
        <v>39988</v>
      </c>
    </row>
    <row r="4321" spans="2:2">
      <c r="B4321" s="251">
        <f ca="1" t="shared" si="271"/>
        <v>39987</v>
      </c>
    </row>
    <row r="4322" spans="2:2">
      <c r="B4322" s="251">
        <f ca="1" t="shared" si="271"/>
        <v>39986</v>
      </c>
    </row>
    <row r="4323" spans="2:2">
      <c r="B4323" s="251">
        <f ca="1" t="shared" si="271"/>
        <v>39985</v>
      </c>
    </row>
    <row r="4324" spans="2:2">
      <c r="B4324" s="251">
        <f ca="1" t="shared" si="271"/>
        <v>39984</v>
      </c>
    </row>
    <row r="4325" spans="2:2">
      <c r="B4325" s="251">
        <f ca="1" t="shared" si="271"/>
        <v>39983</v>
      </c>
    </row>
    <row r="4326" spans="2:2">
      <c r="B4326" s="251">
        <f ca="1" t="shared" si="271"/>
        <v>39982</v>
      </c>
    </row>
    <row r="4327" spans="2:2">
      <c r="B4327" s="251">
        <f ca="1" t="shared" si="271"/>
        <v>39981</v>
      </c>
    </row>
    <row r="4328" spans="2:2">
      <c r="B4328" s="251">
        <f ca="1" t="shared" si="271"/>
        <v>39980</v>
      </c>
    </row>
    <row r="4329" spans="2:2">
      <c r="B4329" s="251">
        <f ca="1" t="shared" ref="B4329:B4344" si="272">B4328-1</f>
        <v>39979</v>
      </c>
    </row>
    <row r="4330" spans="2:2">
      <c r="B4330" s="251">
        <f ca="1" t="shared" si="272"/>
        <v>39978</v>
      </c>
    </row>
    <row r="4331" spans="2:2">
      <c r="B4331" s="251">
        <f ca="1" t="shared" si="272"/>
        <v>39977</v>
      </c>
    </row>
    <row r="4332" spans="2:2">
      <c r="B4332" s="251">
        <f ca="1" t="shared" si="272"/>
        <v>39976</v>
      </c>
    </row>
    <row r="4333" spans="2:2">
      <c r="B4333" s="251">
        <f ca="1" t="shared" si="272"/>
        <v>39975</v>
      </c>
    </row>
    <row r="4334" spans="2:2">
      <c r="B4334" s="251">
        <f ca="1" t="shared" si="272"/>
        <v>39974</v>
      </c>
    </row>
    <row r="4335" spans="2:2">
      <c r="B4335" s="251">
        <f ca="1" t="shared" si="272"/>
        <v>39973</v>
      </c>
    </row>
    <row r="4336" spans="2:2">
      <c r="B4336" s="251">
        <f ca="1" t="shared" si="272"/>
        <v>39972</v>
      </c>
    </row>
    <row r="4337" spans="2:2">
      <c r="B4337" s="251">
        <f ca="1" t="shared" si="272"/>
        <v>39971</v>
      </c>
    </row>
    <row r="4338" spans="2:2">
      <c r="B4338" s="251">
        <f ca="1" t="shared" si="272"/>
        <v>39970</v>
      </c>
    </row>
    <row r="4339" spans="2:2">
      <c r="B4339" s="251">
        <f ca="1" t="shared" si="272"/>
        <v>39969</v>
      </c>
    </row>
    <row r="4340" spans="2:2">
      <c r="B4340" s="251">
        <f ca="1" t="shared" si="272"/>
        <v>39968</v>
      </c>
    </row>
    <row r="4341" spans="2:2">
      <c r="B4341" s="251">
        <f ca="1" t="shared" si="272"/>
        <v>39967</v>
      </c>
    </row>
    <row r="4342" spans="2:2">
      <c r="B4342" s="251">
        <f ca="1" t="shared" si="272"/>
        <v>39966</v>
      </c>
    </row>
    <row r="4343" spans="2:2">
      <c r="B4343" s="251">
        <f ca="1" t="shared" si="272"/>
        <v>39965</v>
      </c>
    </row>
    <row r="4344" spans="2:2">
      <c r="B4344" s="251">
        <f ca="1" t="shared" si="272"/>
        <v>39964</v>
      </c>
    </row>
    <row r="4345" spans="2:2">
      <c r="B4345" s="251">
        <f ca="1" t="shared" ref="B4345:B4360" si="273">B4344-1</f>
        <v>39963</v>
      </c>
    </row>
    <row r="4346" spans="2:2">
      <c r="B4346" s="251">
        <f ca="1" t="shared" si="273"/>
        <v>39962</v>
      </c>
    </row>
    <row r="4347" spans="2:2">
      <c r="B4347" s="251">
        <f ca="1" t="shared" si="273"/>
        <v>39961</v>
      </c>
    </row>
    <row r="4348" spans="2:2">
      <c r="B4348" s="251">
        <f ca="1" t="shared" si="273"/>
        <v>39960</v>
      </c>
    </row>
    <row r="4349" spans="2:2">
      <c r="B4349" s="251">
        <f ca="1" t="shared" si="273"/>
        <v>39959</v>
      </c>
    </row>
    <row r="4350" spans="2:2">
      <c r="B4350" s="251">
        <f ca="1" t="shared" si="273"/>
        <v>39958</v>
      </c>
    </row>
    <row r="4351" spans="2:2">
      <c r="B4351" s="251">
        <f ca="1" t="shared" si="273"/>
        <v>39957</v>
      </c>
    </row>
    <row r="4352" spans="2:2">
      <c r="B4352" s="251">
        <f ca="1" t="shared" si="273"/>
        <v>39956</v>
      </c>
    </row>
    <row r="4353" spans="2:2">
      <c r="B4353" s="251">
        <f ca="1" t="shared" si="273"/>
        <v>39955</v>
      </c>
    </row>
    <row r="4354" spans="2:2">
      <c r="B4354" s="251">
        <f ca="1" t="shared" si="273"/>
        <v>39954</v>
      </c>
    </row>
    <row r="4355" spans="2:2">
      <c r="B4355" s="251">
        <f ca="1" t="shared" si="273"/>
        <v>39953</v>
      </c>
    </row>
    <row r="4356" spans="2:2">
      <c r="B4356" s="251">
        <f ca="1" t="shared" si="273"/>
        <v>39952</v>
      </c>
    </row>
    <row r="4357" spans="2:2">
      <c r="B4357" s="251">
        <f ca="1" t="shared" si="273"/>
        <v>39951</v>
      </c>
    </row>
    <row r="4358" spans="2:2">
      <c r="B4358" s="251">
        <f ca="1" t="shared" si="273"/>
        <v>39950</v>
      </c>
    </row>
    <row r="4359" spans="2:2">
      <c r="B4359" s="251">
        <f ca="1" t="shared" si="273"/>
        <v>39949</v>
      </c>
    </row>
    <row r="4360" spans="2:2">
      <c r="B4360" s="251">
        <f ca="1" t="shared" si="273"/>
        <v>39948</v>
      </c>
    </row>
    <row r="4361" spans="2:2">
      <c r="B4361" s="251">
        <f ca="1" t="shared" ref="B4361:B4376" si="274">B4360-1</f>
        <v>39947</v>
      </c>
    </row>
    <row r="4362" spans="2:2">
      <c r="B4362" s="251">
        <f ca="1" t="shared" si="274"/>
        <v>39946</v>
      </c>
    </row>
    <row r="4363" spans="2:2">
      <c r="B4363" s="251">
        <f ca="1" t="shared" si="274"/>
        <v>39945</v>
      </c>
    </row>
    <row r="4364" spans="2:2">
      <c r="B4364" s="251">
        <f ca="1" t="shared" si="274"/>
        <v>39944</v>
      </c>
    </row>
    <row r="4365" spans="2:2">
      <c r="B4365" s="251">
        <f ca="1" t="shared" si="274"/>
        <v>39943</v>
      </c>
    </row>
    <row r="4366" spans="2:2">
      <c r="B4366" s="251">
        <f ca="1" t="shared" si="274"/>
        <v>39942</v>
      </c>
    </row>
    <row r="4367" spans="2:2">
      <c r="B4367" s="251">
        <f ca="1" t="shared" si="274"/>
        <v>39941</v>
      </c>
    </row>
    <row r="4368" spans="2:2">
      <c r="B4368" s="251">
        <f ca="1" t="shared" si="274"/>
        <v>39940</v>
      </c>
    </row>
    <row r="4369" spans="2:2">
      <c r="B4369" s="251">
        <f ca="1" t="shared" si="274"/>
        <v>39939</v>
      </c>
    </row>
    <row r="4370" spans="2:2">
      <c r="B4370" s="251">
        <f ca="1" t="shared" si="274"/>
        <v>39938</v>
      </c>
    </row>
    <row r="4371" spans="2:2">
      <c r="B4371" s="251">
        <f ca="1" t="shared" si="274"/>
        <v>39937</v>
      </c>
    </row>
    <row r="4372" spans="2:2">
      <c r="B4372" s="251">
        <f ca="1" t="shared" si="274"/>
        <v>39936</v>
      </c>
    </row>
    <row r="4373" spans="2:2">
      <c r="B4373" s="251">
        <f ca="1" t="shared" si="274"/>
        <v>39935</v>
      </c>
    </row>
    <row r="4374" spans="2:2">
      <c r="B4374" s="251">
        <f ca="1" t="shared" si="274"/>
        <v>39934</v>
      </c>
    </row>
    <row r="4375" spans="2:2">
      <c r="B4375" s="251">
        <f ca="1" t="shared" si="274"/>
        <v>39933</v>
      </c>
    </row>
    <row r="4376" spans="2:2">
      <c r="B4376" s="251">
        <f ca="1" t="shared" si="274"/>
        <v>39932</v>
      </c>
    </row>
    <row r="4377" spans="2:2">
      <c r="B4377" s="251">
        <f ca="1" t="shared" ref="B4377:B4392" si="275">B4376-1</f>
        <v>39931</v>
      </c>
    </row>
    <row r="4378" spans="2:2">
      <c r="B4378" s="251">
        <f ca="1" t="shared" si="275"/>
        <v>39930</v>
      </c>
    </row>
    <row r="4379" spans="2:2">
      <c r="B4379" s="251">
        <f ca="1" t="shared" si="275"/>
        <v>39929</v>
      </c>
    </row>
    <row r="4380" spans="2:2">
      <c r="B4380" s="251">
        <f ca="1" t="shared" si="275"/>
        <v>39928</v>
      </c>
    </row>
    <row r="4381" spans="2:2">
      <c r="B4381" s="251">
        <f ca="1" t="shared" si="275"/>
        <v>39927</v>
      </c>
    </row>
    <row r="4382" spans="2:2">
      <c r="B4382" s="251">
        <f ca="1" t="shared" si="275"/>
        <v>39926</v>
      </c>
    </row>
    <row r="4383" spans="2:2">
      <c r="B4383" s="251">
        <f ca="1" t="shared" si="275"/>
        <v>39925</v>
      </c>
    </row>
    <row r="4384" spans="2:2">
      <c r="B4384" s="251">
        <f ca="1" t="shared" si="275"/>
        <v>39924</v>
      </c>
    </row>
    <row r="4385" spans="2:2">
      <c r="B4385" s="251">
        <f ca="1" t="shared" si="275"/>
        <v>39923</v>
      </c>
    </row>
    <row r="4386" spans="2:2">
      <c r="B4386" s="251">
        <f ca="1" t="shared" si="275"/>
        <v>39922</v>
      </c>
    </row>
    <row r="4387" spans="2:2">
      <c r="B4387" s="251">
        <f ca="1" t="shared" si="275"/>
        <v>39921</v>
      </c>
    </row>
    <row r="4388" spans="2:2">
      <c r="B4388" s="251">
        <f ca="1" t="shared" si="275"/>
        <v>39920</v>
      </c>
    </row>
    <row r="4389" spans="2:2">
      <c r="B4389" s="251">
        <f ca="1" t="shared" si="275"/>
        <v>39919</v>
      </c>
    </row>
    <row r="4390" spans="2:2">
      <c r="B4390" s="251">
        <f ca="1" t="shared" si="275"/>
        <v>39918</v>
      </c>
    </row>
    <row r="4391" spans="2:2">
      <c r="B4391" s="251">
        <f ca="1" t="shared" si="275"/>
        <v>39917</v>
      </c>
    </row>
    <row r="4392" spans="2:2">
      <c r="B4392" s="251">
        <f ca="1" t="shared" si="275"/>
        <v>39916</v>
      </c>
    </row>
    <row r="4393" spans="2:2">
      <c r="B4393" s="251">
        <f ca="1" t="shared" ref="B4393:B4408" si="276">B4392-1</f>
        <v>39915</v>
      </c>
    </row>
    <row r="4394" spans="2:2">
      <c r="B4394" s="251">
        <f ca="1" t="shared" si="276"/>
        <v>39914</v>
      </c>
    </row>
    <row r="4395" spans="2:2">
      <c r="B4395" s="251">
        <f ca="1" t="shared" si="276"/>
        <v>39913</v>
      </c>
    </row>
    <row r="4396" spans="2:2">
      <c r="B4396" s="251">
        <f ca="1" t="shared" si="276"/>
        <v>39912</v>
      </c>
    </row>
    <row r="4397" spans="2:2">
      <c r="B4397" s="251">
        <f ca="1" t="shared" si="276"/>
        <v>39911</v>
      </c>
    </row>
    <row r="4398" spans="2:2">
      <c r="B4398" s="251">
        <f ca="1" t="shared" si="276"/>
        <v>39910</v>
      </c>
    </row>
    <row r="4399" spans="2:2">
      <c r="B4399" s="251">
        <f ca="1" t="shared" si="276"/>
        <v>39909</v>
      </c>
    </row>
    <row r="4400" spans="2:2">
      <c r="B4400" s="251">
        <f ca="1" t="shared" si="276"/>
        <v>39908</v>
      </c>
    </row>
    <row r="4401" spans="2:2">
      <c r="B4401" s="251">
        <f ca="1" t="shared" si="276"/>
        <v>39907</v>
      </c>
    </row>
    <row r="4402" spans="2:2">
      <c r="B4402" s="251">
        <f ca="1" t="shared" si="276"/>
        <v>39906</v>
      </c>
    </row>
    <row r="4403" spans="2:2">
      <c r="B4403" s="251">
        <f ca="1" t="shared" si="276"/>
        <v>39905</v>
      </c>
    </row>
    <row r="4404" spans="2:2">
      <c r="B4404" s="251">
        <f ca="1" t="shared" si="276"/>
        <v>39904</v>
      </c>
    </row>
    <row r="4405" spans="2:2">
      <c r="B4405" s="251">
        <f ca="1" t="shared" si="276"/>
        <v>39903</v>
      </c>
    </row>
    <row r="4406" spans="2:2">
      <c r="B4406" s="251">
        <f ca="1" t="shared" si="276"/>
        <v>39902</v>
      </c>
    </row>
    <row r="4407" spans="2:2">
      <c r="B4407" s="251">
        <f ca="1" t="shared" si="276"/>
        <v>39901</v>
      </c>
    </row>
    <row r="4408" spans="2:2">
      <c r="B4408" s="251">
        <f ca="1" t="shared" si="276"/>
        <v>39900</v>
      </c>
    </row>
    <row r="4409" spans="2:2">
      <c r="B4409" s="251">
        <f ca="1" t="shared" ref="B4409:B4424" si="277">B4408-1</f>
        <v>39899</v>
      </c>
    </row>
    <row r="4410" spans="2:2">
      <c r="B4410" s="251">
        <f ca="1" t="shared" si="277"/>
        <v>39898</v>
      </c>
    </row>
    <row r="4411" spans="2:2">
      <c r="B4411" s="251">
        <f ca="1" t="shared" si="277"/>
        <v>39897</v>
      </c>
    </row>
    <row r="4412" spans="2:2">
      <c r="B4412" s="251">
        <f ca="1" t="shared" si="277"/>
        <v>39896</v>
      </c>
    </row>
    <row r="4413" spans="2:2">
      <c r="B4413" s="251">
        <f ca="1" t="shared" si="277"/>
        <v>39895</v>
      </c>
    </row>
    <row r="4414" spans="2:2">
      <c r="B4414" s="251">
        <f ca="1" t="shared" si="277"/>
        <v>39894</v>
      </c>
    </row>
    <row r="4415" spans="2:2">
      <c r="B4415" s="251">
        <f ca="1" t="shared" si="277"/>
        <v>39893</v>
      </c>
    </row>
    <row r="4416" spans="2:2">
      <c r="B4416" s="251">
        <f ca="1" t="shared" si="277"/>
        <v>39892</v>
      </c>
    </row>
    <row r="4417" spans="2:2">
      <c r="B4417" s="251">
        <f ca="1" t="shared" si="277"/>
        <v>39891</v>
      </c>
    </row>
    <row r="4418" spans="2:2">
      <c r="B4418" s="251">
        <f ca="1" t="shared" si="277"/>
        <v>39890</v>
      </c>
    </row>
    <row r="4419" spans="2:2">
      <c r="B4419" s="251">
        <f ca="1" t="shared" si="277"/>
        <v>39889</v>
      </c>
    </row>
    <row r="4420" spans="2:2">
      <c r="B4420" s="251">
        <f ca="1" t="shared" si="277"/>
        <v>39888</v>
      </c>
    </row>
    <row r="4421" spans="2:2">
      <c r="B4421" s="251">
        <f ca="1" t="shared" si="277"/>
        <v>39887</v>
      </c>
    </row>
    <row r="4422" spans="2:2">
      <c r="B4422" s="251">
        <f ca="1" t="shared" si="277"/>
        <v>39886</v>
      </c>
    </row>
    <row r="4423" spans="2:2">
      <c r="B4423" s="251">
        <f ca="1" t="shared" si="277"/>
        <v>39885</v>
      </c>
    </row>
    <row r="4424" spans="2:2">
      <c r="B4424" s="251">
        <f ca="1" t="shared" si="277"/>
        <v>39884</v>
      </c>
    </row>
    <row r="4425" spans="2:2">
      <c r="B4425" s="251">
        <f ca="1" t="shared" ref="B4425:B4440" si="278">B4424-1</f>
        <v>39883</v>
      </c>
    </row>
    <row r="4426" spans="2:2">
      <c r="B4426" s="251">
        <f ca="1" t="shared" si="278"/>
        <v>39882</v>
      </c>
    </row>
    <row r="4427" spans="2:2">
      <c r="B4427" s="251">
        <f ca="1" t="shared" si="278"/>
        <v>39881</v>
      </c>
    </row>
    <row r="4428" spans="2:2">
      <c r="B4428" s="251">
        <f ca="1" t="shared" si="278"/>
        <v>39880</v>
      </c>
    </row>
    <row r="4429" spans="2:2">
      <c r="B4429" s="251">
        <f ca="1" t="shared" si="278"/>
        <v>39879</v>
      </c>
    </row>
    <row r="4430" spans="2:2">
      <c r="B4430" s="251">
        <f ca="1" t="shared" si="278"/>
        <v>39878</v>
      </c>
    </row>
    <row r="4431" spans="2:2">
      <c r="B4431" s="251">
        <f ca="1" t="shared" si="278"/>
        <v>39877</v>
      </c>
    </row>
    <row r="4432" spans="2:2">
      <c r="B4432" s="251">
        <f ca="1" t="shared" si="278"/>
        <v>39876</v>
      </c>
    </row>
    <row r="4433" spans="2:2">
      <c r="B4433" s="251">
        <f ca="1" t="shared" si="278"/>
        <v>39875</v>
      </c>
    </row>
    <row r="4434" spans="2:2">
      <c r="B4434" s="251">
        <f ca="1" t="shared" si="278"/>
        <v>39874</v>
      </c>
    </row>
    <row r="4435" spans="2:2">
      <c r="B4435" s="251">
        <f ca="1" t="shared" si="278"/>
        <v>39873</v>
      </c>
    </row>
    <row r="4436" spans="2:2">
      <c r="B4436" s="251">
        <f ca="1" t="shared" si="278"/>
        <v>39872</v>
      </c>
    </row>
    <row r="4437" spans="2:2">
      <c r="B4437" s="251">
        <f ca="1" t="shared" si="278"/>
        <v>39871</v>
      </c>
    </row>
    <row r="4438" spans="2:2">
      <c r="B4438" s="251">
        <f ca="1" t="shared" si="278"/>
        <v>39870</v>
      </c>
    </row>
    <row r="4439" spans="2:2">
      <c r="B4439" s="251">
        <f ca="1" t="shared" si="278"/>
        <v>39869</v>
      </c>
    </row>
    <row r="4440" spans="2:2">
      <c r="B4440" s="251">
        <f ca="1" t="shared" si="278"/>
        <v>39868</v>
      </c>
    </row>
    <row r="4441" spans="2:2">
      <c r="B4441" s="251">
        <f ca="1" t="shared" ref="B4441:B4456" si="279">B4440-1</f>
        <v>39867</v>
      </c>
    </row>
    <row r="4442" spans="2:2">
      <c r="B4442" s="251">
        <f ca="1" t="shared" si="279"/>
        <v>39866</v>
      </c>
    </row>
    <row r="4443" spans="2:2">
      <c r="B4443" s="251">
        <f ca="1" t="shared" si="279"/>
        <v>39865</v>
      </c>
    </row>
    <row r="4444" spans="2:2">
      <c r="B4444" s="251">
        <f ca="1" t="shared" si="279"/>
        <v>39864</v>
      </c>
    </row>
    <row r="4445" spans="2:2">
      <c r="B4445" s="251">
        <f ca="1" t="shared" si="279"/>
        <v>39863</v>
      </c>
    </row>
    <row r="4446" spans="2:2">
      <c r="B4446" s="251">
        <f ca="1" t="shared" si="279"/>
        <v>39862</v>
      </c>
    </row>
    <row r="4447" spans="2:2">
      <c r="B4447" s="251">
        <f ca="1" t="shared" si="279"/>
        <v>39861</v>
      </c>
    </row>
    <row r="4448" spans="2:2">
      <c r="B4448" s="251">
        <f ca="1" t="shared" si="279"/>
        <v>39860</v>
      </c>
    </row>
    <row r="4449" spans="2:2">
      <c r="B4449" s="251">
        <f ca="1" t="shared" si="279"/>
        <v>39859</v>
      </c>
    </row>
    <row r="4450" spans="2:2">
      <c r="B4450" s="251">
        <f ca="1" t="shared" si="279"/>
        <v>39858</v>
      </c>
    </row>
    <row r="4451" spans="2:2">
      <c r="B4451" s="251">
        <f ca="1" t="shared" si="279"/>
        <v>39857</v>
      </c>
    </row>
    <row r="4452" spans="2:2">
      <c r="B4452" s="251">
        <f ca="1" t="shared" si="279"/>
        <v>39856</v>
      </c>
    </row>
    <row r="4453" spans="2:2">
      <c r="B4453" s="251">
        <f ca="1" t="shared" si="279"/>
        <v>39855</v>
      </c>
    </row>
    <row r="4454" spans="2:2">
      <c r="B4454" s="251">
        <f ca="1" t="shared" si="279"/>
        <v>39854</v>
      </c>
    </row>
    <row r="4455" spans="2:2">
      <c r="B4455" s="251">
        <f ca="1" t="shared" si="279"/>
        <v>39853</v>
      </c>
    </row>
    <row r="4456" spans="2:2">
      <c r="B4456" s="251">
        <f ca="1" t="shared" si="279"/>
        <v>39852</v>
      </c>
    </row>
    <row r="4457" spans="2:2">
      <c r="B4457" s="251">
        <f ca="1" t="shared" ref="B4457:B4472" si="280">B4456-1</f>
        <v>39851</v>
      </c>
    </row>
    <row r="4458" spans="2:2">
      <c r="B4458" s="251">
        <f ca="1" t="shared" si="280"/>
        <v>39850</v>
      </c>
    </row>
    <row r="4459" spans="2:2">
      <c r="B4459" s="251">
        <f ca="1" t="shared" si="280"/>
        <v>39849</v>
      </c>
    </row>
    <row r="4460" spans="2:2">
      <c r="B4460" s="251">
        <f ca="1" t="shared" si="280"/>
        <v>39848</v>
      </c>
    </row>
    <row r="4461" spans="2:2">
      <c r="B4461" s="251">
        <f ca="1" t="shared" si="280"/>
        <v>39847</v>
      </c>
    </row>
    <row r="4462" spans="2:2">
      <c r="B4462" s="251">
        <f ca="1" t="shared" si="280"/>
        <v>39846</v>
      </c>
    </row>
    <row r="4463" spans="2:2">
      <c r="B4463" s="251">
        <f ca="1" t="shared" si="280"/>
        <v>39845</v>
      </c>
    </row>
    <row r="4464" spans="2:2">
      <c r="B4464" s="251">
        <f ca="1" t="shared" si="280"/>
        <v>39844</v>
      </c>
    </row>
    <row r="4465" spans="2:2">
      <c r="B4465" s="251">
        <f ca="1" t="shared" si="280"/>
        <v>39843</v>
      </c>
    </row>
    <row r="4466" spans="2:2">
      <c r="B4466" s="251">
        <f ca="1" t="shared" si="280"/>
        <v>39842</v>
      </c>
    </row>
    <row r="4467" spans="2:2">
      <c r="B4467" s="251">
        <f ca="1" t="shared" si="280"/>
        <v>39841</v>
      </c>
    </row>
    <row r="4468" spans="2:2">
      <c r="B4468" s="251">
        <f ca="1" t="shared" si="280"/>
        <v>39840</v>
      </c>
    </row>
    <row r="4469" spans="2:2">
      <c r="B4469" s="251">
        <f ca="1" t="shared" si="280"/>
        <v>39839</v>
      </c>
    </row>
    <row r="4470" spans="2:2">
      <c r="B4470" s="251">
        <f ca="1" t="shared" si="280"/>
        <v>39838</v>
      </c>
    </row>
    <row r="4471" spans="2:2">
      <c r="B4471" s="251">
        <f ca="1" t="shared" si="280"/>
        <v>39837</v>
      </c>
    </row>
    <row r="4472" spans="2:2">
      <c r="B4472" s="251">
        <f ca="1" t="shared" si="280"/>
        <v>39836</v>
      </c>
    </row>
    <row r="4473" spans="2:2">
      <c r="B4473" s="251">
        <f ca="1" t="shared" ref="B4473:B4488" si="281">B4472-1</f>
        <v>39835</v>
      </c>
    </row>
    <row r="4474" spans="2:2">
      <c r="B4474" s="251">
        <f ca="1" t="shared" si="281"/>
        <v>39834</v>
      </c>
    </row>
    <row r="4475" spans="2:2">
      <c r="B4475" s="251">
        <f ca="1" t="shared" si="281"/>
        <v>39833</v>
      </c>
    </row>
    <row r="4476" spans="2:2">
      <c r="B4476" s="251">
        <f ca="1" t="shared" si="281"/>
        <v>39832</v>
      </c>
    </row>
    <row r="4477" spans="2:2">
      <c r="B4477" s="251">
        <f ca="1" t="shared" si="281"/>
        <v>39831</v>
      </c>
    </row>
    <row r="4478" spans="2:2">
      <c r="B4478" s="251">
        <f ca="1" t="shared" si="281"/>
        <v>39830</v>
      </c>
    </row>
    <row r="4479" spans="2:2">
      <c r="B4479" s="251">
        <f ca="1" t="shared" si="281"/>
        <v>39829</v>
      </c>
    </row>
    <row r="4480" spans="2:2">
      <c r="B4480" s="251">
        <f ca="1" t="shared" si="281"/>
        <v>39828</v>
      </c>
    </row>
    <row r="4481" spans="2:2">
      <c r="B4481" s="251">
        <f ca="1" t="shared" si="281"/>
        <v>39827</v>
      </c>
    </row>
    <row r="4482" spans="2:2">
      <c r="B4482" s="251">
        <f ca="1" t="shared" si="281"/>
        <v>39826</v>
      </c>
    </row>
    <row r="4483" spans="2:2">
      <c r="B4483" s="251">
        <f ca="1" t="shared" si="281"/>
        <v>39825</v>
      </c>
    </row>
    <row r="4484" spans="2:2">
      <c r="B4484" s="251">
        <f ca="1" t="shared" si="281"/>
        <v>39824</v>
      </c>
    </row>
    <row r="4485" spans="2:2">
      <c r="B4485" s="251">
        <f ca="1" t="shared" si="281"/>
        <v>39823</v>
      </c>
    </row>
    <row r="4486" spans="2:2">
      <c r="B4486" s="251">
        <f ca="1" t="shared" si="281"/>
        <v>39822</v>
      </c>
    </row>
    <row r="4487" spans="2:2">
      <c r="B4487" s="251">
        <f ca="1" t="shared" si="281"/>
        <v>39821</v>
      </c>
    </row>
    <row r="4488" spans="2:2">
      <c r="B4488" s="251">
        <f ca="1" t="shared" si="281"/>
        <v>39820</v>
      </c>
    </row>
    <row r="4489" spans="2:2">
      <c r="B4489" s="251">
        <f ca="1" t="shared" ref="B4489:B4504" si="282">B4488-1</f>
        <v>39819</v>
      </c>
    </row>
    <row r="4490" spans="2:2">
      <c r="B4490" s="251">
        <f ca="1" t="shared" si="282"/>
        <v>39818</v>
      </c>
    </row>
    <row r="4491" spans="2:2">
      <c r="B4491" s="251">
        <f ca="1" t="shared" si="282"/>
        <v>39817</v>
      </c>
    </row>
    <row r="4492" spans="2:2">
      <c r="B4492" s="251">
        <f ca="1" t="shared" si="282"/>
        <v>39816</v>
      </c>
    </row>
    <row r="4493" spans="2:2">
      <c r="B4493" s="251">
        <f ca="1" t="shared" si="282"/>
        <v>39815</v>
      </c>
    </row>
    <row r="4494" spans="2:2">
      <c r="B4494" s="251">
        <f ca="1" t="shared" si="282"/>
        <v>39814</v>
      </c>
    </row>
    <row r="4495" spans="2:2">
      <c r="B4495" s="251">
        <f ca="1" t="shared" si="282"/>
        <v>39813</v>
      </c>
    </row>
    <row r="4496" spans="2:2">
      <c r="B4496" s="251">
        <f ca="1" t="shared" si="282"/>
        <v>39812</v>
      </c>
    </row>
    <row r="4497" spans="2:2">
      <c r="B4497" s="251">
        <f ca="1" t="shared" si="282"/>
        <v>39811</v>
      </c>
    </row>
    <row r="4498" spans="2:2">
      <c r="B4498" s="251">
        <f ca="1" t="shared" si="282"/>
        <v>39810</v>
      </c>
    </row>
    <row r="4499" spans="2:2">
      <c r="B4499" s="251">
        <f ca="1" t="shared" si="282"/>
        <v>39809</v>
      </c>
    </row>
    <row r="4500" spans="2:2">
      <c r="B4500" s="251">
        <f ca="1" t="shared" si="282"/>
        <v>39808</v>
      </c>
    </row>
    <row r="4501" spans="2:2">
      <c r="B4501" s="251">
        <f ca="1" t="shared" si="282"/>
        <v>39807</v>
      </c>
    </row>
    <row r="4502" spans="2:2">
      <c r="B4502" s="251">
        <f ca="1" t="shared" si="282"/>
        <v>39806</v>
      </c>
    </row>
    <row r="4503" spans="2:2">
      <c r="B4503" s="251">
        <f ca="1" t="shared" si="282"/>
        <v>39805</v>
      </c>
    </row>
    <row r="4504" spans="2:2">
      <c r="B4504" s="251">
        <f ca="1" t="shared" si="282"/>
        <v>39804</v>
      </c>
    </row>
    <row r="4505" spans="2:2">
      <c r="B4505" s="251">
        <f ca="1" t="shared" ref="B4505:B4520" si="283">B4504-1</f>
        <v>39803</v>
      </c>
    </row>
    <row r="4506" spans="2:2">
      <c r="B4506" s="251">
        <f ca="1" t="shared" si="283"/>
        <v>39802</v>
      </c>
    </row>
    <row r="4507" spans="2:2">
      <c r="B4507" s="251">
        <f ca="1" t="shared" si="283"/>
        <v>39801</v>
      </c>
    </row>
    <row r="4508" spans="2:2">
      <c r="B4508" s="251">
        <f ca="1" t="shared" si="283"/>
        <v>39800</v>
      </c>
    </row>
    <row r="4509" spans="2:2">
      <c r="B4509" s="251">
        <f ca="1" t="shared" si="283"/>
        <v>39799</v>
      </c>
    </row>
    <row r="4510" spans="2:2">
      <c r="B4510" s="251">
        <f ca="1" t="shared" si="283"/>
        <v>39798</v>
      </c>
    </row>
    <row r="4511" spans="2:2">
      <c r="B4511" s="251">
        <f ca="1" t="shared" si="283"/>
        <v>39797</v>
      </c>
    </row>
    <row r="4512" spans="2:2">
      <c r="B4512" s="251">
        <f ca="1" t="shared" si="283"/>
        <v>39796</v>
      </c>
    </row>
    <row r="4513" spans="2:2">
      <c r="B4513" s="251">
        <f ca="1" t="shared" si="283"/>
        <v>39795</v>
      </c>
    </row>
    <row r="4514" spans="2:2">
      <c r="B4514" s="251">
        <f ca="1" t="shared" si="283"/>
        <v>39794</v>
      </c>
    </row>
    <row r="4515" spans="2:2">
      <c r="B4515" s="251">
        <f ca="1" t="shared" si="283"/>
        <v>39793</v>
      </c>
    </row>
    <row r="4516" spans="2:2">
      <c r="B4516" s="251">
        <f ca="1" t="shared" si="283"/>
        <v>39792</v>
      </c>
    </row>
    <row r="4517" spans="2:2">
      <c r="B4517" s="251">
        <f ca="1" t="shared" si="283"/>
        <v>39791</v>
      </c>
    </row>
    <row r="4518" spans="2:2">
      <c r="B4518" s="251">
        <f ca="1" t="shared" si="283"/>
        <v>39790</v>
      </c>
    </row>
    <row r="4519" spans="2:2">
      <c r="B4519" s="251">
        <f ca="1" t="shared" si="283"/>
        <v>39789</v>
      </c>
    </row>
    <row r="4520" spans="2:2">
      <c r="B4520" s="251">
        <f ca="1" t="shared" si="283"/>
        <v>39788</v>
      </c>
    </row>
    <row r="4521" spans="2:2">
      <c r="B4521" s="251">
        <f ca="1" t="shared" ref="B4521:B4536" si="284">B4520-1</f>
        <v>39787</v>
      </c>
    </row>
    <row r="4522" spans="2:2">
      <c r="B4522" s="251">
        <f ca="1" t="shared" si="284"/>
        <v>39786</v>
      </c>
    </row>
    <row r="4523" spans="2:2">
      <c r="B4523" s="251">
        <f ca="1" t="shared" si="284"/>
        <v>39785</v>
      </c>
    </row>
    <row r="4524" spans="2:2">
      <c r="B4524" s="251">
        <f ca="1" t="shared" si="284"/>
        <v>39784</v>
      </c>
    </row>
    <row r="4525" spans="2:2">
      <c r="B4525" s="251">
        <f ca="1" t="shared" si="284"/>
        <v>39783</v>
      </c>
    </row>
    <row r="4526" spans="2:2">
      <c r="B4526" s="251">
        <f ca="1" t="shared" si="284"/>
        <v>39782</v>
      </c>
    </row>
    <row r="4527" spans="2:2">
      <c r="B4527" s="251">
        <f ca="1" t="shared" si="284"/>
        <v>39781</v>
      </c>
    </row>
    <row r="4528" spans="2:2">
      <c r="B4528" s="251">
        <f ca="1" t="shared" si="284"/>
        <v>39780</v>
      </c>
    </row>
    <row r="4529" spans="2:2">
      <c r="B4529" s="251">
        <f ca="1" t="shared" si="284"/>
        <v>39779</v>
      </c>
    </row>
    <row r="4530" spans="2:2">
      <c r="B4530" s="251">
        <f ca="1" t="shared" si="284"/>
        <v>39778</v>
      </c>
    </row>
    <row r="4531" spans="2:2">
      <c r="B4531" s="251">
        <f ca="1" t="shared" si="284"/>
        <v>39777</v>
      </c>
    </row>
    <row r="4532" spans="2:2">
      <c r="B4532" s="251">
        <f ca="1" t="shared" si="284"/>
        <v>39776</v>
      </c>
    </row>
    <row r="4533" spans="2:2">
      <c r="B4533" s="251">
        <f ca="1" t="shared" si="284"/>
        <v>39775</v>
      </c>
    </row>
    <row r="4534" spans="2:2">
      <c r="B4534" s="251">
        <f ca="1" t="shared" si="284"/>
        <v>39774</v>
      </c>
    </row>
    <row r="4535" spans="2:2">
      <c r="B4535" s="251">
        <f ca="1" t="shared" si="284"/>
        <v>39773</v>
      </c>
    </row>
    <row r="4536" spans="2:2">
      <c r="B4536" s="251">
        <f ca="1" t="shared" si="284"/>
        <v>39772</v>
      </c>
    </row>
    <row r="4537" spans="2:2">
      <c r="B4537" s="251">
        <f ca="1" t="shared" ref="B4537:B4552" si="285">B4536-1</f>
        <v>39771</v>
      </c>
    </row>
    <row r="4538" spans="2:2">
      <c r="B4538" s="251">
        <f ca="1" t="shared" si="285"/>
        <v>39770</v>
      </c>
    </row>
    <row r="4539" spans="2:2">
      <c r="B4539" s="251">
        <f ca="1" t="shared" si="285"/>
        <v>39769</v>
      </c>
    </row>
    <row r="4540" spans="2:2">
      <c r="B4540" s="251">
        <f ca="1" t="shared" si="285"/>
        <v>39768</v>
      </c>
    </row>
    <row r="4541" spans="2:2">
      <c r="B4541" s="251">
        <f ca="1" t="shared" si="285"/>
        <v>39767</v>
      </c>
    </row>
    <row r="4542" spans="2:2">
      <c r="B4542" s="251">
        <f ca="1" t="shared" si="285"/>
        <v>39766</v>
      </c>
    </row>
    <row r="4543" spans="2:2">
      <c r="B4543" s="251">
        <f ca="1" t="shared" si="285"/>
        <v>39765</v>
      </c>
    </row>
    <row r="4544" spans="2:2">
      <c r="B4544" s="251">
        <f ca="1" t="shared" si="285"/>
        <v>39764</v>
      </c>
    </row>
    <row r="4545" spans="2:2">
      <c r="B4545" s="251">
        <f ca="1" t="shared" si="285"/>
        <v>39763</v>
      </c>
    </row>
    <row r="4546" spans="2:2">
      <c r="B4546" s="251">
        <f ca="1" t="shared" si="285"/>
        <v>39762</v>
      </c>
    </row>
    <row r="4547" spans="2:2">
      <c r="B4547" s="251">
        <f ca="1" t="shared" si="285"/>
        <v>39761</v>
      </c>
    </row>
    <row r="4548" spans="2:2">
      <c r="B4548" s="251">
        <f ca="1" t="shared" si="285"/>
        <v>39760</v>
      </c>
    </row>
    <row r="4549" spans="2:2">
      <c r="B4549" s="251">
        <f ca="1" t="shared" si="285"/>
        <v>39759</v>
      </c>
    </row>
    <row r="4550" spans="2:2">
      <c r="B4550" s="251">
        <f ca="1" t="shared" si="285"/>
        <v>39758</v>
      </c>
    </row>
    <row r="4551" spans="2:2">
      <c r="B4551" s="251">
        <f ca="1" t="shared" si="285"/>
        <v>39757</v>
      </c>
    </row>
    <row r="4552" spans="2:2">
      <c r="B4552" s="251">
        <f ca="1" t="shared" si="285"/>
        <v>39756</v>
      </c>
    </row>
    <row r="4553" spans="2:2">
      <c r="B4553" s="251">
        <f ca="1" t="shared" ref="B4553:B4568" si="286">B4552-1</f>
        <v>39755</v>
      </c>
    </row>
    <row r="4554" spans="2:2">
      <c r="B4554" s="251">
        <f ca="1" t="shared" si="286"/>
        <v>39754</v>
      </c>
    </row>
    <row r="4555" spans="2:2">
      <c r="B4555" s="251">
        <f ca="1" t="shared" si="286"/>
        <v>39753</v>
      </c>
    </row>
    <row r="4556" spans="2:2">
      <c r="B4556" s="251">
        <f ca="1" t="shared" si="286"/>
        <v>39752</v>
      </c>
    </row>
    <row r="4557" spans="2:2">
      <c r="B4557" s="251">
        <f ca="1" t="shared" si="286"/>
        <v>39751</v>
      </c>
    </row>
    <row r="4558" spans="2:2">
      <c r="B4558" s="251">
        <f ca="1" t="shared" si="286"/>
        <v>39750</v>
      </c>
    </row>
    <row r="4559" spans="2:2">
      <c r="B4559" s="251">
        <f ca="1" t="shared" si="286"/>
        <v>39749</v>
      </c>
    </row>
    <row r="4560" spans="2:2">
      <c r="B4560" s="251">
        <f ca="1" t="shared" si="286"/>
        <v>39748</v>
      </c>
    </row>
    <row r="4561" spans="2:2">
      <c r="B4561" s="251">
        <f ca="1" t="shared" si="286"/>
        <v>39747</v>
      </c>
    </row>
    <row r="4562" spans="2:2">
      <c r="B4562" s="251">
        <f ca="1" t="shared" si="286"/>
        <v>39746</v>
      </c>
    </row>
    <row r="4563" spans="2:2">
      <c r="B4563" s="251">
        <f ca="1" t="shared" si="286"/>
        <v>39745</v>
      </c>
    </row>
    <row r="4564" spans="2:2">
      <c r="B4564" s="251">
        <f ca="1" t="shared" si="286"/>
        <v>39744</v>
      </c>
    </row>
    <row r="4565" spans="2:2">
      <c r="B4565" s="251">
        <f ca="1" t="shared" si="286"/>
        <v>39743</v>
      </c>
    </row>
    <row r="4566" spans="2:2">
      <c r="B4566" s="251">
        <f ca="1" t="shared" si="286"/>
        <v>39742</v>
      </c>
    </row>
    <row r="4567" spans="2:2">
      <c r="B4567" s="251">
        <f ca="1" t="shared" si="286"/>
        <v>39741</v>
      </c>
    </row>
    <row r="4568" spans="2:2">
      <c r="B4568" s="251">
        <f ca="1" t="shared" si="286"/>
        <v>39740</v>
      </c>
    </row>
    <row r="4569" spans="2:2">
      <c r="B4569" s="251">
        <f ca="1" t="shared" ref="B4569:B4584" si="287">B4568-1</f>
        <v>39739</v>
      </c>
    </row>
    <row r="4570" spans="2:2">
      <c r="B4570" s="251">
        <f ca="1" t="shared" si="287"/>
        <v>39738</v>
      </c>
    </row>
    <row r="4571" spans="2:2">
      <c r="B4571" s="251">
        <f ca="1" t="shared" si="287"/>
        <v>39737</v>
      </c>
    </row>
    <row r="4572" spans="2:2">
      <c r="B4572" s="251">
        <f ca="1" t="shared" si="287"/>
        <v>39736</v>
      </c>
    </row>
    <row r="4573" spans="2:2">
      <c r="B4573" s="251">
        <f ca="1" t="shared" si="287"/>
        <v>39735</v>
      </c>
    </row>
    <row r="4574" spans="2:2">
      <c r="B4574" s="251">
        <f ca="1" t="shared" si="287"/>
        <v>39734</v>
      </c>
    </row>
    <row r="4575" spans="2:2">
      <c r="B4575" s="251">
        <f ca="1" t="shared" si="287"/>
        <v>39733</v>
      </c>
    </row>
    <row r="4576" spans="2:2">
      <c r="B4576" s="251">
        <f ca="1" t="shared" si="287"/>
        <v>39732</v>
      </c>
    </row>
    <row r="4577" spans="2:2">
      <c r="B4577" s="251">
        <f ca="1" t="shared" si="287"/>
        <v>39731</v>
      </c>
    </row>
    <row r="4578" spans="2:2">
      <c r="B4578" s="251">
        <f ca="1" t="shared" si="287"/>
        <v>39730</v>
      </c>
    </row>
    <row r="4579" spans="2:2">
      <c r="B4579" s="251">
        <f ca="1" t="shared" si="287"/>
        <v>39729</v>
      </c>
    </row>
    <row r="4580" spans="2:2">
      <c r="B4580" s="251">
        <f ca="1" t="shared" si="287"/>
        <v>39728</v>
      </c>
    </row>
    <row r="4581" spans="2:2">
      <c r="B4581" s="251">
        <f ca="1" t="shared" si="287"/>
        <v>39727</v>
      </c>
    </row>
    <row r="4582" spans="2:2">
      <c r="B4582" s="251">
        <f ca="1" t="shared" si="287"/>
        <v>39726</v>
      </c>
    </row>
    <row r="4583" spans="2:2">
      <c r="B4583" s="251">
        <f ca="1" t="shared" si="287"/>
        <v>39725</v>
      </c>
    </row>
    <row r="4584" spans="2:2">
      <c r="B4584" s="251">
        <f ca="1" t="shared" si="287"/>
        <v>39724</v>
      </c>
    </row>
    <row r="4585" spans="2:2">
      <c r="B4585" s="251">
        <f ca="1" t="shared" ref="B4585:B4600" si="288">B4584-1</f>
        <v>39723</v>
      </c>
    </row>
    <row r="4586" spans="2:2">
      <c r="B4586" s="251">
        <f ca="1" t="shared" si="288"/>
        <v>39722</v>
      </c>
    </row>
    <row r="4587" spans="2:2">
      <c r="B4587" s="251">
        <f ca="1" t="shared" si="288"/>
        <v>39721</v>
      </c>
    </row>
    <row r="4588" spans="2:2">
      <c r="B4588" s="251">
        <f ca="1" t="shared" si="288"/>
        <v>39720</v>
      </c>
    </row>
    <row r="4589" spans="2:2">
      <c r="B4589" s="251">
        <f ca="1" t="shared" si="288"/>
        <v>39719</v>
      </c>
    </row>
    <row r="4590" spans="2:2">
      <c r="B4590" s="251">
        <f ca="1" t="shared" si="288"/>
        <v>39718</v>
      </c>
    </row>
    <row r="4591" spans="2:2">
      <c r="B4591" s="251">
        <f ca="1" t="shared" si="288"/>
        <v>39717</v>
      </c>
    </row>
    <row r="4592" spans="2:2">
      <c r="B4592" s="251">
        <f ca="1" t="shared" si="288"/>
        <v>39716</v>
      </c>
    </row>
    <row r="4593" spans="2:2">
      <c r="B4593" s="251">
        <f ca="1" t="shared" si="288"/>
        <v>39715</v>
      </c>
    </row>
    <row r="4594" spans="2:2">
      <c r="B4594" s="251">
        <f ca="1" t="shared" si="288"/>
        <v>39714</v>
      </c>
    </row>
    <row r="4595" spans="2:2">
      <c r="B4595" s="251">
        <f ca="1" t="shared" si="288"/>
        <v>39713</v>
      </c>
    </row>
    <row r="4596" spans="2:2">
      <c r="B4596" s="251">
        <f ca="1" t="shared" si="288"/>
        <v>39712</v>
      </c>
    </row>
    <row r="4597" spans="2:2">
      <c r="B4597" s="251">
        <f ca="1" t="shared" si="288"/>
        <v>39711</v>
      </c>
    </row>
    <row r="4598" spans="2:2">
      <c r="B4598" s="251">
        <f ca="1" t="shared" si="288"/>
        <v>39710</v>
      </c>
    </row>
    <row r="4599" spans="2:2">
      <c r="B4599" s="251">
        <f ca="1" t="shared" si="288"/>
        <v>39709</v>
      </c>
    </row>
    <row r="4600" spans="2:2">
      <c r="B4600" s="251">
        <f ca="1" t="shared" si="288"/>
        <v>39708</v>
      </c>
    </row>
    <row r="4601" spans="2:2">
      <c r="B4601" s="251">
        <f ca="1" t="shared" ref="B4601:B4616" si="289">B4600-1</f>
        <v>39707</v>
      </c>
    </row>
    <row r="4602" spans="2:2">
      <c r="B4602" s="251">
        <f ca="1" t="shared" si="289"/>
        <v>39706</v>
      </c>
    </row>
    <row r="4603" spans="2:2">
      <c r="B4603" s="251">
        <f ca="1" t="shared" si="289"/>
        <v>39705</v>
      </c>
    </row>
    <row r="4604" spans="2:2">
      <c r="B4604" s="251">
        <f ca="1" t="shared" si="289"/>
        <v>39704</v>
      </c>
    </row>
    <row r="4605" spans="2:2">
      <c r="B4605" s="251">
        <f ca="1" t="shared" si="289"/>
        <v>39703</v>
      </c>
    </row>
    <row r="4606" spans="2:2">
      <c r="B4606" s="251">
        <f ca="1" t="shared" si="289"/>
        <v>39702</v>
      </c>
    </row>
    <row r="4607" spans="2:2">
      <c r="B4607" s="251">
        <f ca="1" t="shared" si="289"/>
        <v>39701</v>
      </c>
    </row>
    <row r="4608" spans="2:2">
      <c r="B4608" s="251">
        <f ca="1" t="shared" si="289"/>
        <v>39700</v>
      </c>
    </row>
    <row r="4609" spans="2:2">
      <c r="B4609" s="251">
        <f ca="1" t="shared" si="289"/>
        <v>39699</v>
      </c>
    </row>
    <row r="4610" spans="2:2">
      <c r="B4610" s="251">
        <f ca="1" t="shared" si="289"/>
        <v>39698</v>
      </c>
    </row>
    <row r="4611" spans="2:2">
      <c r="B4611" s="251">
        <f ca="1" t="shared" si="289"/>
        <v>39697</v>
      </c>
    </row>
    <row r="4612" spans="2:2">
      <c r="B4612" s="251">
        <f ca="1" t="shared" si="289"/>
        <v>39696</v>
      </c>
    </row>
    <row r="4613" spans="2:2">
      <c r="B4613" s="251">
        <f ca="1" t="shared" si="289"/>
        <v>39695</v>
      </c>
    </row>
    <row r="4614" spans="2:2">
      <c r="B4614" s="251">
        <f ca="1" t="shared" si="289"/>
        <v>39694</v>
      </c>
    </row>
    <row r="4615" spans="2:2">
      <c r="B4615" s="251">
        <f ca="1" t="shared" si="289"/>
        <v>39693</v>
      </c>
    </row>
    <row r="4616" spans="2:2">
      <c r="B4616" s="251">
        <f ca="1" t="shared" si="289"/>
        <v>39692</v>
      </c>
    </row>
    <row r="4617" spans="2:2">
      <c r="B4617" s="251">
        <f ca="1" t="shared" ref="B4617:B4632" si="290">B4616-1</f>
        <v>39691</v>
      </c>
    </row>
    <row r="4618" spans="2:2">
      <c r="B4618" s="251">
        <f ca="1" t="shared" si="290"/>
        <v>39690</v>
      </c>
    </row>
    <row r="4619" spans="2:2">
      <c r="B4619" s="251">
        <f ca="1" t="shared" si="290"/>
        <v>39689</v>
      </c>
    </row>
    <row r="4620" spans="2:2">
      <c r="B4620" s="251">
        <f ca="1" t="shared" si="290"/>
        <v>39688</v>
      </c>
    </row>
    <row r="4621" spans="2:2">
      <c r="B4621" s="251">
        <f ca="1" t="shared" si="290"/>
        <v>39687</v>
      </c>
    </row>
    <row r="4622" spans="2:2">
      <c r="B4622" s="251">
        <f ca="1" t="shared" si="290"/>
        <v>39686</v>
      </c>
    </row>
    <row r="4623" spans="2:2">
      <c r="B4623" s="251">
        <f ca="1" t="shared" si="290"/>
        <v>39685</v>
      </c>
    </row>
    <row r="4624" spans="2:2">
      <c r="B4624" s="251">
        <f ca="1" t="shared" si="290"/>
        <v>39684</v>
      </c>
    </row>
    <row r="4625" spans="2:2">
      <c r="B4625" s="251">
        <f ca="1" t="shared" si="290"/>
        <v>39683</v>
      </c>
    </row>
    <row r="4626" spans="2:2">
      <c r="B4626" s="251">
        <f ca="1" t="shared" si="290"/>
        <v>39682</v>
      </c>
    </row>
    <row r="4627" spans="2:2">
      <c r="B4627" s="251">
        <f ca="1" t="shared" si="290"/>
        <v>39681</v>
      </c>
    </row>
    <row r="4628" spans="2:2">
      <c r="B4628" s="251">
        <f ca="1" t="shared" si="290"/>
        <v>39680</v>
      </c>
    </row>
    <row r="4629" spans="2:2">
      <c r="B4629" s="251">
        <f ca="1" t="shared" si="290"/>
        <v>39679</v>
      </c>
    </row>
    <row r="4630" spans="2:2">
      <c r="B4630" s="251">
        <f ca="1" t="shared" si="290"/>
        <v>39678</v>
      </c>
    </row>
    <row r="4631" spans="2:2">
      <c r="B4631" s="251">
        <f ca="1" t="shared" si="290"/>
        <v>39677</v>
      </c>
    </row>
    <row r="4632" spans="2:2">
      <c r="B4632" s="251">
        <f ca="1" t="shared" si="290"/>
        <v>39676</v>
      </c>
    </row>
    <row r="4633" spans="2:2">
      <c r="B4633" s="251">
        <f ca="1" t="shared" ref="B4633:B4648" si="291">B4632-1</f>
        <v>39675</v>
      </c>
    </row>
    <row r="4634" spans="2:2">
      <c r="B4634" s="251">
        <f ca="1" t="shared" si="291"/>
        <v>39674</v>
      </c>
    </row>
    <row r="4635" spans="2:2">
      <c r="B4635" s="251">
        <f ca="1" t="shared" si="291"/>
        <v>39673</v>
      </c>
    </row>
    <row r="4636" spans="2:2">
      <c r="B4636" s="251">
        <f ca="1" t="shared" si="291"/>
        <v>39672</v>
      </c>
    </row>
    <row r="4637" spans="2:2">
      <c r="B4637" s="251">
        <f ca="1" t="shared" si="291"/>
        <v>39671</v>
      </c>
    </row>
    <row r="4638" spans="2:2">
      <c r="B4638" s="251">
        <f ca="1" t="shared" si="291"/>
        <v>39670</v>
      </c>
    </row>
    <row r="4639" spans="2:2">
      <c r="B4639" s="251">
        <f ca="1" t="shared" si="291"/>
        <v>39669</v>
      </c>
    </row>
    <row r="4640" spans="2:2">
      <c r="B4640" s="251">
        <f ca="1" t="shared" si="291"/>
        <v>39668</v>
      </c>
    </row>
    <row r="4641" spans="2:2">
      <c r="B4641" s="251">
        <f ca="1" t="shared" si="291"/>
        <v>39667</v>
      </c>
    </row>
    <row r="4642" spans="2:2">
      <c r="B4642" s="251">
        <f ca="1" t="shared" si="291"/>
        <v>39666</v>
      </c>
    </row>
    <row r="4643" spans="2:2">
      <c r="B4643" s="251">
        <f ca="1" t="shared" si="291"/>
        <v>39665</v>
      </c>
    </row>
    <row r="4644" spans="2:2">
      <c r="B4644" s="251">
        <f ca="1" t="shared" si="291"/>
        <v>39664</v>
      </c>
    </row>
    <row r="4645" spans="2:2">
      <c r="B4645" s="251">
        <f ca="1" t="shared" si="291"/>
        <v>39663</v>
      </c>
    </row>
    <row r="4646" spans="2:2">
      <c r="B4646" s="251">
        <f ca="1" t="shared" si="291"/>
        <v>39662</v>
      </c>
    </row>
    <row r="4647" spans="2:2">
      <c r="B4647" s="251">
        <f ca="1" t="shared" si="291"/>
        <v>39661</v>
      </c>
    </row>
    <row r="4648" spans="2:2">
      <c r="B4648" s="251">
        <f ca="1" t="shared" si="291"/>
        <v>39660</v>
      </c>
    </row>
    <row r="4649" spans="2:2">
      <c r="B4649" s="251">
        <f ca="1" t="shared" ref="B4649:B4664" si="292">B4648-1</f>
        <v>39659</v>
      </c>
    </row>
    <row r="4650" spans="2:2">
      <c r="B4650" s="251">
        <f ca="1" t="shared" si="292"/>
        <v>39658</v>
      </c>
    </row>
    <row r="4651" spans="2:2">
      <c r="B4651" s="251">
        <f ca="1" t="shared" si="292"/>
        <v>39657</v>
      </c>
    </row>
    <row r="4652" spans="2:2">
      <c r="B4652" s="251">
        <f ca="1" t="shared" si="292"/>
        <v>39656</v>
      </c>
    </row>
    <row r="4653" spans="2:2">
      <c r="B4653" s="251">
        <f ca="1" t="shared" si="292"/>
        <v>39655</v>
      </c>
    </row>
    <row r="4654" spans="2:2">
      <c r="B4654" s="251">
        <f ca="1" t="shared" si="292"/>
        <v>39654</v>
      </c>
    </row>
    <row r="4655" spans="2:2">
      <c r="B4655" s="251">
        <f ca="1" t="shared" si="292"/>
        <v>39653</v>
      </c>
    </row>
    <row r="4656" spans="2:2">
      <c r="B4656" s="251">
        <f ca="1" t="shared" si="292"/>
        <v>39652</v>
      </c>
    </row>
    <row r="4657" spans="2:2">
      <c r="B4657" s="251">
        <f ca="1" t="shared" si="292"/>
        <v>39651</v>
      </c>
    </row>
    <row r="4658" spans="2:2">
      <c r="B4658" s="251">
        <f ca="1" t="shared" si="292"/>
        <v>39650</v>
      </c>
    </row>
    <row r="4659" spans="2:2">
      <c r="B4659" s="251">
        <f ca="1" t="shared" si="292"/>
        <v>39649</v>
      </c>
    </row>
    <row r="4660" spans="2:2">
      <c r="B4660" s="251">
        <f ca="1" t="shared" si="292"/>
        <v>39648</v>
      </c>
    </row>
    <row r="4661" spans="2:2">
      <c r="B4661" s="251">
        <f ca="1" t="shared" si="292"/>
        <v>39647</v>
      </c>
    </row>
    <row r="4662" spans="2:2">
      <c r="B4662" s="251">
        <f ca="1" t="shared" si="292"/>
        <v>39646</v>
      </c>
    </row>
    <row r="4663" spans="2:2">
      <c r="B4663" s="251">
        <f ca="1" t="shared" si="292"/>
        <v>39645</v>
      </c>
    </row>
    <row r="4664" spans="2:2">
      <c r="B4664" s="251">
        <f ca="1" t="shared" si="292"/>
        <v>39644</v>
      </c>
    </row>
    <row r="4665" spans="2:2">
      <c r="B4665" s="251">
        <f ca="1" t="shared" ref="B4665:B4680" si="293">B4664-1</f>
        <v>39643</v>
      </c>
    </row>
    <row r="4666" spans="2:2">
      <c r="B4666" s="251">
        <f ca="1" t="shared" si="293"/>
        <v>39642</v>
      </c>
    </row>
    <row r="4667" spans="2:2">
      <c r="B4667" s="251">
        <f ca="1" t="shared" si="293"/>
        <v>39641</v>
      </c>
    </row>
    <row r="4668" spans="2:2">
      <c r="B4668" s="251">
        <f ca="1" t="shared" si="293"/>
        <v>39640</v>
      </c>
    </row>
    <row r="4669" spans="2:2">
      <c r="B4669" s="251">
        <f ca="1" t="shared" si="293"/>
        <v>39639</v>
      </c>
    </row>
    <row r="4670" spans="2:2">
      <c r="B4670" s="251">
        <f ca="1" t="shared" si="293"/>
        <v>39638</v>
      </c>
    </row>
    <row r="4671" spans="2:2">
      <c r="B4671" s="251">
        <f ca="1" t="shared" si="293"/>
        <v>39637</v>
      </c>
    </row>
    <row r="4672" spans="2:2">
      <c r="B4672" s="251">
        <f ca="1" t="shared" si="293"/>
        <v>39636</v>
      </c>
    </row>
    <row r="4673" spans="2:2">
      <c r="B4673" s="251">
        <f ca="1" t="shared" si="293"/>
        <v>39635</v>
      </c>
    </row>
    <row r="4674" spans="2:2">
      <c r="B4674" s="251">
        <f ca="1" t="shared" si="293"/>
        <v>39634</v>
      </c>
    </row>
    <row r="4675" spans="2:2">
      <c r="B4675" s="251">
        <f ca="1" t="shared" si="293"/>
        <v>39633</v>
      </c>
    </row>
    <row r="4676" spans="2:2">
      <c r="B4676" s="251">
        <f ca="1" t="shared" si="293"/>
        <v>39632</v>
      </c>
    </row>
    <row r="4677" spans="2:2">
      <c r="B4677" s="251">
        <f ca="1" t="shared" si="293"/>
        <v>39631</v>
      </c>
    </row>
    <row r="4678" spans="2:2">
      <c r="B4678" s="251">
        <f ca="1" t="shared" si="293"/>
        <v>39630</v>
      </c>
    </row>
    <row r="4679" spans="2:2">
      <c r="B4679" s="251">
        <f ca="1" t="shared" si="293"/>
        <v>39629</v>
      </c>
    </row>
    <row r="4680" spans="2:2">
      <c r="B4680" s="251">
        <f ca="1" t="shared" si="293"/>
        <v>39628</v>
      </c>
    </row>
    <row r="4681" spans="2:2">
      <c r="B4681" s="251">
        <f ca="1" t="shared" ref="B4681:B4696" si="294">B4680-1</f>
        <v>39627</v>
      </c>
    </row>
    <row r="4682" spans="2:2">
      <c r="B4682" s="251">
        <f ca="1" t="shared" si="294"/>
        <v>39626</v>
      </c>
    </row>
    <row r="4683" spans="2:2">
      <c r="B4683" s="251">
        <f ca="1" t="shared" si="294"/>
        <v>39625</v>
      </c>
    </row>
    <row r="4684" spans="2:2">
      <c r="B4684" s="251">
        <f ca="1" t="shared" si="294"/>
        <v>39624</v>
      </c>
    </row>
    <row r="4685" spans="2:2">
      <c r="B4685" s="251">
        <f ca="1" t="shared" si="294"/>
        <v>39623</v>
      </c>
    </row>
    <row r="4686" spans="2:2">
      <c r="B4686" s="251">
        <f ca="1" t="shared" si="294"/>
        <v>39622</v>
      </c>
    </row>
    <row r="4687" spans="2:2">
      <c r="B4687" s="251">
        <f ca="1" t="shared" si="294"/>
        <v>39621</v>
      </c>
    </row>
    <row r="4688" spans="2:2">
      <c r="B4688" s="251">
        <f ca="1" t="shared" si="294"/>
        <v>39620</v>
      </c>
    </row>
    <row r="4689" spans="2:2">
      <c r="B4689" s="251">
        <f ca="1" t="shared" si="294"/>
        <v>39619</v>
      </c>
    </row>
    <row r="4690" spans="2:2">
      <c r="B4690" s="251">
        <f ca="1" t="shared" si="294"/>
        <v>39618</v>
      </c>
    </row>
    <row r="4691" spans="2:2">
      <c r="B4691" s="251">
        <f ca="1" t="shared" si="294"/>
        <v>39617</v>
      </c>
    </row>
    <row r="4692" spans="2:2">
      <c r="B4692" s="251">
        <f ca="1" t="shared" si="294"/>
        <v>39616</v>
      </c>
    </row>
    <row r="4693" spans="2:2">
      <c r="B4693" s="251">
        <f ca="1" t="shared" si="294"/>
        <v>39615</v>
      </c>
    </row>
    <row r="4694" spans="2:2">
      <c r="B4694" s="251">
        <f ca="1" t="shared" si="294"/>
        <v>39614</v>
      </c>
    </row>
    <row r="4695" spans="2:2">
      <c r="B4695" s="251">
        <f ca="1" t="shared" si="294"/>
        <v>39613</v>
      </c>
    </row>
    <row r="4696" spans="2:2">
      <c r="B4696" s="251">
        <f ca="1" t="shared" si="294"/>
        <v>39612</v>
      </c>
    </row>
    <row r="4697" spans="2:2">
      <c r="B4697" s="251">
        <f ca="1" t="shared" ref="B4697:B4712" si="295">B4696-1</f>
        <v>39611</v>
      </c>
    </row>
    <row r="4698" spans="2:2">
      <c r="B4698" s="251">
        <f ca="1" t="shared" si="295"/>
        <v>39610</v>
      </c>
    </row>
    <row r="4699" spans="2:2">
      <c r="B4699" s="251">
        <f ca="1" t="shared" si="295"/>
        <v>39609</v>
      </c>
    </row>
    <row r="4700" spans="2:2">
      <c r="B4700" s="251">
        <f ca="1" t="shared" si="295"/>
        <v>39608</v>
      </c>
    </row>
    <row r="4701" spans="2:2">
      <c r="B4701" s="251">
        <f ca="1" t="shared" si="295"/>
        <v>39607</v>
      </c>
    </row>
    <row r="4702" spans="2:2">
      <c r="B4702" s="251">
        <f ca="1" t="shared" si="295"/>
        <v>39606</v>
      </c>
    </row>
    <row r="4703" spans="2:2">
      <c r="B4703" s="251">
        <f ca="1" t="shared" si="295"/>
        <v>39605</v>
      </c>
    </row>
    <row r="4704" spans="2:2">
      <c r="B4704" s="251">
        <f ca="1" t="shared" si="295"/>
        <v>39604</v>
      </c>
    </row>
    <row r="4705" spans="2:2">
      <c r="B4705" s="251">
        <f ca="1" t="shared" si="295"/>
        <v>39603</v>
      </c>
    </row>
    <row r="4706" spans="2:2">
      <c r="B4706" s="251">
        <f ca="1" t="shared" si="295"/>
        <v>39602</v>
      </c>
    </row>
    <row r="4707" spans="2:2">
      <c r="B4707" s="251">
        <f ca="1" t="shared" si="295"/>
        <v>39601</v>
      </c>
    </row>
    <row r="4708" spans="2:2">
      <c r="B4708" s="251">
        <f ca="1" t="shared" si="295"/>
        <v>39600</v>
      </c>
    </row>
    <row r="4709" spans="2:2">
      <c r="B4709" s="251">
        <f ca="1" t="shared" si="295"/>
        <v>39599</v>
      </c>
    </row>
    <row r="4710" spans="2:2">
      <c r="B4710" s="251">
        <f ca="1" t="shared" si="295"/>
        <v>39598</v>
      </c>
    </row>
    <row r="4711" spans="2:2">
      <c r="B4711" s="251">
        <f ca="1" t="shared" si="295"/>
        <v>39597</v>
      </c>
    </row>
    <row r="4712" spans="2:2">
      <c r="B4712" s="251">
        <f ca="1" t="shared" si="295"/>
        <v>39596</v>
      </c>
    </row>
    <row r="4713" spans="2:2">
      <c r="B4713" s="251">
        <f ca="1" t="shared" ref="B4713:B4728" si="296">B4712-1</f>
        <v>39595</v>
      </c>
    </row>
    <row r="4714" spans="2:2">
      <c r="B4714" s="251">
        <f ca="1" t="shared" si="296"/>
        <v>39594</v>
      </c>
    </row>
    <row r="4715" spans="2:2">
      <c r="B4715" s="251">
        <f ca="1" t="shared" si="296"/>
        <v>39593</v>
      </c>
    </row>
    <row r="4716" spans="2:2">
      <c r="B4716" s="251">
        <f ca="1" t="shared" si="296"/>
        <v>39592</v>
      </c>
    </row>
    <row r="4717" spans="2:2">
      <c r="B4717" s="251">
        <f ca="1" t="shared" si="296"/>
        <v>39591</v>
      </c>
    </row>
    <row r="4718" spans="2:2">
      <c r="B4718" s="251">
        <f ca="1" t="shared" si="296"/>
        <v>39590</v>
      </c>
    </row>
    <row r="4719" spans="2:2">
      <c r="B4719" s="251">
        <f ca="1" t="shared" si="296"/>
        <v>39589</v>
      </c>
    </row>
    <row r="4720" spans="2:2">
      <c r="B4720" s="251">
        <f ca="1" t="shared" si="296"/>
        <v>39588</v>
      </c>
    </row>
    <row r="4721" spans="2:2">
      <c r="B4721" s="251">
        <f ca="1" t="shared" si="296"/>
        <v>39587</v>
      </c>
    </row>
    <row r="4722" spans="2:2">
      <c r="B4722" s="251">
        <f ca="1" t="shared" si="296"/>
        <v>39586</v>
      </c>
    </row>
    <row r="4723" spans="2:2">
      <c r="B4723" s="251">
        <f ca="1" t="shared" si="296"/>
        <v>39585</v>
      </c>
    </row>
    <row r="4724" spans="2:2">
      <c r="B4724" s="251">
        <f ca="1" t="shared" si="296"/>
        <v>39584</v>
      </c>
    </row>
    <row r="4725" spans="2:2">
      <c r="B4725" s="251">
        <f ca="1" t="shared" si="296"/>
        <v>39583</v>
      </c>
    </row>
    <row r="4726" spans="2:2">
      <c r="B4726" s="251">
        <f ca="1" t="shared" si="296"/>
        <v>39582</v>
      </c>
    </row>
    <row r="4727" spans="2:2">
      <c r="B4727" s="251">
        <f ca="1" t="shared" si="296"/>
        <v>39581</v>
      </c>
    </row>
    <row r="4728" spans="2:2">
      <c r="B4728" s="251">
        <f ca="1" t="shared" si="296"/>
        <v>39580</v>
      </c>
    </row>
    <row r="4729" spans="2:2">
      <c r="B4729" s="251">
        <f ca="1" t="shared" ref="B4729:B4744" si="297">B4728-1</f>
        <v>39579</v>
      </c>
    </row>
    <row r="4730" spans="2:2">
      <c r="B4730" s="251">
        <f ca="1" t="shared" si="297"/>
        <v>39578</v>
      </c>
    </row>
    <row r="4731" spans="2:2">
      <c r="B4731" s="251">
        <f ca="1" t="shared" si="297"/>
        <v>39577</v>
      </c>
    </row>
    <row r="4732" spans="2:2">
      <c r="B4732" s="251">
        <f ca="1" t="shared" si="297"/>
        <v>39576</v>
      </c>
    </row>
    <row r="4733" spans="2:2">
      <c r="B4733" s="251">
        <f ca="1" t="shared" si="297"/>
        <v>39575</v>
      </c>
    </row>
    <row r="4734" spans="2:2">
      <c r="B4734" s="251">
        <f ca="1" t="shared" si="297"/>
        <v>39574</v>
      </c>
    </row>
    <row r="4735" spans="2:2">
      <c r="B4735" s="251">
        <f ca="1" t="shared" si="297"/>
        <v>39573</v>
      </c>
    </row>
    <row r="4736" spans="2:2">
      <c r="B4736" s="251">
        <f ca="1" t="shared" si="297"/>
        <v>39572</v>
      </c>
    </row>
    <row r="4737" spans="2:2">
      <c r="B4737" s="251">
        <f ca="1" t="shared" si="297"/>
        <v>39571</v>
      </c>
    </row>
    <row r="4738" spans="2:2">
      <c r="B4738" s="251">
        <f ca="1" t="shared" si="297"/>
        <v>39570</v>
      </c>
    </row>
    <row r="4739" spans="2:2">
      <c r="B4739" s="251">
        <f ca="1" t="shared" si="297"/>
        <v>39569</v>
      </c>
    </row>
    <row r="4740" spans="2:2">
      <c r="B4740" s="251">
        <f ca="1" t="shared" si="297"/>
        <v>39568</v>
      </c>
    </row>
    <row r="4741" spans="2:2">
      <c r="B4741" s="251">
        <f ca="1" t="shared" si="297"/>
        <v>39567</v>
      </c>
    </row>
    <row r="4742" spans="2:2">
      <c r="B4742" s="251">
        <f ca="1" t="shared" si="297"/>
        <v>39566</v>
      </c>
    </row>
    <row r="4743" spans="2:2">
      <c r="B4743" s="251">
        <f ca="1" t="shared" si="297"/>
        <v>39565</v>
      </c>
    </row>
    <row r="4744" spans="2:2">
      <c r="B4744" s="251">
        <f ca="1" t="shared" si="297"/>
        <v>39564</v>
      </c>
    </row>
    <row r="4745" spans="2:2">
      <c r="B4745" s="251">
        <f ca="1" t="shared" ref="B4745:B4760" si="298">B4744-1</f>
        <v>39563</v>
      </c>
    </row>
    <row r="4746" spans="2:2">
      <c r="B4746" s="251">
        <f ca="1" t="shared" si="298"/>
        <v>39562</v>
      </c>
    </row>
    <row r="4747" spans="2:2">
      <c r="B4747" s="251">
        <f ca="1" t="shared" si="298"/>
        <v>39561</v>
      </c>
    </row>
    <row r="4748" spans="2:2">
      <c r="B4748" s="251">
        <f ca="1" t="shared" si="298"/>
        <v>39560</v>
      </c>
    </row>
    <row r="4749" spans="2:2">
      <c r="B4749" s="251">
        <f ca="1" t="shared" si="298"/>
        <v>39559</v>
      </c>
    </row>
    <row r="4750" spans="2:2">
      <c r="B4750" s="251">
        <f ca="1" t="shared" si="298"/>
        <v>39558</v>
      </c>
    </row>
    <row r="4751" spans="2:2">
      <c r="B4751" s="251">
        <f ca="1" t="shared" si="298"/>
        <v>39557</v>
      </c>
    </row>
    <row r="4752" spans="2:2">
      <c r="B4752" s="251">
        <f ca="1" t="shared" si="298"/>
        <v>39556</v>
      </c>
    </row>
    <row r="4753" spans="2:2">
      <c r="B4753" s="251">
        <f ca="1" t="shared" si="298"/>
        <v>39555</v>
      </c>
    </row>
    <row r="4754" spans="2:2">
      <c r="B4754" s="251">
        <f ca="1" t="shared" si="298"/>
        <v>39554</v>
      </c>
    </row>
    <row r="4755" spans="2:2">
      <c r="B4755" s="251">
        <f ca="1" t="shared" si="298"/>
        <v>39553</v>
      </c>
    </row>
    <row r="4756" spans="2:2">
      <c r="B4756" s="251">
        <f ca="1" t="shared" si="298"/>
        <v>39552</v>
      </c>
    </row>
    <row r="4757" spans="2:2">
      <c r="B4757" s="251">
        <f ca="1" t="shared" si="298"/>
        <v>39551</v>
      </c>
    </row>
    <row r="4758" spans="2:2">
      <c r="B4758" s="251">
        <f ca="1" t="shared" si="298"/>
        <v>39550</v>
      </c>
    </row>
    <row r="4759" spans="2:2">
      <c r="B4759" s="251">
        <f ca="1" t="shared" si="298"/>
        <v>39549</v>
      </c>
    </row>
    <row r="4760" spans="2:2">
      <c r="B4760" s="251">
        <f ca="1" t="shared" si="298"/>
        <v>39548</v>
      </c>
    </row>
    <row r="4761" spans="2:2">
      <c r="B4761" s="251">
        <f ca="1" t="shared" ref="B4761:B4776" si="299">B4760-1</f>
        <v>39547</v>
      </c>
    </row>
    <row r="4762" spans="2:2">
      <c r="B4762" s="251">
        <f ca="1" t="shared" si="299"/>
        <v>39546</v>
      </c>
    </row>
    <row r="4763" spans="2:2">
      <c r="B4763" s="251">
        <f ca="1" t="shared" si="299"/>
        <v>39545</v>
      </c>
    </row>
    <row r="4764" spans="2:2">
      <c r="B4764" s="251">
        <f ca="1" t="shared" si="299"/>
        <v>39544</v>
      </c>
    </row>
    <row r="4765" spans="2:2">
      <c r="B4765" s="251">
        <f ca="1" t="shared" si="299"/>
        <v>39543</v>
      </c>
    </row>
    <row r="4766" spans="2:2">
      <c r="B4766" s="251">
        <f ca="1" t="shared" si="299"/>
        <v>39542</v>
      </c>
    </row>
    <row r="4767" spans="2:2">
      <c r="B4767" s="251">
        <f ca="1" t="shared" si="299"/>
        <v>39541</v>
      </c>
    </row>
    <row r="4768" spans="2:2">
      <c r="B4768" s="251">
        <f ca="1" t="shared" si="299"/>
        <v>39540</v>
      </c>
    </row>
    <row r="4769" spans="2:2">
      <c r="B4769" s="251">
        <f ca="1" t="shared" si="299"/>
        <v>39539</v>
      </c>
    </row>
    <row r="4770" spans="2:2">
      <c r="B4770" s="251">
        <f ca="1" t="shared" si="299"/>
        <v>39538</v>
      </c>
    </row>
    <row r="4771" spans="2:2">
      <c r="B4771" s="251">
        <f ca="1" t="shared" si="299"/>
        <v>39537</v>
      </c>
    </row>
    <row r="4772" spans="2:2">
      <c r="B4772" s="251">
        <f ca="1" t="shared" si="299"/>
        <v>39536</v>
      </c>
    </row>
    <row r="4773" spans="2:2">
      <c r="B4773" s="251">
        <f ca="1" t="shared" si="299"/>
        <v>39535</v>
      </c>
    </row>
    <row r="4774" spans="2:2">
      <c r="B4774" s="251">
        <f ca="1" t="shared" si="299"/>
        <v>39534</v>
      </c>
    </row>
    <row r="4775" spans="2:2">
      <c r="B4775" s="251">
        <f ca="1" t="shared" si="299"/>
        <v>39533</v>
      </c>
    </row>
    <row r="4776" spans="2:2">
      <c r="B4776" s="251">
        <f ca="1" t="shared" si="299"/>
        <v>39532</v>
      </c>
    </row>
    <row r="4777" spans="2:2">
      <c r="B4777" s="251">
        <f ca="1" t="shared" ref="B4777:B4792" si="300">B4776-1</f>
        <v>39531</v>
      </c>
    </row>
    <row r="4778" spans="2:2">
      <c r="B4778" s="251">
        <f ca="1" t="shared" si="300"/>
        <v>39530</v>
      </c>
    </row>
    <row r="4779" spans="2:2">
      <c r="B4779" s="251">
        <f ca="1" t="shared" si="300"/>
        <v>39529</v>
      </c>
    </row>
    <row r="4780" spans="2:2">
      <c r="B4780" s="251">
        <f ca="1" t="shared" si="300"/>
        <v>39528</v>
      </c>
    </row>
    <row r="4781" spans="2:2">
      <c r="B4781" s="251">
        <f ca="1" t="shared" si="300"/>
        <v>39527</v>
      </c>
    </row>
    <row r="4782" spans="2:2">
      <c r="B4782" s="251">
        <f ca="1" t="shared" si="300"/>
        <v>39526</v>
      </c>
    </row>
    <row r="4783" spans="2:2">
      <c r="B4783" s="251">
        <f ca="1" t="shared" si="300"/>
        <v>39525</v>
      </c>
    </row>
    <row r="4784" spans="2:2">
      <c r="B4784" s="251">
        <f ca="1" t="shared" si="300"/>
        <v>39524</v>
      </c>
    </row>
    <row r="4785" spans="2:2">
      <c r="B4785" s="251">
        <f ca="1" t="shared" si="300"/>
        <v>39523</v>
      </c>
    </row>
    <row r="4786" spans="2:2">
      <c r="B4786" s="251">
        <f ca="1" t="shared" si="300"/>
        <v>39522</v>
      </c>
    </row>
    <row r="4787" spans="2:2">
      <c r="B4787" s="251">
        <f ca="1" t="shared" si="300"/>
        <v>39521</v>
      </c>
    </row>
    <row r="4788" spans="2:2">
      <c r="B4788" s="251">
        <f ca="1" t="shared" si="300"/>
        <v>39520</v>
      </c>
    </row>
    <row r="4789" spans="2:2">
      <c r="B4789" s="251">
        <f ca="1" t="shared" si="300"/>
        <v>39519</v>
      </c>
    </row>
    <row r="4790" spans="2:2">
      <c r="B4790" s="251">
        <f ca="1" t="shared" si="300"/>
        <v>39518</v>
      </c>
    </row>
    <row r="4791" spans="2:2">
      <c r="B4791" s="251">
        <f ca="1" t="shared" si="300"/>
        <v>39517</v>
      </c>
    </row>
    <row r="4792" spans="2:2">
      <c r="B4792" s="251">
        <f ca="1" t="shared" si="300"/>
        <v>39516</v>
      </c>
    </row>
    <row r="4793" spans="2:2">
      <c r="B4793" s="251">
        <f ca="1" t="shared" ref="B4793:B4808" si="301">B4792-1</f>
        <v>39515</v>
      </c>
    </row>
    <row r="4794" spans="2:2">
      <c r="B4794" s="251">
        <f ca="1" t="shared" si="301"/>
        <v>39514</v>
      </c>
    </row>
    <row r="4795" spans="2:2">
      <c r="B4795" s="251">
        <f ca="1" t="shared" si="301"/>
        <v>39513</v>
      </c>
    </row>
    <row r="4796" spans="2:2">
      <c r="B4796" s="251">
        <f ca="1" t="shared" si="301"/>
        <v>39512</v>
      </c>
    </row>
    <row r="4797" spans="2:2">
      <c r="B4797" s="251">
        <f ca="1" t="shared" si="301"/>
        <v>39511</v>
      </c>
    </row>
    <row r="4798" spans="2:2">
      <c r="B4798" s="251">
        <f ca="1" t="shared" si="301"/>
        <v>39510</v>
      </c>
    </row>
    <row r="4799" spans="2:2">
      <c r="B4799" s="251">
        <f ca="1" t="shared" si="301"/>
        <v>39509</v>
      </c>
    </row>
    <row r="4800" spans="2:2">
      <c r="B4800" s="251">
        <f ca="1" t="shared" si="301"/>
        <v>39508</v>
      </c>
    </row>
    <row r="4801" spans="2:2">
      <c r="B4801" s="251">
        <f ca="1" t="shared" si="301"/>
        <v>39507</v>
      </c>
    </row>
    <row r="4802" spans="2:2">
      <c r="B4802" s="251">
        <f ca="1" t="shared" si="301"/>
        <v>39506</v>
      </c>
    </row>
    <row r="4803" spans="2:2">
      <c r="B4803" s="251">
        <f ca="1" t="shared" si="301"/>
        <v>39505</v>
      </c>
    </row>
    <row r="4804" spans="2:2">
      <c r="B4804" s="251">
        <f ca="1" t="shared" si="301"/>
        <v>39504</v>
      </c>
    </row>
    <row r="4805" spans="2:2">
      <c r="B4805" s="251">
        <f ca="1" t="shared" si="301"/>
        <v>39503</v>
      </c>
    </row>
    <row r="4806" spans="2:2">
      <c r="B4806" s="251">
        <f ca="1" t="shared" si="301"/>
        <v>39502</v>
      </c>
    </row>
    <row r="4807" spans="2:2">
      <c r="B4807" s="251">
        <f ca="1" t="shared" si="301"/>
        <v>39501</v>
      </c>
    </row>
    <row r="4808" spans="2:2">
      <c r="B4808" s="251">
        <f ca="1" t="shared" si="301"/>
        <v>39500</v>
      </c>
    </row>
    <row r="4809" spans="2:2">
      <c r="B4809" s="251">
        <f ca="1" t="shared" ref="B4809:B4824" si="302">B4808-1</f>
        <v>39499</v>
      </c>
    </row>
    <row r="4810" spans="2:2">
      <c r="B4810" s="251">
        <f ca="1" t="shared" si="302"/>
        <v>39498</v>
      </c>
    </row>
    <row r="4811" spans="2:2">
      <c r="B4811" s="251">
        <f ca="1" t="shared" si="302"/>
        <v>39497</v>
      </c>
    </row>
    <row r="4812" spans="2:2">
      <c r="B4812" s="251">
        <f ca="1" t="shared" si="302"/>
        <v>39496</v>
      </c>
    </row>
    <row r="4813" spans="2:2">
      <c r="B4813" s="251">
        <f ca="1" t="shared" si="302"/>
        <v>39495</v>
      </c>
    </row>
    <row r="4814" spans="2:2">
      <c r="B4814" s="251">
        <f ca="1" t="shared" si="302"/>
        <v>39494</v>
      </c>
    </row>
    <row r="4815" spans="2:2">
      <c r="B4815" s="251">
        <f ca="1" t="shared" si="302"/>
        <v>39493</v>
      </c>
    </row>
    <row r="4816" spans="2:2">
      <c r="B4816" s="251">
        <f ca="1" t="shared" si="302"/>
        <v>39492</v>
      </c>
    </row>
    <row r="4817" spans="2:2">
      <c r="B4817" s="251">
        <f ca="1" t="shared" si="302"/>
        <v>39491</v>
      </c>
    </row>
    <row r="4818" spans="2:2">
      <c r="B4818" s="251">
        <f ca="1" t="shared" si="302"/>
        <v>39490</v>
      </c>
    </row>
    <row r="4819" spans="2:2">
      <c r="B4819" s="251">
        <f ca="1" t="shared" si="302"/>
        <v>39489</v>
      </c>
    </row>
    <row r="4820" spans="2:2">
      <c r="B4820" s="251">
        <f ca="1" t="shared" si="302"/>
        <v>39488</v>
      </c>
    </row>
    <row r="4821" spans="2:2">
      <c r="B4821" s="251">
        <f ca="1" t="shared" si="302"/>
        <v>39487</v>
      </c>
    </row>
    <row r="4822" spans="2:2">
      <c r="B4822" s="251">
        <f ca="1" t="shared" si="302"/>
        <v>39486</v>
      </c>
    </row>
    <row r="4823" spans="2:2">
      <c r="B4823" s="251">
        <f ca="1" t="shared" si="302"/>
        <v>39485</v>
      </c>
    </row>
    <row r="4824" spans="2:2">
      <c r="B4824" s="251">
        <f ca="1" t="shared" si="302"/>
        <v>39484</v>
      </c>
    </row>
    <row r="4825" spans="2:2">
      <c r="B4825" s="251">
        <f ca="1" t="shared" ref="B4825:B4840" si="303">B4824-1</f>
        <v>39483</v>
      </c>
    </row>
    <row r="4826" spans="2:2">
      <c r="B4826" s="251">
        <f ca="1" t="shared" si="303"/>
        <v>39482</v>
      </c>
    </row>
    <row r="4827" spans="2:2">
      <c r="B4827" s="251">
        <f ca="1" t="shared" si="303"/>
        <v>39481</v>
      </c>
    </row>
    <row r="4828" spans="2:2">
      <c r="B4828" s="251">
        <f ca="1" t="shared" si="303"/>
        <v>39480</v>
      </c>
    </row>
    <row r="4829" spans="2:2">
      <c r="B4829" s="251">
        <f ca="1" t="shared" si="303"/>
        <v>39479</v>
      </c>
    </row>
    <row r="4830" spans="2:2">
      <c r="B4830" s="251">
        <f ca="1" t="shared" si="303"/>
        <v>39478</v>
      </c>
    </row>
    <row r="4831" spans="2:2">
      <c r="B4831" s="251">
        <f ca="1" t="shared" si="303"/>
        <v>39477</v>
      </c>
    </row>
    <row r="4832" spans="2:2">
      <c r="B4832" s="251">
        <f ca="1" t="shared" si="303"/>
        <v>39476</v>
      </c>
    </row>
    <row r="4833" spans="2:2">
      <c r="B4833" s="251">
        <f ca="1" t="shared" si="303"/>
        <v>39475</v>
      </c>
    </row>
    <row r="4834" spans="2:2">
      <c r="B4834" s="251">
        <f ca="1" t="shared" si="303"/>
        <v>39474</v>
      </c>
    </row>
    <row r="4835" spans="2:2">
      <c r="B4835" s="251">
        <f ca="1" t="shared" si="303"/>
        <v>39473</v>
      </c>
    </row>
    <row r="4836" spans="2:2">
      <c r="B4836" s="251">
        <f ca="1" t="shared" si="303"/>
        <v>39472</v>
      </c>
    </row>
    <row r="4837" spans="2:2">
      <c r="B4837" s="251">
        <f ca="1" t="shared" si="303"/>
        <v>39471</v>
      </c>
    </row>
    <row r="4838" spans="2:2">
      <c r="B4838" s="251">
        <f ca="1" t="shared" si="303"/>
        <v>39470</v>
      </c>
    </row>
    <row r="4839" spans="2:2">
      <c r="B4839" s="251">
        <f ca="1" t="shared" si="303"/>
        <v>39469</v>
      </c>
    </row>
    <row r="4840" spans="2:2">
      <c r="B4840" s="251">
        <f ca="1" t="shared" si="303"/>
        <v>39468</v>
      </c>
    </row>
    <row r="4841" spans="2:2">
      <c r="B4841" s="251">
        <f ca="1" t="shared" ref="B4841:B4856" si="304">B4840-1</f>
        <v>39467</v>
      </c>
    </row>
    <row r="4842" spans="2:2">
      <c r="B4842" s="251">
        <f ca="1" t="shared" si="304"/>
        <v>39466</v>
      </c>
    </row>
    <row r="4843" spans="2:2">
      <c r="B4843" s="251">
        <f ca="1" t="shared" si="304"/>
        <v>39465</v>
      </c>
    </row>
    <row r="4844" spans="2:2">
      <c r="B4844" s="251">
        <f ca="1" t="shared" si="304"/>
        <v>39464</v>
      </c>
    </row>
    <row r="4845" spans="2:2">
      <c r="B4845" s="251">
        <f ca="1" t="shared" si="304"/>
        <v>39463</v>
      </c>
    </row>
    <row r="4846" spans="2:2">
      <c r="B4846" s="251">
        <f ca="1" t="shared" si="304"/>
        <v>39462</v>
      </c>
    </row>
    <row r="4847" spans="2:2">
      <c r="B4847" s="251">
        <f ca="1" t="shared" si="304"/>
        <v>39461</v>
      </c>
    </row>
    <row r="4848" spans="2:2">
      <c r="B4848" s="251">
        <f ca="1" t="shared" si="304"/>
        <v>39460</v>
      </c>
    </row>
    <row r="4849" spans="2:2">
      <c r="B4849" s="251">
        <f ca="1" t="shared" si="304"/>
        <v>39459</v>
      </c>
    </row>
    <row r="4850" spans="2:2">
      <c r="B4850" s="251">
        <f ca="1" t="shared" si="304"/>
        <v>39458</v>
      </c>
    </row>
    <row r="4851" spans="2:2">
      <c r="B4851" s="251">
        <f ca="1" t="shared" si="304"/>
        <v>39457</v>
      </c>
    </row>
    <row r="4852" spans="2:2">
      <c r="B4852" s="251">
        <f ca="1" t="shared" si="304"/>
        <v>39456</v>
      </c>
    </row>
    <row r="4853" spans="2:2">
      <c r="B4853" s="251">
        <f ca="1" t="shared" si="304"/>
        <v>39455</v>
      </c>
    </row>
    <row r="4854" spans="2:2">
      <c r="B4854" s="251">
        <f ca="1" t="shared" si="304"/>
        <v>39454</v>
      </c>
    </row>
    <row r="4855" spans="2:2">
      <c r="B4855" s="251">
        <f ca="1" t="shared" si="304"/>
        <v>39453</v>
      </c>
    </row>
    <row r="4856" spans="2:2">
      <c r="B4856" s="251">
        <f ca="1" t="shared" si="304"/>
        <v>39452</v>
      </c>
    </row>
    <row r="4857" spans="2:2">
      <c r="B4857" s="251">
        <f ca="1" t="shared" ref="B4857:B4872" si="305">B4856-1</f>
        <v>39451</v>
      </c>
    </row>
    <row r="4858" spans="2:2">
      <c r="B4858" s="251">
        <f ca="1" t="shared" si="305"/>
        <v>39450</v>
      </c>
    </row>
    <row r="4859" spans="2:2">
      <c r="B4859" s="251">
        <f ca="1" t="shared" si="305"/>
        <v>39449</v>
      </c>
    </row>
    <row r="4860" spans="2:2">
      <c r="B4860" s="251">
        <f ca="1" t="shared" si="305"/>
        <v>39448</v>
      </c>
    </row>
    <row r="4861" spans="2:2">
      <c r="B4861" s="251">
        <f ca="1" t="shared" si="305"/>
        <v>39447</v>
      </c>
    </row>
    <row r="4862" spans="2:2">
      <c r="B4862" s="251">
        <f ca="1" t="shared" si="305"/>
        <v>39446</v>
      </c>
    </row>
    <row r="4863" spans="2:2">
      <c r="B4863" s="251">
        <f ca="1" t="shared" si="305"/>
        <v>39445</v>
      </c>
    </row>
    <row r="4864" spans="2:2">
      <c r="B4864" s="251">
        <f ca="1" t="shared" si="305"/>
        <v>39444</v>
      </c>
    </row>
    <row r="4865" spans="2:2">
      <c r="B4865" s="251">
        <f ca="1" t="shared" si="305"/>
        <v>39443</v>
      </c>
    </row>
    <row r="4866" spans="2:2">
      <c r="B4866" s="251">
        <f ca="1" t="shared" si="305"/>
        <v>39442</v>
      </c>
    </row>
    <row r="4867" spans="2:2">
      <c r="B4867" s="251">
        <f ca="1" t="shared" si="305"/>
        <v>39441</v>
      </c>
    </row>
    <row r="4868" spans="2:2">
      <c r="B4868" s="251">
        <f ca="1" t="shared" si="305"/>
        <v>39440</v>
      </c>
    </row>
    <row r="4869" spans="2:2">
      <c r="B4869" s="251">
        <f ca="1" t="shared" si="305"/>
        <v>39439</v>
      </c>
    </row>
    <row r="4870" spans="2:2">
      <c r="B4870" s="251">
        <f ca="1" t="shared" si="305"/>
        <v>39438</v>
      </c>
    </row>
    <row r="4871" spans="2:2">
      <c r="B4871" s="251">
        <f ca="1" t="shared" si="305"/>
        <v>39437</v>
      </c>
    </row>
    <row r="4872" spans="2:2">
      <c r="B4872" s="251">
        <f ca="1" t="shared" si="305"/>
        <v>39436</v>
      </c>
    </row>
    <row r="4873" spans="2:2">
      <c r="B4873" s="251">
        <f ca="1" t="shared" ref="B4873:B4888" si="306">B4872-1</f>
        <v>39435</v>
      </c>
    </row>
    <row r="4874" spans="2:2">
      <c r="B4874" s="251">
        <f ca="1" t="shared" si="306"/>
        <v>39434</v>
      </c>
    </row>
    <row r="4875" spans="2:2">
      <c r="B4875" s="251">
        <f ca="1" t="shared" si="306"/>
        <v>39433</v>
      </c>
    </row>
    <row r="4876" spans="2:2">
      <c r="B4876" s="251">
        <f ca="1" t="shared" si="306"/>
        <v>39432</v>
      </c>
    </row>
    <row r="4877" spans="2:2">
      <c r="B4877" s="251">
        <f ca="1" t="shared" si="306"/>
        <v>39431</v>
      </c>
    </row>
    <row r="4878" spans="2:2">
      <c r="B4878" s="251">
        <f ca="1" t="shared" si="306"/>
        <v>39430</v>
      </c>
    </row>
    <row r="4879" spans="2:2">
      <c r="B4879" s="251">
        <f ca="1" t="shared" si="306"/>
        <v>39429</v>
      </c>
    </row>
    <row r="4880" spans="2:2">
      <c r="B4880" s="251">
        <f ca="1" t="shared" si="306"/>
        <v>39428</v>
      </c>
    </row>
    <row r="4881" spans="2:2">
      <c r="B4881" s="251">
        <f ca="1" t="shared" si="306"/>
        <v>39427</v>
      </c>
    </row>
    <row r="4882" spans="2:2">
      <c r="B4882" s="251">
        <f ca="1" t="shared" si="306"/>
        <v>39426</v>
      </c>
    </row>
    <row r="4883" spans="2:2">
      <c r="B4883" s="251">
        <f ca="1" t="shared" si="306"/>
        <v>39425</v>
      </c>
    </row>
    <row r="4884" spans="2:2">
      <c r="B4884" s="251">
        <f ca="1" t="shared" si="306"/>
        <v>39424</v>
      </c>
    </row>
    <row r="4885" spans="2:2">
      <c r="B4885" s="251">
        <f ca="1" t="shared" si="306"/>
        <v>39423</v>
      </c>
    </row>
    <row r="4886" spans="2:2">
      <c r="B4886" s="251">
        <f ca="1" t="shared" si="306"/>
        <v>39422</v>
      </c>
    </row>
    <row r="4887" spans="2:2">
      <c r="B4887" s="251">
        <f ca="1" t="shared" si="306"/>
        <v>39421</v>
      </c>
    </row>
    <row r="4888" spans="2:2">
      <c r="B4888" s="251">
        <f ca="1" t="shared" si="306"/>
        <v>39420</v>
      </c>
    </row>
    <row r="4889" spans="2:2">
      <c r="B4889" s="251">
        <f ca="1" t="shared" ref="B4889:B4904" si="307">B4888-1</f>
        <v>39419</v>
      </c>
    </row>
    <row r="4890" spans="2:2">
      <c r="B4890" s="251">
        <f ca="1" t="shared" si="307"/>
        <v>39418</v>
      </c>
    </row>
    <row r="4891" spans="2:2">
      <c r="B4891" s="251">
        <f ca="1" t="shared" si="307"/>
        <v>39417</v>
      </c>
    </row>
    <row r="4892" spans="2:2">
      <c r="B4892" s="251">
        <f ca="1" t="shared" si="307"/>
        <v>39416</v>
      </c>
    </row>
    <row r="4893" spans="2:2">
      <c r="B4893" s="251">
        <f ca="1" t="shared" si="307"/>
        <v>39415</v>
      </c>
    </row>
    <row r="4894" spans="2:2">
      <c r="B4894" s="251">
        <f ca="1" t="shared" si="307"/>
        <v>39414</v>
      </c>
    </row>
    <row r="4895" spans="2:2">
      <c r="B4895" s="251">
        <f ca="1" t="shared" si="307"/>
        <v>39413</v>
      </c>
    </row>
    <row r="4896" spans="2:2">
      <c r="B4896" s="251">
        <f ca="1" t="shared" si="307"/>
        <v>39412</v>
      </c>
    </row>
    <row r="4897" spans="2:2">
      <c r="B4897" s="251">
        <f ca="1" t="shared" si="307"/>
        <v>39411</v>
      </c>
    </row>
    <row r="4898" spans="2:2">
      <c r="B4898" s="251">
        <f ca="1" t="shared" si="307"/>
        <v>39410</v>
      </c>
    </row>
    <row r="4899" spans="2:2">
      <c r="B4899" s="251">
        <f ca="1" t="shared" si="307"/>
        <v>39409</v>
      </c>
    </row>
    <row r="4900" spans="2:2">
      <c r="B4900" s="251">
        <f ca="1" t="shared" si="307"/>
        <v>39408</v>
      </c>
    </row>
    <row r="4901" spans="2:2">
      <c r="B4901" s="251">
        <f ca="1" t="shared" si="307"/>
        <v>39407</v>
      </c>
    </row>
    <row r="4902" spans="2:2">
      <c r="B4902" s="251">
        <f ca="1" t="shared" si="307"/>
        <v>39406</v>
      </c>
    </row>
    <row r="4903" spans="2:2">
      <c r="B4903" s="251">
        <f ca="1" t="shared" si="307"/>
        <v>39405</v>
      </c>
    </row>
    <row r="4904" spans="2:2">
      <c r="B4904" s="251">
        <f ca="1" t="shared" si="307"/>
        <v>39404</v>
      </c>
    </row>
    <row r="4905" spans="2:2">
      <c r="B4905" s="251">
        <f ca="1" t="shared" ref="B4905:B4920" si="308">B4904-1</f>
        <v>39403</v>
      </c>
    </row>
    <row r="4906" spans="2:2">
      <c r="B4906" s="251">
        <f ca="1" t="shared" si="308"/>
        <v>39402</v>
      </c>
    </row>
    <row r="4907" spans="2:2">
      <c r="B4907" s="251">
        <f ca="1" t="shared" si="308"/>
        <v>39401</v>
      </c>
    </row>
    <row r="4908" spans="2:2">
      <c r="B4908" s="251">
        <f ca="1" t="shared" si="308"/>
        <v>39400</v>
      </c>
    </row>
    <row r="4909" spans="2:2">
      <c r="B4909" s="251">
        <f ca="1" t="shared" si="308"/>
        <v>39399</v>
      </c>
    </row>
    <row r="4910" spans="2:2">
      <c r="B4910" s="251">
        <f ca="1" t="shared" si="308"/>
        <v>39398</v>
      </c>
    </row>
    <row r="4911" spans="2:2">
      <c r="B4911" s="251">
        <f ca="1" t="shared" si="308"/>
        <v>39397</v>
      </c>
    </row>
    <row r="4912" spans="2:2">
      <c r="B4912" s="251">
        <f ca="1" t="shared" si="308"/>
        <v>39396</v>
      </c>
    </row>
    <row r="4913" spans="2:2">
      <c r="B4913" s="251">
        <f ca="1" t="shared" si="308"/>
        <v>39395</v>
      </c>
    </row>
    <row r="4914" spans="2:2">
      <c r="B4914" s="251">
        <f ca="1" t="shared" si="308"/>
        <v>39394</v>
      </c>
    </row>
    <row r="4915" spans="2:2">
      <c r="B4915" s="251">
        <f ca="1" t="shared" si="308"/>
        <v>39393</v>
      </c>
    </row>
    <row r="4916" spans="2:2">
      <c r="B4916" s="251">
        <f ca="1" t="shared" si="308"/>
        <v>39392</v>
      </c>
    </row>
    <row r="4917" spans="2:2">
      <c r="B4917" s="251">
        <f ca="1" t="shared" si="308"/>
        <v>39391</v>
      </c>
    </row>
    <row r="4918" spans="2:2">
      <c r="B4918" s="251">
        <f ca="1" t="shared" si="308"/>
        <v>39390</v>
      </c>
    </row>
    <row r="4919" spans="2:2">
      <c r="B4919" s="251">
        <f ca="1" t="shared" si="308"/>
        <v>39389</v>
      </c>
    </row>
    <row r="4920" spans="2:2">
      <c r="B4920" s="251">
        <f ca="1" t="shared" si="308"/>
        <v>39388</v>
      </c>
    </row>
    <row r="4921" spans="2:2">
      <c r="B4921" s="251">
        <f ca="1" t="shared" ref="B4921:B4936" si="309">B4920-1</f>
        <v>39387</v>
      </c>
    </row>
    <row r="4922" spans="2:2">
      <c r="B4922" s="251">
        <f ca="1" t="shared" si="309"/>
        <v>39386</v>
      </c>
    </row>
    <row r="4923" spans="2:2">
      <c r="B4923" s="251">
        <f ca="1" t="shared" si="309"/>
        <v>39385</v>
      </c>
    </row>
    <row r="4924" spans="2:2">
      <c r="B4924" s="251">
        <f ca="1" t="shared" si="309"/>
        <v>39384</v>
      </c>
    </row>
    <row r="4925" spans="2:2">
      <c r="B4925" s="251">
        <f ca="1" t="shared" si="309"/>
        <v>39383</v>
      </c>
    </row>
    <row r="4926" spans="2:2">
      <c r="B4926" s="251">
        <f ca="1" t="shared" si="309"/>
        <v>39382</v>
      </c>
    </row>
    <row r="4927" spans="2:2">
      <c r="B4927" s="251">
        <f ca="1" t="shared" si="309"/>
        <v>39381</v>
      </c>
    </row>
    <row r="4928" spans="2:2">
      <c r="B4928" s="251">
        <f ca="1" t="shared" si="309"/>
        <v>39380</v>
      </c>
    </row>
    <row r="4929" spans="2:2">
      <c r="B4929" s="251">
        <f ca="1" t="shared" si="309"/>
        <v>39379</v>
      </c>
    </row>
    <row r="4930" spans="2:2">
      <c r="B4930" s="251">
        <f ca="1" t="shared" si="309"/>
        <v>39378</v>
      </c>
    </row>
    <row r="4931" spans="2:2">
      <c r="B4931" s="251">
        <f ca="1" t="shared" si="309"/>
        <v>39377</v>
      </c>
    </row>
    <row r="4932" spans="2:2">
      <c r="B4932" s="251">
        <f ca="1" t="shared" si="309"/>
        <v>39376</v>
      </c>
    </row>
    <row r="4933" spans="2:2">
      <c r="B4933" s="251">
        <f ca="1" t="shared" si="309"/>
        <v>39375</v>
      </c>
    </row>
    <row r="4934" spans="2:2">
      <c r="B4934" s="251">
        <f ca="1" t="shared" si="309"/>
        <v>39374</v>
      </c>
    </row>
    <row r="4935" spans="2:2">
      <c r="B4935" s="251">
        <f ca="1" t="shared" si="309"/>
        <v>39373</v>
      </c>
    </row>
    <row r="4936" spans="2:2">
      <c r="B4936" s="251">
        <f ca="1" t="shared" si="309"/>
        <v>39372</v>
      </c>
    </row>
    <row r="4937" spans="2:2">
      <c r="B4937" s="251">
        <f ca="1" t="shared" ref="B4937:B4952" si="310">B4936-1</f>
        <v>39371</v>
      </c>
    </row>
    <row r="4938" spans="2:2">
      <c r="B4938" s="251">
        <f ca="1" t="shared" si="310"/>
        <v>39370</v>
      </c>
    </row>
    <row r="4939" spans="2:2">
      <c r="B4939" s="251">
        <f ca="1" t="shared" si="310"/>
        <v>39369</v>
      </c>
    </row>
    <row r="4940" spans="2:2">
      <c r="B4940" s="251">
        <f ca="1" t="shared" si="310"/>
        <v>39368</v>
      </c>
    </row>
    <row r="4941" spans="2:2">
      <c r="B4941" s="251">
        <f ca="1" t="shared" si="310"/>
        <v>39367</v>
      </c>
    </row>
    <row r="4942" spans="2:2">
      <c r="B4942" s="251">
        <f ca="1" t="shared" si="310"/>
        <v>39366</v>
      </c>
    </row>
    <row r="4943" spans="2:2">
      <c r="B4943" s="251">
        <f ca="1" t="shared" si="310"/>
        <v>39365</v>
      </c>
    </row>
    <row r="4944" spans="2:2">
      <c r="B4944" s="251">
        <f ca="1" t="shared" si="310"/>
        <v>39364</v>
      </c>
    </row>
    <row r="4945" spans="2:2">
      <c r="B4945" s="251">
        <f ca="1" t="shared" si="310"/>
        <v>39363</v>
      </c>
    </row>
    <row r="4946" spans="2:2">
      <c r="B4946" s="251">
        <f ca="1" t="shared" si="310"/>
        <v>39362</v>
      </c>
    </row>
    <row r="4947" spans="2:2">
      <c r="B4947" s="251">
        <f ca="1" t="shared" si="310"/>
        <v>39361</v>
      </c>
    </row>
    <row r="4948" spans="2:2">
      <c r="B4948" s="251">
        <f ca="1" t="shared" si="310"/>
        <v>39360</v>
      </c>
    </row>
    <row r="4949" spans="2:2">
      <c r="B4949" s="251">
        <f ca="1" t="shared" si="310"/>
        <v>39359</v>
      </c>
    </row>
    <row r="4950" spans="2:2">
      <c r="B4950" s="251">
        <f ca="1" t="shared" si="310"/>
        <v>39358</v>
      </c>
    </row>
    <row r="4951" spans="2:2">
      <c r="B4951" s="251">
        <f ca="1" t="shared" si="310"/>
        <v>39357</v>
      </c>
    </row>
    <row r="4952" spans="2:2">
      <c r="B4952" s="251">
        <f ca="1" t="shared" si="310"/>
        <v>39356</v>
      </c>
    </row>
    <row r="4953" spans="2:2">
      <c r="B4953" s="251">
        <f ca="1" t="shared" ref="B4953:B4968" si="311">B4952-1</f>
        <v>39355</v>
      </c>
    </row>
    <row r="4954" spans="2:2">
      <c r="B4954" s="251">
        <f ca="1" t="shared" si="311"/>
        <v>39354</v>
      </c>
    </row>
    <row r="4955" spans="2:2">
      <c r="B4955" s="251">
        <f ca="1" t="shared" si="311"/>
        <v>39353</v>
      </c>
    </row>
    <row r="4956" spans="2:2">
      <c r="B4956" s="251">
        <f ca="1" t="shared" si="311"/>
        <v>39352</v>
      </c>
    </row>
    <row r="4957" spans="2:2">
      <c r="B4957" s="251">
        <f ca="1" t="shared" si="311"/>
        <v>39351</v>
      </c>
    </row>
    <row r="4958" spans="2:2">
      <c r="B4958" s="251">
        <f ca="1" t="shared" si="311"/>
        <v>39350</v>
      </c>
    </row>
    <row r="4959" spans="2:2">
      <c r="B4959" s="251">
        <f ca="1" t="shared" si="311"/>
        <v>39349</v>
      </c>
    </row>
    <row r="4960" spans="2:2">
      <c r="B4960" s="251">
        <f ca="1" t="shared" si="311"/>
        <v>39348</v>
      </c>
    </row>
    <row r="4961" spans="2:2">
      <c r="B4961" s="251">
        <f ca="1" t="shared" si="311"/>
        <v>39347</v>
      </c>
    </row>
    <row r="4962" spans="2:2">
      <c r="B4962" s="251">
        <f ca="1" t="shared" si="311"/>
        <v>39346</v>
      </c>
    </row>
    <row r="4963" spans="2:2">
      <c r="B4963" s="251">
        <f ca="1" t="shared" si="311"/>
        <v>39345</v>
      </c>
    </row>
    <row r="4964" spans="2:2">
      <c r="B4964" s="251">
        <f ca="1" t="shared" si="311"/>
        <v>39344</v>
      </c>
    </row>
    <row r="4965" spans="2:2">
      <c r="B4965" s="251">
        <f ca="1" t="shared" si="311"/>
        <v>39343</v>
      </c>
    </row>
    <row r="4966" spans="2:2">
      <c r="B4966" s="251">
        <f ca="1" t="shared" si="311"/>
        <v>39342</v>
      </c>
    </row>
    <row r="4967" spans="2:2">
      <c r="B4967" s="251">
        <f ca="1" t="shared" si="311"/>
        <v>39341</v>
      </c>
    </row>
    <row r="4968" spans="2:2">
      <c r="B4968" s="251">
        <f ca="1" t="shared" si="311"/>
        <v>39340</v>
      </c>
    </row>
    <row r="4969" spans="2:2">
      <c r="B4969" s="251">
        <f ca="1" t="shared" ref="B4969:B4984" si="312">B4968-1</f>
        <v>39339</v>
      </c>
    </row>
    <row r="4970" spans="2:2">
      <c r="B4970" s="251">
        <f ca="1" t="shared" si="312"/>
        <v>39338</v>
      </c>
    </row>
    <row r="4971" spans="2:2">
      <c r="B4971" s="251">
        <f ca="1" t="shared" si="312"/>
        <v>39337</v>
      </c>
    </row>
    <row r="4972" spans="2:2">
      <c r="B4972" s="251">
        <f ca="1" t="shared" si="312"/>
        <v>39336</v>
      </c>
    </row>
    <row r="4973" spans="2:2">
      <c r="B4973" s="251">
        <f ca="1" t="shared" si="312"/>
        <v>39335</v>
      </c>
    </row>
    <row r="4974" spans="2:2">
      <c r="B4974" s="251">
        <f ca="1" t="shared" si="312"/>
        <v>39334</v>
      </c>
    </row>
    <row r="4975" spans="2:2">
      <c r="B4975" s="251">
        <f ca="1" t="shared" si="312"/>
        <v>39333</v>
      </c>
    </row>
    <row r="4976" spans="2:2">
      <c r="B4976" s="251">
        <f ca="1" t="shared" si="312"/>
        <v>39332</v>
      </c>
    </row>
    <row r="4977" spans="2:2">
      <c r="B4977" s="251">
        <f ca="1" t="shared" si="312"/>
        <v>39331</v>
      </c>
    </row>
    <row r="4978" spans="2:2">
      <c r="B4978" s="251">
        <f ca="1" t="shared" si="312"/>
        <v>39330</v>
      </c>
    </row>
    <row r="4979" spans="2:2">
      <c r="B4979" s="251">
        <f ca="1" t="shared" si="312"/>
        <v>39329</v>
      </c>
    </row>
    <row r="4980" spans="2:2">
      <c r="B4980" s="251">
        <f ca="1" t="shared" si="312"/>
        <v>39328</v>
      </c>
    </row>
    <row r="4981" spans="2:2">
      <c r="B4981" s="251">
        <f ca="1" t="shared" si="312"/>
        <v>39327</v>
      </c>
    </row>
    <row r="4982" spans="2:2">
      <c r="B4982" s="251">
        <f ca="1" t="shared" si="312"/>
        <v>39326</v>
      </c>
    </row>
    <row r="4983" spans="2:2">
      <c r="B4983" s="251">
        <f ca="1" t="shared" si="312"/>
        <v>39325</v>
      </c>
    </row>
    <row r="4984" spans="2:2">
      <c r="B4984" s="251">
        <f ca="1" t="shared" si="312"/>
        <v>39324</v>
      </c>
    </row>
    <row r="4985" spans="2:2">
      <c r="B4985" s="251">
        <f ca="1" t="shared" ref="B4985:B5000" si="313">B4984-1</f>
        <v>39323</v>
      </c>
    </row>
    <row r="4986" spans="2:2">
      <c r="B4986" s="251">
        <f ca="1" t="shared" si="313"/>
        <v>39322</v>
      </c>
    </row>
    <row r="4987" spans="2:2">
      <c r="B4987" s="251">
        <f ca="1" t="shared" si="313"/>
        <v>39321</v>
      </c>
    </row>
    <row r="4988" spans="2:2">
      <c r="B4988" s="251">
        <f ca="1" t="shared" si="313"/>
        <v>39320</v>
      </c>
    </row>
    <row r="4989" spans="2:2">
      <c r="B4989" s="251">
        <f ca="1" t="shared" si="313"/>
        <v>39319</v>
      </c>
    </row>
    <row r="4990" spans="2:2">
      <c r="B4990" s="251">
        <f ca="1" t="shared" si="313"/>
        <v>39318</v>
      </c>
    </row>
    <row r="4991" spans="2:2">
      <c r="B4991" s="251">
        <f ca="1" t="shared" si="313"/>
        <v>39317</v>
      </c>
    </row>
    <row r="4992" spans="2:2">
      <c r="B4992" s="251">
        <f ca="1" t="shared" si="313"/>
        <v>39316</v>
      </c>
    </row>
    <row r="4993" spans="2:2">
      <c r="B4993" s="251">
        <f ca="1" t="shared" si="313"/>
        <v>39315</v>
      </c>
    </row>
    <row r="4994" spans="2:2">
      <c r="B4994" s="251">
        <f ca="1" t="shared" si="313"/>
        <v>39314</v>
      </c>
    </row>
    <row r="4995" spans="2:2">
      <c r="B4995" s="251">
        <f ca="1" t="shared" si="313"/>
        <v>39313</v>
      </c>
    </row>
    <row r="4996" spans="2:2">
      <c r="B4996" s="251">
        <f ca="1" t="shared" si="313"/>
        <v>39312</v>
      </c>
    </row>
    <row r="4997" spans="2:2">
      <c r="B4997" s="251">
        <f ca="1" t="shared" si="313"/>
        <v>39311</v>
      </c>
    </row>
    <row r="4998" spans="2:2">
      <c r="B4998" s="251">
        <f ca="1" t="shared" si="313"/>
        <v>39310</v>
      </c>
    </row>
    <row r="4999" spans="2:2">
      <c r="B4999" s="251">
        <f ca="1" t="shared" si="313"/>
        <v>39309</v>
      </c>
    </row>
    <row r="5000" spans="2:2">
      <c r="B5000" s="251">
        <f ca="1" t="shared" si="313"/>
        <v>39308</v>
      </c>
    </row>
    <row r="5001" spans="2:2">
      <c r="B5001" s="251">
        <f ca="1" t="shared" ref="B5001:B5016" si="314">B5000-1</f>
        <v>39307</v>
      </c>
    </row>
    <row r="5002" spans="2:2">
      <c r="B5002" s="251">
        <f ca="1" t="shared" si="314"/>
        <v>39306</v>
      </c>
    </row>
    <row r="5003" spans="2:2">
      <c r="B5003" s="251">
        <f ca="1" t="shared" si="314"/>
        <v>39305</v>
      </c>
    </row>
    <row r="5004" spans="2:2">
      <c r="B5004" s="251">
        <f ca="1" t="shared" si="314"/>
        <v>39304</v>
      </c>
    </row>
    <row r="5005" spans="2:2">
      <c r="B5005" s="251">
        <f ca="1" t="shared" si="314"/>
        <v>39303</v>
      </c>
    </row>
    <row r="5006" spans="2:2">
      <c r="B5006" s="251">
        <f ca="1" t="shared" si="314"/>
        <v>39302</v>
      </c>
    </row>
    <row r="5007" spans="2:2">
      <c r="B5007" s="251">
        <f ca="1" t="shared" si="314"/>
        <v>39301</v>
      </c>
    </row>
    <row r="5008" spans="2:2">
      <c r="B5008" s="251">
        <f ca="1" t="shared" si="314"/>
        <v>39300</v>
      </c>
    </row>
    <row r="5009" spans="2:2">
      <c r="B5009" s="251">
        <f ca="1" t="shared" si="314"/>
        <v>39299</v>
      </c>
    </row>
    <row r="5010" spans="2:2">
      <c r="B5010" s="251">
        <f ca="1" t="shared" si="314"/>
        <v>39298</v>
      </c>
    </row>
    <row r="5011" spans="2:2">
      <c r="B5011" s="251">
        <f ca="1" t="shared" si="314"/>
        <v>39297</v>
      </c>
    </row>
    <row r="5012" spans="2:2">
      <c r="B5012" s="251">
        <f ca="1" t="shared" si="314"/>
        <v>39296</v>
      </c>
    </row>
    <row r="5013" spans="2:2">
      <c r="B5013" s="251">
        <f ca="1" t="shared" si="314"/>
        <v>39295</v>
      </c>
    </row>
    <row r="5014" spans="2:2">
      <c r="B5014" s="251">
        <f ca="1" t="shared" si="314"/>
        <v>39294</v>
      </c>
    </row>
    <row r="5015" spans="2:2">
      <c r="B5015" s="251">
        <f ca="1" t="shared" si="314"/>
        <v>39293</v>
      </c>
    </row>
    <row r="5016" spans="2:2">
      <c r="B5016" s="251">
        <f ca="1" t="shared" si="314"/>
        <v>39292</v>
      </c>
    </row>
    <row r="5017" spans="2:2">
      <c r="B5017" s="251">
        <f ca="1" t="shared" ref="B5017:B5032" si="315">B5016-1</f>
        <v>39291</v>
      </c>
    </row>
    <row r="5018" spans="2:2">
      <c r="B5018" s="251">
        <f ca="1" t="shared" si="315"/>
        <v>39290</v>
      </c>
    </row>
    <row r="5019" spans="2:2">
      <c r="B5019" s="251">
        <f ca="1" t="shared" si="315"/>
        <v>39289</v>
      </c>
    </row>
    <row r="5020" spans="2:2">
      <c r="B5020" s="251">
        <f ca="1" t="shared" si="315"/>
        <v>39288</v>
      </c>
    </row>
    <row r="5021" spans="2:2">
      <c r="B5021" s="251">
        <f ca="1" t="shared" si="315"/>
        <v>39287</v>
      </c>
    </row>
    <row r="5022" spans="2:2">
      <c r="B5022" s="251">
        <f ca="1" t="shared" si="315"/>
        <v>39286</v>
      </c>
    </row>
    <row r="5023" spans="2:2">
      <c r="B5023" s="251">
        <f ca="1" t="shared" si="315"/>
        <v>39285</v>
      </c>
    </row>
    <row r="5024" spans="2:2">
      <c r="B5024" s="251">
        <f ca="1" t="shared" si="315"/>
        <v>39284</v>
      </c>
    </row>
    <row r="5025" spans="2:2">
      <c r="B5025" s="251">
        <f ca="1" t="shared" si="315"/>
        <v>39283</v>
      </c>
    </row>
    <row r="5026" spans="2:2">
      <c r="B5026" s="251">
        <f ca="1" t="shared" si="315"/>
        <v>39282</v>
      </c>
    </row>
    <row r="5027" spans="2:2">
      <c r="B5027" s="251">
        <f ca="1" t="shared" si="315"/>
        <v>39281</v>
      </c>
    </row>
    <row r="5028" spans="2:2">
      <c r="B5028" s="251">
        <f ca="1" t="shared" si="315"/>
        <v>39280</v>
      </c>
    </row>
    <row r="5029" spans="2:2">
      <c r="B5029" s="251">
        <f ca="1" t="shared" si="315"/>
        <v>39279</v>
      </c>
    </row>
    <row r="5030" spans="2:2">
      <c r="B5030" s="251">
        <f ca="1" t="shared" si="315"/>
        <v>39278</v>
      </c>
    </row>
    <row r="5031" spans="2:2">
      <c r="B5031" s="251">
        <f ca="1" t="shared" si="315"/>
        <v>39277</v>
      </c>
    </row>
    <row r="5032" spans="2:2">
      <c r="B5032" s="251">
        <f ca="1" t="shared" si="315"/>
        <v>39276</v>
      </c>
    </row>
    <row r="5033" spans="2:2">
      <c r="B5033" s="251">
        <f ca="1" t="shared" ref="B5033:B5048" si="316">B5032-1</f>
        <v>39275</v>
      </c>
    </row>
    <row r="5034" spans="2:2">
      <c r="B5034" s="251">
        <f ca="1" t="shared" si="316"/>
        <v>39274</v>
      </c>
    </row>
    <row r="5035" spans="2:2">
      <c r="B5035" s="251">
        <f ca="1" t="shared" si="316"/>
        <v>39273</v>
      </c>
    </row>
    <row r="5036" spans="2:2">
      <c r="B5036" s="251">
        <f ca="1" t="shared" si="316"/>
        <v>39272</v>
      </c>
    </row>
    <row r="5037" spans="2:2">
      <c r="B5037" s="251">
        <f ca="1" t="shared" si="316"/>
        <v>39271</v>
      </c>
    </row>
    <row r="5038" spans="2:2">
      <c r="B5038" s="251">
        <f ca="1" t="shared" si="316"/>
        <v>39270</v>
      </c>
    </row>
    <row r="5039" spans="2:2">
      <c r="B5039" s="251">
        <f ca="1" t="shared" si="316"/>
        <v>39269</v>
      </c>
    </row>
    <row r="5040" spans="2:2">
      <c r="B5040" s="251">
        <f ca="1" t="shared" si="316"/>
        <v>39268</v>
      </c>
    </row>
    <row r="5041" spans="2:2">
      <c r="B5041" s="251">
        <f ca="1" t="shared" si="316"/>
        <v>39267</v>
      </c>
    </row>
    <row r="5042" spans="2:2">
      <c r="B5042" s="251">
        <f ca="1" t="shared" si="316"/>
        <v>39266</v>
      </c>
    </row>
    <row r="5043" spans="2:2">
      <c r="B5043" s="251">
        <f ca="1" t="shared" si="316"/>
        <v>39265</v>
      </c>
    </row>
    <row r="5044" spans="2:2">
      <c r="B5044" s="251">
        <f ca="1" t="shared" si="316"/>
        <v>39264</v>
      </c>
    </row>
    <row r="5045" spans="2:2">
      <c r="B5045" s="251">
        <f ca="1" t="shared" si="316"/>
        <v>39263</v>
      </c>
    </row>
    <row r="5046" spans="2:2">
      <c r="B5046" s="251">
        <f ca="1" t="shared" si="316"/>
        <v>39262</v>
      </c>
    </row>
    <row r="5047" spans="2:2">
      <c r="B5047" s="251">
        <f ca="1" t="shared" si="316"/>
        <v>39261</v>
      </c>
    </row>
    <row r="5048" spans="2:2">
      <c r="B5048" s="251">
        <f ca="1" t="shared" si="316"/>
        <v>39260</v>
      </c>
    </row>
    <row r="5049" spans="2:2">
      <c r="B5049" s="251">
        <f ca="1" t="shared" ref="B5049:B5064" si="317">B5048-1</f>
        <v>39259</v>
      </c>
    </row>
    <row r="5050" spans="2:2">
      <c r="B5050" s="251">
        <f ca="1" t="shared" si="317"/>
        <v>39258</v>
      </c>
    </row>
    <row r="5051" spans="2:2">
      <c r="B5051" s="251">
        <f ca="1" t="shared" si="317"/>
        <v>39257</v>
      </c>
    </row>
    <row r="5052" spans="2:2">
      <c r="B5052" s="251">
        <f ca="1" t="shared" si="317"/>
        <v>39256</v>
      </c>
    </row>
    <row r="5053" spans="2:2">
      <c r="B5053" s="251">
        <f ca="1" t="shared" si="317"/>
        <v>39255</v>
      </c>
    </row>
    <row r="5054" spans="2:2">
      <c r="B5054" s="251">
        <f ca="1" t="shared" si="317"/>
        <v>39254</v>
      </c>
    </row>
    <row r="5055" spans="2:2">
      <c r="B5055" s="251">
        <f ca="1" t="shared" si="317"/>
        <v>39253</v>
      </c>
    </row>
    <row r="5056" spans="2:2">
      <c r="B5056" s="251">
        <f ca="1" t="shared" si="317"/>
        <v>39252</v>
      </c>
    </row>
    <row r="5057" spans="2:2">
      <c r="B5057" s="251">
        <f ca="1" t="shared" si="317"/>
        <v>39251</v>
      </c>
    </row>
    <row r="5058" spans="2:2">
      <c r="B5058" s="251">
        <f ca="1" t="shared" si="317"/>
        <v>39250</v>
      </c>
    </row>
    <row r="5059" spans="2:2">
      <c r="B5059" s="251">
        <f ca="1" t="shared" si="317"/>
        <v>39249</v>
      </c>
    </row>
    <row r="5060" spans="2:2">
      <c r="B5060" s="251">
        <f ca="1" t="shared" si="317"/>
        <v>39248</v>
      </c>
    </row>
    <row r="5061" spans="2:2">
      <c r="B5061" s="251">
        <f ca="1" t="shared" si="317"/>
        <v>39247</v>
      </c>
    </row>
    <row r="5062" spans="2:2">
      <c r="B5062" s="251">
        <f ca="1" t="shared" si="317"/>
        <v>39246</v>
      </c>
    </row>
    <row r="5063" spans="2:2">
      <c r="B5063" s="251">
        <f ca="1" t="shared" si="317"/>
        <v>39245</v>
      </c>
    </row>
    <row r="5064" spans="2:2">
      <c r="B5064" s="251">
        <f ca="1" t="shared" si="317"/>
        <v>39244</v>
      </c>
    </row>
    <row r="5065" spans="2:2">
      <c r="B5065" s="251">
        <f ca="1" t="shared" ref="B5065:B5080" si="318">B5064-1</f>
        <v>39243</v>
      </c>
    </row>
    <row r="5066" spans="2:2">
      <c r="B5066" s="251">
        <f ca="1" t="shared" si="318"/>
        <v>39242</v>
      </c>
    </row>
    <row r="5067" spans="2:2">
      <c r="B5067" s="251">
        <f ca="1" t="shared" si="318"/>
        <v>39241</v>
      </c>
    </row>
    <row r="5068" spans="2:2">
      <c r="B5068" s="251">
        <f ca="1" t="shared" si="318"/>
        <v>39240</v>
      </c>
    </row>
    <row r="5069" spans="2:2">
      <c r="B5069" s="251">
        <f ca="1" t="shared" si="318"/>
        <v>39239</v>
      </c>
    </row>
    <row r="5070" spans="2:2">
      <c r="B5070" s="251">
        <f ca="1" t="shared" si="318"/>
        <v>39238</v>
      </c>
    </row>
    <row r="5071" spans="2:2">
      <c r="B5071" s="251">
        <f ca="1" t="shared" si="318"/>
        <v>39237</v>
      </c>
    </row>
    <row r="5072" spans="2:2">
      <c r="B5072" s="251">
        <f ca="1" t="shared" si="318"/>
        <v>39236</v>
      </c>
    </row>
    <row r="5073" spans="2:2">
      <c r="B5073" s="251">
        <f ca="1" t="shared" si="318"/>
        <v>39235</v>
      </c>
    </row>
    <row r="5074" spans="2:2">
      <c r="B5074" s="251">
        <f ca="1" t="shared" si="318"/>
        <v>39234</v>
      </c>
    </row>
    <row r="5075" spans="2:2">
      <c r="B5075" s="251">
        <f ca="1" t="shared" si="318"/>
        <v>39233</v>
      </c>
    </row>
    <row r="5076" spans="2:2">
      <c r="B5076" s="251">
        <f ca="1" t="shared" si="318"/>
        <v>39232</v>
      </c>
    </row>
    <row r="5077" spans="2:2">
      <c r="B5077" s="251">
        <f ca="1" t="shared" si="318"/>
        <v>39231</v>
      </c>
    </row>
    <row r="5078" spans="2:2">
      <c r="B5078" s="251">
        <f ca="1" t="shared" si="318"/>
        <v>39230</v>
      </c>
    </row>
    <row r="5079" spans="2:2">
      <c r="B5079" s="251">
        <f ca="1" t="shared" si="318"/>
        <v>39229</v>
      </c>
    </row>
    <row r="5080" spans="2:2">
      <c r="B5080" s="251">
        <f ca="1" t="shared" si="318"/>
        <v>39228</v>
      </c>
    </row>
    <row r="5081" spans="2:2">
      <c r="B5081" s="251">
        <f ca="1" t="shared" ref="B5081:B5096" si="319">B5080-1</f>
        <v>39227</v>
      </c>
    </row>
    <row r="5082" spans="2:2">
      <c r="B5082" s="251">
        <f ca="1" t="shared" si="319"/>
        <v>39226</v>
      </c>
    </row>
    <row r="5083" spans="2:2">
      <c r="B5083" s="251">
        <f ca="1" t="shared" si="319"/>
        <v>39225</v>
      </c>
    </row>
    <row r="5084" spans="2:2">
      <c r="B5084" s="251">
        <f ca="1" t="shared" si="319"/>
        <v>39224</v>
      </c>
    </row>
    <row r="5085" spans="2:2">
      <c r="B5085" s="251">
        <f ca="1" t="shared" si="319"/>
        <v>39223</v>
      </c>
    </row>
    <row r="5086" spans="2:2">
      <c r="B5086" s="251">
        <f ca="1" t="shared" si="319"/>
        <v>39222</v>
      </c>
    </row>
    <row r="5087" spans="2:2">
      <c r="B5087" s="251">
        <f ca="1" t="shared" si="319"/>
        <v>39221</v>
      </c>
    </row>
    <row r="5088" spans="2:2">
      <c r="B5088" s="251">
        <f ca="1" t="shared" si="319"/>
        <v>39220</v>
      </c>
    </row>
    <row r="5089" spans="2:2">
      <c r="B5089" s="251">
        <f ca="1" t="shared" si="319"/>
        <v>39219</v>
      </c>
    </row>
    <row r="5090" spans="2:2">
      <c r="B5090" s="251">
        <f ca="1" t="shared" si="319"/>
        <v>39218</v>
      </c>
    </row>
    <row r="5091" spans="2:2">
      <c r="B5091" s="251">
        <f ca="1" t="shared" si="319"/>
        <v>39217</v>
      </c>
    </row>
    <row r="5092" spans="2:2">
      <c r="B5092" s="251">
        <f ca="1" t="shared" si="319"/>
        <v>39216</v>
      </c>
    </row>
    <row r="5093" spans="2:2">
      <c r="B5093" s="251">
        <f ca="1" t="shared" si="319"/>
        <v>39215</v>
      </c>
    </row>
    <row r="5094" spans="2:2">
      <c r="B5094" s="251">
        <f ca="1" t="shared" si="319"/>
        <v>39214</v>
      </c>
    </row>
    <row r="5095" spans="2:2">
      <c r="B5095" s="251">
        <f ca="1" t="shared" si="319"/>
        <v>39213</v>
      </c>
    </row>
    <row r="5096" spans="2:2">
      <c r="B5096" s="251">
        <f ca="1" t="shared" si="319"/>
        <v>39212</v>
      </c>
    </row>
    <row r="5097" spans="2:2">
      <c r="B5097" s="251">
        <f ca="1" t="shared" ref="B5097:B5112" si="320">B5096-1</f>
        <v>39211</v>
      </c>
    </row>
    <row r="5098" spans="2:2">
      <c r="B5098" s="251">
        <f ca="1" t="shared" si="320"/>
        <v>39210</v>
      </c>
    </row>
    <row r="5099" spans="2:2">
      <c r="B5099" s="251">
        <f ca="1" t="shared" si="320"/>
        <v>39209</v>
      </c>
    </row>
    <row r="5100" spans="2:2">
      <c r="B5100" s="251">
        <f ca="1" t="shared" si="320"/>
        <v>39208</v>
      </c>
    </row>
    <row r="5101" spans="2:2">
      <c r="B5101" s="251">
        <f ca="1" t="shared" si="320"/>
        <v>39207</v>
      </c>
    </row>
    <row r="5102" spans="2:2">
      <c r="B5102" s="251">
        <f ca="1" t="shared" si="320"/>
        <v>39206</v>
      </c>
    </row>
    <row r="5103" spans="2:2">
      <c r="B5103" s="251">
        <f ca="1" t="shared" si="320"/>
        <v>39205</v>
      </c>
    </row>
    <row r="5104" spans="2:2">
      <c r="B5104" s="251">
        <f ca="1" t="shared" si="320"/>
        <v>39204</v>
      </c>
    </row>
    <row r="5105" spans="2:2">
      <c r="B5105" s="251">
        <f ca="1" t="shared" si="320"/>
        <v>39203</v>
      </c>
    </row>
    <row r="5106" spans="2:2">
      <c r="B5106" s="251">
        <f ca="1" t="shared" si="320"/>
        <v>39202</v>
      </c>
    </row>
    <row r="5107" spans="2:2">
      <c r="B5107" s="251">
        <f ca="1" t="shared" si="320"/>
        <v>39201</v>
      </c>
    </row>
    <row r="5108" spans="2:2">
      <c r="B5108" s="251">
        <f ca="1" t="shared" si="320"/>
        <v>39200</v>
      </c>
    </row>
    <row r="5109" spans="2:2">
      <c r="B5109" s="251">
        <f ca="1" t="shared" si="320"/>
        <v>39199</v>
      </c>
    </row>
    <row r="5110" spans="2:2">
      <c r="B5110" s="251">
        <f ca="1" t="shared" si="320"/>
        <v>39198</v>
      </c>
    </row>
    <row r="5111" spans="2:2">
      <c r="B5111" s="251">
        <f ca="1" t="shared" si="320"/>
        <v>39197</v>
      </c>
    </row>
    <row r="5112" spans="2:2">
      <c r="B5112" s="251">
        <f ca="1" t="shared" si="320"/>
        <v>39196</v>
      </c>
    </row>
    <row r="5113" spans="2:2">
      <c r="B5113" s="251">
        <f ca="1" t="shared" ref="B5113:B5128" si="321">B5112-1</f>
        <v>39195</v>
      </c>
    </row>
    <row r="5114" spans="2:2">
      <c r="B5114" s="251">
        <f ca="1" t="shared" si="321"/>
        <v>39194</v>
      </c>
    </row>
    <row r="5115" spans="2:2">
      <c r="B5115" s="251">
        <f ca="1" t="shared" si="321"/>
        <v>39193</v>
      </c>
    </row>
    <row r="5116" spans="2:2">
      <c r="B5116" s="251">
        <f ca="1" t="shared" si="321"/>
        <v>39192</v>
      </c>
    </row>
    <row r="5117" spans="2:2">
      <c r="B5117" s="251">
        <f ca="1" t="shared" si="321"/>
        <v>39191</v>
      </c>
    </row>
    <row r="5118" spans="2:2">
      <c r="B5118" s="251">
        <f ca="1" t="shared" si="321"/>
        <v>39190</v>
      </c>
    </row>
    <row r="5119" spans="2:2">
      <c r="B5119" s="251">
        <f ca="1" t="shared" si="321"/>
        <v>39189</v>
      </c>
    </row>
    <row r="5120" spans="2:2">
      <c r="B5120" s="251">
        <f ca="1" t="shared" si="321"/>
        <v>39188</v>
      </c>
    </row>
    <row r="5121" spans="2:2">
      <c r="B5121" s="251">
        <f ca="1" t="shared" si="321"/>
        <v>39187</v>
      </c>
    </row>
    <row r="5122" spans="2:2">
      <c r="B5122" s="251">
        <f ca="1" t="shared" si="321"/>
        <v>39186</v>
      </c>
    </row>
    <row r="5123" spans="2:2">
      <c r="B5123" s="251">
        <f ca="1" t="shared" si="321"/>
        <v>39185</v>
      </c>
    </row>
    <row r="5124" spans="2:2">
      <c r="B5124" s="251">
        <f ca="1" t="shared" si="321"/>
        <v>39184</v>
      </c>
    </row>
    <row r="5125" spans="2:2">
      <c r="B5125" s="251">
        <f ca="1" t="shared" si="321"/>
        <v>39183</v>
      </c>
    </row>
    <row r="5126" spans="2:2">
      <c r="B5126" s="251">
        <f ca="1" t="shared" si="321"/>
        <v>39182</v>
      </c>
    </row>
    <row r="5127" spans="2:2">
      <c r="B5127" s="251">
        <f ca="1" t="shared" si="321"/>
        <v>39181</v>
      </c>
    </row>
    <row r="5128" spans="2:2">
      <c r="B5128" s="251">
        <f ca="1" t="shared" si="321"/>
        <v>39180</v>
      </c>
    </row>
    <row r="5129" spans="2:2">
      <c r="B5129" s="251">
        <f ca="1" t="shared" ref="B5129:B5144" si="322">B5128-1</f>
        <v>39179</v>
      </c>
    </row>
    <row r="5130" spans="2:2">
      <c r="B5130" s="251">
        <f ca="1" t="shared" si="322"/>
        <v>39178</v>
      </c>
    </row>
    <row r="5131" spans="2:2">
      <c r="B5131" s="251">
        <f ca="1" t="shared" si="322"/>
        <v>39177</v>
      </c>
    </row>
    <row r="5132" spans="2:2">
      <c r="B5132" s="251">
        <f ca="1" t="shared" si="322"/>
        <v>39176</v>
      </c>
    </row>
    <row r="5133" spans="2:2">
      <c r="B5133" s="251">
        <f ca="1" t="shared" si="322"/>
        <v>39175</v>
      </c>
    </row>
    <row r="5134" spans="2:2">
      <c r="B5134" s="251">
        <f ca="1" t="shared" si="322"/>
        <v>39174</v>
      </c>
    </row>
    <row r="5135" spans="2:2">
      <c r="B5135" s="251">
        <f ca="1" t="shared" si="322"/>
        <v>39173</v>
      </c>
    </row>
    <row r="5136" spans="2:2">
      <c r="B5136" s="251">
        <f ca="1" t="shared" si="322"/>
        <v>39172</v>
      </c>
    </row>
    <row r="5137" spans="2:2">
      <c r="B5137" s="251">
        <f ca="1" t="shared" si="322"/>
        <v>39171</v>
      </c>
    </row>
    <row r="5138" spans="2:2">
      <c r="B5138" s="251">
        <f ca="1" t="shared" si="322"/>
        <v>39170</v>
      </c>
    </row>
    <row r="5139" spans="2:2">
      <c r="B5139" s="251">
        <f ca="1" t="shared" si="322"/>
        <v>39169</v>
      </c>
    </row>
    <row r="5140" spans="2:2">
      <c r="B5140" s="251">
        <f ca="1" t="shared" si="322"/>
        <v>39168</v>
      </c>
    </row>
    <row r="5141" spans="2:2">
      <c r="B5141" s="251">
        <f ca="1" t="shared" si="322"/>
        <v>39167</v>
      </c>
    </row>
    <row r="5142" spans="2:2">
      <c r="B5142" s="251">
        <f ca="1" t="shared" si="322"/>
        <v>39166</v>
      </c>
    </row>
    <row r="5143" spans="2:2">
      <c r="B5143" s="251">
        <f ca="1" t="shared" si="322"/>
        <v>39165</v>
      </c>
    </row>
    <row r="5144" spans="2:2">
      <c r="B5144" s="251">
        <f ca="1" t="shared" si="322"/>
        <v>39164</v>
      </c>
    </row>
    <row r="5145" spans="2:2">
      <c r="B5145" s="251">
        <f ca="1" t="shared" ref="B5145:B5160" si="323">B5144-1</f>
        <v>39163</v>
      </c>
    </row>
    <row r="5146" spans="2:2">
      <c r="B5146" s="251">
        <f ca="1" t="shared" si="323"/>
        <v>39162</v>
      </c>
    </row>
    <row r="5147" spans="2:2">
      <c r="B5147" s="251">
        <f ca="1" t="shared" si="323"/>
        <v>39161</v>
      </c>
    </row>
    <row r="5148" spans="2:2">
      <c r="B5148" s="251">
        <f ca="1" t="shared" si="323"/>
        <v>39160</v>
      </c>
    </row>
    <row r="5149" spans="2:2">
      <c r="B5149" s="251">
        <f ca="1" t="shared" si="323"/>
        <v>39159</v>
      </c>
    </row>
    <row r="5150" spans="2:2">
      <c r="B5150" s="251">
        <f ca="1" t="shared" si="323"/>
        <v>39158</v>
      </c>
    </row>
    <row r="5151" spans="2:2">
      <c r="B5151" s="251">
        <f ca="1" t="shared" si="323"/>
        <v>39157</v>
      </c>
    </row>
    <row r="5152" spans="2:2">
      <c r="B5152" s="251">
        <f ca="1" t="shared" si="323"/>
        <v>39156</v>
      </c>
    </row>
    <row r="5153" spans="2:2">
      <c r="B5153" s="251">
        <f ca="1" t="shared" si="323"/>
        <v>39155</v>
      </c>
    </row>
    <row r="5154" spans="2:2">
      <c r="B5154" s="251">
        <f ca="1" t="shared" si="323"/>
        <v>39154</v>
      </c>
    </row>
    <row r="5155" spans="2:2">
      <c r="B5155" s="251">
        <f ca="1" t="shared" si="323"/>
        <v>39153</v>
      </c>
    </row>
    <row r="5156" spans="2:2">
      <c r="B5156" s="251">
        <f ca="1" t="shared" si="323"/>
        <v>39152</v>
      </c>
    </row>
    <row r="5157" spans="2:2">
      <c r="B5157" s="251">
        <f ca="1" t="shared" si="323"/>
        <v>39151</v>
      </c>
    </row>
    <row r="5158" spans="2:2">
      <c r="B5158" s="251">
        <f ca="1" t="shared" si="323"/>
        <v>39150</v>
      </c>
    </row>
    <row r="5159" spans="2:2">
      <c r="B5159" s="251">
        <f ca="1" t="shared" si="323"/>
        <v>39149</v>
      </c>
    </row>
    <row r="5160" spans="2:2">
      <c r="B5160" s="251">
        <f ca="1" t="shared" si="323"/>
        <v>39148</v>
      </c>
    </row>
    <row r="5161" spans="2:2">
      <c r="B5161" s="251">
        <f ca="1" t="shared" ref="B5161:B5176" si="324">B5160-1</f>
        <v>39147</v>
      </c>
    </row>
    <row r="5162" spans="2:2">
      <c r="B5162" s="251">
        <f ca="1" t="shared" si="324"/>
        <v>39146</v>
      </c>
    </row>
    <row r="5163" spans="2:2">
      <c r="B5163" s="251">
        <f ca="1" t="shared" si="324"/>
        <v>39145</v>
      </c>
    </row>
    <row r="5164" spans="2:2">
      <c r="B5164" s="251">
        <f ca="1" t="shared" si="324"/>
        <v>39144</v>
      </c>
    </row>
    <row r="5165" spans="2:2">
      <c r="B5165" s="251">
        <f ca="1" t="shared" si="324"/>
        <v>39143</v>
      </c>
    </row>
    <row r="5166" spans="2:2">
      <c r="B5166" s="251">
        <f ca="1" t="shared" si="324"/>
        <v>39142</v>
      </c>
    </row>
    <row r="5167" spans="2:2">
      <c r="B5167" s="251">
        <f ca="1" t="shared" si="324"/>
        <v>39141</v>
      </c>
    </row>
    <row r="5168" spans="2:2">
      <c r="B5168" s="251">
        <f ca="1" t="shared" si="324"/>
        <v>39140</v>
      </c>
    </row>
    <row r="5169" spans="2:2">
      <c r="B5169" s="251">
        <f ca="1" t="shared" si="324"/>
        <v>39139</v>
      </c>
    </row>
    <row r="5170" spans="2:2">
      <c r="B5170" s="251">
        <f ca="1" t="shared" si="324"/>
        <v>39138</v>
      </c>
    </row>
    <row r="5171" spans="2:2">
      <c r="B5171" s="251">
        <f ca="1" t="shared" si="324"/>
        <v>39137</v>
      </c>
    </row>
    <row r="5172" spans="2:2">
      <c r="B5172" s="251">
        <f ca="1" t="shared" si="324"/>
        <v>39136</v>
      </c>
    </row>
    <row r="5173" spans="2:2">
      <c r="B5173" s="251">
        <f ca="1" t="shared" si="324"/>
        <v>39135</v>
      </c>
    </row>
    <row r="5174" spans="2:2">
      <c r="B5174" s="251">
        <f ca="1" t="shared" si="324"/>
        <v>39134</v>
      </c>
    </row>
    <row r="5175" spans="2:2">
      <c r="B5175" s="251">
        <f ca="1" t="shared" si="324"/>
        <v>39133</v>
      </c>
    </row>
    <row r="5176" spans="2:2">
      <c r="B5176" s="251">
        <f ca="1" t="shared" si="324"/>
        <v>39132</v>
      </c>
    </row>
    <row r="5177" spans="2:2">
      <c r="B5177" s="251">
        <f ca="1" t="shared" ref="B5177:B5192" si="325">B5176-1</f>
        <v>39131</v>
      </c>
    </row>
    <row r="5178" spans="2:2">
      <c r="B5178" s="251">
        <f ca="1" t="shared" si="325"/>
        <v>39130</v>
      </c>
    </row>
    <row r="5179" spans="2:2">
      <c r="B5179" s="251">
        <f ca="1" t="shared" si="325"/>
        <v>39129</v>
      </c>
    </row>
    <row r="5180" spans="2:2">
      <c r="B5180" s="251">
        <f ca="1" t="shared" si="325"/>
        <v>39128</v>
      </c>
    </row>
    <row r="5181" spans="2:2">
      <c r="B5181" s="251">
        <f ca="1" t="shared" si="325"/>
        <v>39127</v>
      </c>
    </row>
    <row r="5182" spans="2:2">
      <c r="B5182" s="251">
        <f ca="1" t="shared" si="325"/>
        <v>39126</v>
      </c>
    </row>
    <row r="5183" spans="2:2">
      <c r="B5183" s="251">
        <f ca="1" t="shared" si="325"/>
        <v>39125</v>
      </c>
    </row>
    <row r="5184" spans="2:2">
      <c r="B5184" s="251">
        <f ca="1" t="shared" si="325"/>
        <v>39124</v>
      </c>
    </row>
    <row r="5185" spans="2:2">
      <c r="B5185" s="251">
        <f ca="1" t="shared" si="325"/>
        <v>39123</v>
      </c>
    </row>
    <row r="5186" spans="2:2">
      <c r="B5186" s="251">
        <f ca="1" t="shared" si="325"/>
        <v>39122</v>
      </c>
    </row>
    <row r="5187" spans="2:2">
      <c r="B5187" s="251">
        <f ca="1" t="shared" si="325"/>
        <v>39121</v>
      </c>
    </row>
    <row r="5188" spans="2:2">
      <c r="B5188" s="251">
        <f ca="1" t="shared" si="325"/>
        <v>39120</v>
      </c>
    </row>
    <row r="5189" spans="2:2">
      <c r="B5189" s="251">
        <f ca="1" t="shared" si="325"/>
        <v>39119</v>
      </c>
    </row>
    <row r="5190" spans="2:2">
      <c r="B5190" s="251">
        <f ca="1" t="shared" si="325"/>
        <v>39118</v>
      </c>
    </row>
    <row r="5191" spans="2:2">
      <c r="B5191" s="251">
        <f ca="1" t="shared" si="325"/>
        <v>39117</v>
      </c>
    </row>
    <row r="5192" spans="2:2">
      <c r="B5192" s="251">
        <f ca="1" t="shared" si="325"/>
        <v>39116</v>
      </c>
    </row>
    <row r="5193" spans="2:2">
      <c r="B5193" s="251">
        <f ca="1" t="shared" ref="B5193:B5208" si="326">B5192-1</f>
        <v>39115</v>
      </c>
    </row>
    <row r="5194" spans="2:2">
      <c r="B5194" s="251">
        <f ca="1" t="shared" si="326"/>
        <v>39114</v>
      </c>
    </row>
    <row r="5195" spans="2:2">
      <c r="B5195" s="251">
        <f ca="1" t="shared" si="326"/>
        <v>39113</v>
      </c>
    </row>
    <row r="5196" spans="2:2">
      <c r="B5196" s="251">
        <f ca="1" t="shared" si="326"/>
        <v>39112</v>
      </c>
    </row>
    <row r="5197" spans="2:2">
      <c r="B5197" s="251">
        <f ca="1" t="shared" si="326"/>
        <v>39111</v>
      </c>
    </row>
    <row r="5198" spans="2:2">
      <c r="B5198" s="251">
        <f ca="1" t="shared" si="326"/>
        <v>39110</v>
      </c>
    </row>
    <row r="5199" spans="2:2">
      <c r="B5199" s="251">
        <f ca="1" t="shared" si="326"/>
        <v>39109</v>
      </c>
    </row>
    <row r="5200" spans="2:2">
      <c r="B5200" s="251">
        <f ca="1" t="shared" si="326"/>
        <v>39108</v>
      </c>
    </row>
    <row r="5201" spans="2:2">
      <c r="B5201" s="251">
        <f ca="1" t="shared" si="326"/>
        <v>39107</v>
      </c>
    </row>
    <row r="5202" spans="2:2">
      <c r="B5202" s="251">
        <f ca="1" t="shared" si="326"/>
        <v>39106</v>
      </c>
    </row>
    <row r="5203" spans="2:2">
      <c r="B5203" s="251">
        <f ca="1" t="shared" si="326"/>
        <v>39105</v>
      </c>
    </row>
    <row r="5204" spans="2:2">
      <c r="B5204" s="251">
        <f ca="1" t="shared" si="326"/>
        <v>39104</v>
      </c>
    </row>
    <row r="5205" spans="2:2">
      <c r="B5205" s="251">
        <f ca="1" t="shared" si="326"/>
        <v>39103</v>
      </c>
    </row>
    <row r="5206" spans="2:2">
      <c r="B5206" s="251">
        <f ca="1" t="shared" si="326"/>
        <v>39102</v>
      </c>
    </row>
    <row r="5207" spans="2:2">
      <c r="B5207" s="251">
        <f ca="1" t="shared" si="326"/>
        <v>39101</v>
      </c>
    </row>
    <row r="5208" spans="2:2">
      <c r="B5208" s="251">
        <f ca="1" t="shared" si="326"/>
        <v>39100</v>
      </c>
    </row>
    <row r="5209" spans="2:2">
      <c r="B5209" s="251">
        <f ca="1" t="shared" ref="B5209:B5224" si="327">B5208-1</f>
        <v>39099</v>
      </c>
    </row>
    <row r="5210" spans="2:2">
      <c r="B5210" s="251">
        <f ca="1" t="shared" si="327"/>
        <v>39098</v>
      </c>
    </row>
    <row r="5211" spans="2:2">
      <c r="B5211" s="251">
        <f ca="1" t="shared" si="327"/>
        <v>39097</v>
      </c>
    </row>
    <row r="5212" spans="2:2">
      <c r="B5212" s="251">
        <f ca="1" t="shared" si="327"/>
        <v>39096</v>
      </c>
    </row>
    <row r="5213" spans="2:2">
      <c r="B5213" s="251">
        <f ca="1" t="shared" si="327"/>
        <v>39095</v>
      </c>
    </row>
    <row r="5214" spans="2:2">
      <c r="B5214" s="251">
        <f ca="1" t="shared" si="327"/>
        <v>39094</v>
      </c>
    </row>
    <row r="5215" spans="2:2">
      <c r="B5215" s="251">
        <f ca="1" t="shared" si="327"/>
        <v>39093</v>
      </c>
    </row>
    <row r="5216" spans="2:2">
      <c r="B5216" s="251">
        <f ca="1" t="shared" si="327"/>
        <v>39092</v>
      </c>
    </row>
    <row r="5217" spans="2:2">
      <c r="B5217" s="251">
        <f ca="1" t="shared" si="327"/>
        <v>39091</v>
      </c>
    </row>
    <row r="5218" spans="2:2">
      <c r="B5218" s="251">
        <f ca="1" t="shared" si="327"/>
        <v>39090</v>
      </c>
    </row>
    <row r="5219" spans="2:2">
      <c r="B5219" s="251">
        <f ca="1" t="shared" si="327"/>
        <v>39089</v>
      </c>
    </row>
    <row r="5220" spans="2:2">
      <c r="B5220" s="251">
        <f ca="1" t="shared" si="327"/>
        <v>39088</v>
      </c>
    </row>
    <row r="5221" spans="2:2">
      <c r="B5221" s="251">
        <f ca="1" t="shared" si="327"/>
        <v>39087</v>
      </c>
    </row>
    <row r="5222" spans="2:2">
      <c r="B5222" s="251">
        <f ca="1" t="shared" si="327"/>
        <v>39086</v>
      </c>
    </row>
    <row r="5223" spans="2:2">
      <c r="B5223" s="251">
        <f ca="1" t="shared" si="327"/>
        <v>39085</v>
      </c>
    </row>
    <row r="5224" spans="2:2">
      <c r="B5224" s="251">
        <f ca="1" t="shared" si="327"/>
        <v>39084</v>
      </c>
    </row>
    <row r="5225" spans="2:2">
      <c r="B5225" s="251">
        <f ca="1" t="shared" ref="B5225:B5240" si="328">B5224-1</f>
        <v>39083</v>
      </c>
    </row>
    <row r="5226" spans="2:2">
      <c r="B5226" s="251">
        <f ca="1" t="shared" si="328"/>
        <v>39082</v>
      </c>
    </row>
    <row r="5227" spans="2:2">
      <c r="B5227" s="251">
        <f ca="1" t="shared" si="328"/>
        <v>39081</v>
      </c>
    </row>
    <row r="5228" spans="2:2">
      <c r="B5228" s="251">
        <f ca="1" t="shared" si="328"/>
        <v>39080</v>
      </c>
    </row>
    <row r="5229" spans="2:2">
      <c r="B5229" s="251">
        <f ca="1" t="shared" si="328"/>
        <v>39079</v>
      </c>
    </row>
    <row r="5230" spans="2:2">
      <c r="B5230" s="251">
        <f ca="1" t="shared" si="328"/>
        <v>39078</v>
      </c>
    </row>
    <row r="5231" spans="2:2">
      <c r="B5231" s="251">
        <f ca="1" t="shared" si="328"/>
        <v>39077</v>
      </c>
    </row>
    <row r="5232" spans="2:2">
      <c r="B5232" s="251">
        <f ca="1" t="shared" si="328"/>
        <v>39076</v>
      </c>
    </row>
    <row r="5233" spans="2:2">
      <c r="B5233" s="251">
        <f ca="1" t="shared" si="328"/>
        <v>39075</v>
      </c>
    </row>
    <row r="5234" spans="2:2">
      <c r="B5234" s="251">
        <f ca="1" t="shared" si="328"/>
        <v>39074</v>
      </c>
    </row>
    <row r="5235" spans="2:2">
      <c r="B5235" s="251">
        <f ca="1" t="shared" si="328"/>
        <v>39073</v>
      </c>
    </row>
    <row r="5236" spans="2:2">
      <c r="B5236" s="251">
        <f ca="1" t="shared" si="328"/>
        <v>39072</v>
      </c>
    </row>
    <row r="5237" spans="2:2">
      <c r="B5237" s="251">
        <f ca="1" t="shared" si="328"/>
        <v>39071</v>
      </c>
    </row>
    <row r="5238" spans="2:2">
      <c r="B5238" s="251">
        <f ca="1" t="shared" si="328"/>
        <v>39070</v>
      </c>
    </row>
    <row r="5239" spans="2:2">
      <c r="B5239" s="251">
        <f ca="1" t="shared" si="328"/>
        <v>39069</v>
      </c>
    </row>
    <row r="5240" spans="2:2">
      <c r="B5240" s="251">
        <f ca="1" t="shared" si="328"/>
        <v>39068</v>
      </c>
    </row>
    <row r="5241" spans="2:2">
      <c r="B5241" s="251">
        <f ca="1" t="shared" ref="B5241:B5256" si="329">B5240-1</f>
        <v>39067</v>
      </c>
    </row>
    <row r="5242" spans="2:2">
      <c r="B5242" s="251">
        <f ca="1" t="shared" si="329"/>
        <v>39066</v>
      </c>
    </row>
    <row r="5243" spans="2:2">
      <c r="B5243" s="251">
        <f ca="1" t="shared" si="329"/>
        <v>39065</v>
      </c>
    </row>
    <row r="5244" spans="2:2">
      <c r="B5244" s="251">
        <f ca="1" t="shared" si="329"/>
        <v>39064</v>
      </c>
    </row>
    <row r="5245" spans="2:2">
      <c r="B5245" s="251">
        <f ca="1" t="shared" si="329"/>
        <v>39063</v>
      </c>
    </row>
    <row r="5246" spans="2:2">
      <c r="B5246" s="251">
        <f ca="1" t="shared" si="329"/>
        <v>39062</v>
      </c>
    </row>
    <row r="5247" spans="2:2">
      <c r="B5247" s="251">
        <f ca="1" t="shared" si="329"/>
        <v>39061</v>
      </c>
    </row>
    <row r="5248" spans="2:2">
      <c r="B5248" s="251">
        <f ca="1" t="shared" si="329"/>
        <v>39060</v>
      </c>
    </row>
    <row r="5249" spans="2:2">
      <c r="B5249" s="251">
        <f ca="1" t="shared" si="329"/>
        <v>39059</v>
      </c>
    </row>
    <row r="5250" spans="2:2">
      <c r="B5250" s="251">
        <f ca="1" t="shared" si="329"/>
        <v>39058</v>
      </c>
    </row>
    <row r="5251" spans="2:2">
      <c r="B5251" s="251">
        <f ca="1" t="shared" si="329"/>
        <v>39057</v>
      </c>
    </row>
    <row r="5252" spans="2:2">
      <c r="B5252" s="251">
        <f ca="1" t="shared" si="329"/>
        <v>39056</v>
      </c>
    </row>
    <row r="5253" spans="2:2">
      <c r="B5253" s="251">
        <f ca="1" t="shared" si="329"/>
        <v>39055</v>
      </c>
    </row>
    <row r="5254" spans="2:2">
      <c r="B5254" s="251">
        <f ca="1" t="shared" si="329"/>
        <v>39054</v>
      </c>
    </row>
    <row r="5255" spans="2:2">
      <c r="B5255" s="251">
        <f ca="1" t="shared" si="329"/>
        <v>39053</v>
      </c>
    </row>
    <row r="5256" spans="2:2">
      <c r="B5256" s="251">
        <f ca="1" t="shared" si="329"/>
        <v>39052</v>
      </c>
    </row>
    <row r="5257" spans="2:2">
      <c r="B5257" s="251">
        <f ca="1" t="shared" ref="B5257:B5272" si="330">B5256-1</f>
        <v>39051</v>
      </c>
    </row>
    <row r="5258" spans="2:2">
      <c r="B5258" s="251">
        <f ca="1" t="shared" si="330"/>
        <v>39050</v>
      </c>
    </row>
    <row r="5259" spans="2:2">
      <c r="B5259" s="251">
        <f ca="1" t="shared" si="330"/>
        <v>39049</v>
      </c>
    </row>
    <row r="5260" spans="2:2">
      <c r="B5260" s="251">
        <f ca="1" t="shared" si="330"/>
        <v>39048</v>
      </c>
    </row>
    <row r="5261" spans="2:2">
      <c r="B5261" s="251">
        <f ca="1" t="shared" si="330"/>
        <v>39047</v>
      </c>
    </row>
    <row r="5262" spans="2:2">
      <c r="B5262" s="251">
        <f ca="1" t="shared" si="330"/>
        <v>39046</v>
      </c>
    </row>
    <row r="5263" spans="2:2">
      <c r="B5263" s="251">
        <f ca="1" t="shared" si="330"/>
        <v>39045</v>
      </c>
    </row>
    <row r="5264" spans="2:2">
      <c r="B5264" s="251">
        <f ca="1" t="shared" si="330"/>
        <v>39044</v>
      </c>
    </row>
    <row r="5265" spans="2:2">
      <c r="B5265" s="251">
        <f ca="1" t="shared" si="330"/>
        <v>39043</v>
      </c>
    </row>
    <row r="5266" spans="2:2">
      <c r="B5266" s="251">
        <f ca="1" t="shared" si="330"/>
        <v>39042</v>
      </c>
    </row>
    <row r="5267" spans="2:2">
      <c r="B5267" s="251">
        <f ca="1" t="shared" si="330"/>
        <v>39041</v>
      </c>
    </row>
    <row r="5268" spans="2:2">
      <c r="B5268" s="251">
        <f ca="1" t="shared" si="330"/>
        <v>39040</v>
      </c>
    </row>
    <row r="5269" spans="2:2">
      <c r="B5269" s="251">
        <f ca="1" t="shared" si="330"/>
        <v>39039</v>
      </c>
    </row>
    <row r="5270" spans="2:2">
      <c r="B5270" s="251">
        <f ca="1" t="shared" si="330"/>
        <v>39038</v>
      </c>
    </row>
    <row r="5271" spans="2:2">
      <c r="B5271" s="251">
        <f ca="1" t="shared" si="330"/>
        <v>39037</v>
      </c>
    </row>
    <row r="5272" spans="2:2">
      <c r="B5272" s="251">
        <f ca="1" t="shared" si="330"/>
        <v>39036</v>
      </c>
    </row>
    <row r="5273" spans="2:2">
      <c r="B5273" s="251">
        <f ca="1" t="shared" ref="B5273:B5288" si="331">B5272-1</f>
        <v>39035</v>
      </c>
    </row>
    <row r="5274" spans="2:2">
      <c r="B5274" s="251">
        <f ca="1" t="shared" si="331"/>
        <v>39034</v>
      </c>
    </row>
    <row r="5275" spans="2:2">
      <c r="B5275" s="251">
        <f ca="1" t="shared" si="331"/>
        <v>39033</v>
      </c>
    </row>
    <row r="5276" spans="2:2">
      <c r="B5276" s="251">
        <f ca="1" t="shared" si="331"/>
        <v>39032</v>
      </c>
    </row>
    <row r="5277" spans="2:2">
      <c r="B5277" s="251">
        <f ca="1" t="shared" si="331"/>
        <v>39031</v>
      </c>
    </row>
    <row r="5278" spans="2:2">
      <c r="B5278" s="251">
        <f ca="1" t="shared" si="331"/>
        <v>39030</v>
      </c>
    </row>
    <row r="5279" spans="2:2">
      <c r="B5279" s="251">
        <f ca="1" t="shared" si="331"/>
        <v>39029</v>
      </c>
    </row>
    <row r="5280" spans="2:2">
      <c r="B5280" s="251">
        <f ca="1" t="shared" si="331"/>
        <v>39028</v>
      </c>
    </row>
    <row r="5281" spans="2:2">
      <c r="B5281" s="251">
        <f ca="1" t="shared" si="331"/>
        <v>39027</v>
      </c>
    </row>
    <row r="5282" spans="2:2">
      <c r="B5282" s="251">
        <f ca="1" t="shared" si="331"/>
        <v>39026</v>
      </c>
    </row>
    <row r="5283" spans="2:2">
      <c r="B5283" s="251">
        <f ca="1" t="shared" si="331"/>
        <v>39025</v>
      </c>
    </row>
    <row r="5284" spans="2:2">
      <c r="B5284" s="251">
        <f ca="1" t="shared" si="331"/>
        <v>39024</v>
      </c>
    </row>
    <row r="5285" spans="2:2">
      <c r="B5285" s="251">
        <f ca="1" t="shared" si="331"/>
        <v>39023</v>
      </c>
    </row>
    <row r="5286" spans="2:2">
      <c r="B5286" s="251">
        <f ca="1" t="shared" si="331"/>
        <v>39022</v>
      </c>
    </row>
    <row r="5287" spans="2:2">
      <c r="B5287" s="251">
        <f ca="1" t="shared" si="331"/>
        <v>39021</v>
      </c>
    </row>
    <row r="5288" spans="2:2">
      <c r="B5288" s="251">
        <f ca="1" t="shared" si="331"/>
        <v>39020</v>
      </c>
    </row>
    <row r="5289" spans="2:2">
      <c r="B5289" s="251">
        <f ca="1" t="shared" ref="B5289:B5304" si="332">B5288-1</f>
        <v>39019</v>
      </c>
    </row>
    <row r="5290" spans="2:2">
      <c r="B5290" s="251">
        <f ca="1" t="shared" si="332"/>
        <v>39018</v>
      </c>
    </row>
    <row r="5291" spans="2:2">
      <c r="B5291" s="251">
        <f ca="1" t="shared" si="332"/>
        <v>39017</v>
      </c>
    </row>
    <row r="5292" spans="2:2">
      <c r="B5292" s="251">
        <f ca="1" t="shared" si="332"/>
        <v>39016</v>
      </c>
    </row>
    <row r="5293" spans="2:2">
      <c r="B5293" s="251">
        <f ca="1" t="shared" si="332"/>
        <v>39015</v>
      </c>
    </row>
    <row r="5294" spans="2:2">
      <c r="B5294" s="251">
        <f ca="1" t="shared" si="332"/>
        <v>39014</v>
      </c>
    </row>
    <row r="5295" spans="2:2">
      <c r="B5295" s="251">
        <f ca="1" t="shared" si="332"/>
        <v>39013</v>
      </c>
    </row>
    <row r="5296" spans="2:2">
      <c r="B5296" s="251">
        <f ca="1" t="shared" si="332"/>
        <v>39012</v>
      </c>
    </row>
    <row r="5297" spans="2:2">
      <c r="B5297" s="251">
        <f ca="1" t="shared" si="332"/>
        <v>39011</v>
      </c>
    </row>
    <row r="5298" spans="2:2">
      <c r="B5298" s="251">
        <f ca="1" t="shared" si="332"/>
        <v>39010</v>
      </c>
    </row>
    <row r="5299" spans="2:2">
      <c r="B5299" s="251">
        <f ca="1" t="shared" si="332"/>
        <v>39009</v>
      </c>
    </row>
    <row r="5300" spans="2:2">
      <c r="B5300" s="251">
        <f ca="1" t="shared" si="332"/>
        <v>39008</v>
      </c>
    </row>
    <row r="5301" spans="2:2">
      <c r="B5301" s="251">
        <f ca="1" t="shared" si="332"/>
        <v>39007</v>
      </c>
    </row>
    <row r="5302" spans="2:2">
      <c r="B5302" s="251">
        <f ca="1" t="shared" si="332"/>
        <v>39006</v>
      </c>
    </row>
    <row r="5303" spans="2:2">
      <c r="B5303" s="251">
        <f ca="1" t="shared" si="332"/>
        <v>39005</v>
      </c>
    </row>
    <row r="5304" spans="2:2">
      <c r="B5304" s="251">
        <f ca="1" t="shared" si="332"/>
        <v>39004</v>
      </c>
    </row>
    <row r="5305" spans="2:2">
      <c r="B5305" s="251">
        <f ca="1" t="shared" ref="B5305:B5320" si="333">B5304-1</f>
        <v>39003</v>
      </c>
    </row>
    <row r="5306" spans="2:2">
      <c r="B5306" s="251">
        <f ca="1" t="shared" si="333"/>
        <v>39002</v>
      </c>
    </row>
    <row r="5307" spans="2:2">
      <c r="B5307" s="251">
        <f ca="1" t="shared" si="333"/>
        <v>39001</v>
      </c>
    </row>
    <row r="5308" spans="2:2">
      <c r="B5308" s="251">
        <f ca="1" t="shared" si="333"/>
        <v>39000</v>
      </c>
    </row>
    <row r="5309" spans="2:2">
      <c r="B5309" s="251">
        <f ca="1" t="shared" si="333"/>
        <v>38999</v>
      </c>
    </row>
    <row r="5310" spans="2:2">
      <c r="B5310" s="251">
        <f ca="1" t="shared" si="333"/>
        <v>38998</v>
      </c>
    </row>
    <row r="5311" spans="2:2">
      <c r="B5311" s="251">
        <f ca="1" t="shared" si="333"/>
        <v>38997</v>
      </c>
    </row>
    <row r="5312" spans="2:2">
      <c r="B5312" s="251">
        <f ca="1" t="shared" si="333"/>
        <v>38996</v>
      </c>
    </row>
    <row r="5313" spans="2:2">
      <c r="B5313" s="251">
        <f ca="1" t="shared" si="333"/>
        <v>38995</v>
      </c>
    </row>
    <row r="5314" spans="2:2">
      <c r="B5314" s="251">
        <f ca="1" t="shared" si="333"/>
        <v>38994</v>
      </c>
    </row>
    <row r="5315" spans="2:2">
      <c r="B5315" s="251">
        <f ca="1" t="shared" si="333"/>
        <v>38993</v>
      </c>
    </row>
    <row r="5316" spans="2:2">
      <c r="B5316" s="251">
        <f ca="1" t="shared" si="333"/>
        <v>38992</v>
      </c>
    </row>
    <row r="5317" spans="2:2">
      <c r="B5317" s="251">
        <f ca="1" t="shared" si="333"/>
        <v>38991</v>
      </c>
    </row>
    <row r="5318" spans="2:2">
      <c r="B5318" s="251">
        <f ca="1" t="shared" si="333"/>
        <v>38990</v>
      </c>
    </row>
    <row r="5319" spans="2:2">
      <c r="B5319" s="251">
        <f ca="1" t="shared" si="333"/>
        <v>38989</v>
      </c>
    </row>
    <row r="5320" spans="2:2">
      <c r="B5320" s="251">
        <f ca="1" t="shared" si="333"/>
        <v>38988</v>
      </c>
    </row>
    <row r="5321" spans="2:2">
      <c r="B5321" s="251">
        <f ca="1" t="shared" ref="B5321:B5336" si="334">B5320-1</f>
        <v>38987</v>
      </c>
    </row>
    <row r="5322" spans="2:2">
      <c r="B5322" s="251">
        <f ca="1" t="shared" si="334"/>
        <v>38986</v>
      </c>
    </row>
    <row r="5323" spans="2:2">
      <c r="B5323" s="251">
        <f ca="1" t="shared" si="334"/>
        <v>38985</v>
      </c>
    </row>
    <row r="5324" spans="2:2">
      <c r="B5324" s="251">
        <f ca="1" t="shared" si="334"/>
        <v>38984</v>
      </c>
    </row>
    <row r="5325" spans="2:2">
      <c r="B5325" s="251">
        <f ca="1" t="shared" si="334"/>
        <v>38983</v>
      </c>
    </row>
    <row r="5326" spans="2:2">
      <c r="B5326" s="251">
        <f ca="1" t="shared" si="334"/>
        <v>38982</v>
      </c>
    </row>
    <row r="5327" spans="2:2">
      <c r="B5327" s="251">
        <f ca="1" t="shared" si="334"/>
        <v>38981</v>
      </c>
    </row>
    <row r="5328" spans="2:2">
      <c r="B5328" s="251">
        <f ca="1" t="shared" si="334"/>
        <v>38980</v>
      </c>
    </row>
    <row r="5329" spans="2:2">
      <c r="B5329" s="251">
        <f ca="1" t="shared" si="334"/>
        <v>38979</v>
      </c>
    </row>
    <row r="5330" spans="2:2">
      <c r="B5330" s="251">
        <f ca="1" t="shared" si="334"/>
        <v>38978</v>
      </c>
    </row>
    <row r="5331" spans="2:2">
      <c r="B5331" s="251">
        <f ca="1" t="shared" si="334"/>
        <v>38977</v>
      </c>
    </row>
    <row r="5332" spans="2:2">
      <c r="B5332" s="251">
        <f ca="1" t="shared" si="334"/>
        <v>38976</v>
      </c>
    </row>
    <row r="5333" spans="2:2">
      <c r="B5333" s="251">
        <f ca="1" t="shared" si="334"/>
        <v>38975</v>
      </c>
    </row>
    <row r="5334" spans="2:2">
      <c r="B5334" s="251">
        <f ca="1" t="shared" si="334"/>
        <v>38974</v>
      </c>
    </row>
    <row r="5335" spans="2:2">
      <c r="B5335" s="251">
        <f ca="1" t="shared" si="334"/>
        <v>38973</v>
      </c>
    </row>
    <row r="5336" spans="2:2">
      <c r="B5336" s="251">
        <f ca="1" t="shared" si="334"/>
        <v>38972</v>
      </c>
    </row>
    <row r="5337" spans="2:2">
      <c r="B5337" s="251">
        <f ca="1" t="shared" ref="B5337:B5352" si="335">B5336-1</f>
        <v>38971</v>
      </c>
    </row>
    <row r="5338" spans="2:2">
      <c r="B5338" s="251">
        <f ca="1" t="shared" si="335"/>
        <v>38970</v>
      </c>
    </row>
    <row r="5339" spans="2:2">
      <c r="B5339" s="251">
        <f ca="1" t="shared" si="335"/>
        <v>38969</v>
      </c>
    </row>
    <row r="5340" spans="2:2">
      <c r="B5340" s="251">
        <f ca="1" t="shared" si="335"/>
        <v>38968</v>
      </c>
    </row>
    <row r="5341" spans="2:2">
      <c r="B5341" s="251">
        <f ca="1" t="shared" si="335"/>
        <v>38967</v>
      </c>
    </row>
    <row r="5342" spans="2:2">
      <c r="B5342" s="251">
        <f ca="1" t="shared" si="335"/>
        <v>38966</v>
      </c>
    </row>
    <row r="5343" spans="2:2">
      <c r="B5343" s="251">
        <f ca="1" t="shared" si="335"/>
        <v>38965</v>
      </c>
    </row>
    <row r="5344" spans="2:2">
      <c r="B5344" s="251">
        <f ca="1" t="shared" si="335"/>
        <v>38964</v>
      </c>
    </row>
    <row r="5345" spans="2:2">
      <c r="B5345" s="251">
        <f ca="1" t="shared" si="335"/>
        <v>38963</v>
      </c>
    </row>
    <row r="5346" spans="2:2">
      <c r="B5346" s="251">
        <f ca="1" t="shared" si="335"/>
        <v>38962</v>
      </c>
    </row>
    <row r="5347" spans="2:2">
      <c r="B5347" s="251">
        <f ca="1" t="shared" si="335"/>
        <v>38961</v>
      </c>
    </row>
    <row r="5348" spans="2:2">
      <c r="B5348" s="251">
        <f ca="1" t="shared" si="335"/>
        <v>38960</v>
      </c>
    </row>
    <row r="5349" spans="2:2">
      <c r="B5349" s="251">
        <f ca="1" t="shared" si="335"/>
        <v>38959</v>
      </c>
    </row>
    <row r="5350" spans="2:2">
      <c r="B5350" s="251">
        <f ca="1" t="shared" si="335"/>
        <v>38958</v>
      </c>
    </row>
    <row r="5351" spans="2:2">
      <c r="B5351" s="251">
        <f ca="1" t="shared" si="335"/>
        <v>38957</v>
      </c>
    </row>
    <row r="5352" spans="2:2">
      <c r="B5352" s="251">
        <f ca="1" t="shared" si="335"/>
        <v>38956</v>
      </c>
    </row>
    <row r="5353" spans="2:2">
      <c r="B5353" s="251">
        <f ca="1" t="shared" ref="B5353:B5368" si="336">B5352-1</f>
        <v>38955</v>
      </c>
    </row>
    <row r="5354" spans="2:2">
      <c r="B5354" s="251">
        <f ca="1" t="shared" si="336"/>
        <v>38954</v>
      </c>
    </row>
    <row r="5355" spans="2:2">
      <c r="B5355" s="251">
        <f ca="1" t="shared" si="336"/>
        <v>38953</v>
      </c>
    </row>
    <row r="5356" spans="2:2">
      <c r="B5356" s="251">
        <f ca="1" t="shared" si="336"/>
        <v>38952</v>
      </c>
    </row>
    <row r="5357" spans="2:2">
      <c r="B5357" s="251">
        <f ca="1" t="shared" si="336"/>
        <v>38951</v>
      </c>
    </row>
    <row r="5358" spans="2:2">
      <c r="B5358" s="251">
        <f ca="1" t="shared" si="336"/>
        <v>38950</v>
      </c>
    </row>
    <row r="5359" spans="2:2">
      <c r="B5359" s="251">
        <f ca="1" t="shared" si="336"/>
        <v>38949</v>
      </c>
    </row>
    <row r="5360" spans="2:2">
      <c r="B5360" s="251">
        <f ca="1" t="shared" si="336"/>
        <v>38948</v>
      </c>
    </row>
    <row r="5361" spans="2:2">
      <c r="B5361" s="251">
        <f ca="1" t="shared" si="336"/>
        <v>38947</v>
      </c>
    </row>
    <row r="5362" spans="2:2">
      <c r="B5362" s="251">
        <f ca="1" t="shared" si="336"/>
        <v>38946</v>
      </c>
    </row>
    <row r="5363" spans="2:2">
      <c r="B5363" s="251">
        <f ca="1" t="shared" si="336"/>
        <v>38945</v>
      </c>
    </row>
    <row r="5364" spans="2:2">
      <c r="B5364" s="251">
        <f ca="1" t="shared" si="336"/>
        <v>38944</v>
      </c>
    </row>
    <row r="5365" spans="2:2">
      <c r="B5365" s="251">
        <f ca="1" t="shared" si="336"/>
        <v>38943</v>
      </c>
    </row>
    <row r="5366" spans="2:2">
      <c r="B5366" s="251">
        <f ca="1" t="shared" si="336"/>
        <v>38942</v>
      </c>
    </row>
    <row r="5367" spans="2:2">
      <c r="B5367" s="251">
        <f ca="1" t="shared" si="336"/>
        <v>38941</v>
      </c>
    </row>
    <row r="5368" spans="2:2">
      <c r="B5368" s="251">
        <f ca="1" t="shared" si="336"/>
        <v>38940</v>
      </c>
    </row>
    <row r="5369" spans="2:2">
      <c r="B5369" s="251">
        <f ca="1" t="shared" ref="B5369:B5384" si="337">B5368-1</f>
        <v>38939</v>
      </c>
    </row>
    <row r="5370" spans="2:2">
      <c r="B5370" s="251">
        <f ca="1" t="shared" si="337"/>
        <v>38938</v>
      </c>
    </row>
    <row r="5371" spans="2:2">
      <c r="B5371" s="251">
        <f ca="1" t="shared" si="337"/>
        <v>38937</v>
      </c>
    </row>
    <row r="5372" spans="2:2">
      <c r="B5372" s="251">
        <f ca="1" t="shared" si="337"/>
        <v>38936</v>
      </c>
    </row>
    <row r="5373" spans="2:2">
      <c r="B5373" s="251">
        <f ca="1" t="shared" si="337"/>
        <v>38935</v>
      </c>
    </row>
    <row r="5374" spans="2:2">
      <c r="B5374" s="251">
        <f ca="1" t="shared" si="337"/>
        <v>38934</v>
      </c>
    </row>
    <row r="5375" spans="2:2">
      <c r="B5375" s="251">
        <f ca="1" t="shared" si="337"/>
        <v>38933</v>
      </c>
    </row>
    <row r="5376" spans="2:2">
      <c r="B5376" s="251">
        <f ca="1" t="shared" si="337"/>
        <v>38932</v>
      </c>
    </row>
    <row r="5377" spans="2:2">
      <c r="B5377" s="251">
        <f ca="1" t="shared" si="337"/>
        <v>38931</v>
      </c>
    </row>
    <row r="5378" spans="2:2">
      <c r="B5378" s="251">
        <f ca="1" t="shared" si="337"/>
        <v>38930</v>
      </c>
    </row>
    <row r="5379" spans="2:2">
      <c r="B5379" s="251">
        <f ca="1" t="shared" si="337"/>
        <v>38929</v>
      </c>
    </row>
    <row r="5380" spans="2:2">
      <c r="B5380" s="251">
        <f ca="1" t="shared" si="337"/>
        <v>38928</v>
      </c>
    </row>
    <row r="5381" spans="2:2">
      <c r="B5381" s="251">
        <f ca="1" t="shared" si="337"/>
        <v>38927</v>
      </c>
    </row>
    <row r="5382" spans="2:2">
      <c r="B5382" s="251">
        <f ca="1" t="shared" si="337"/>
        <v>38926</v>
      </c>
    </row>
    <row r="5383" spans="2:2">
      <c r="B5383" s="251">
        <f ca="1" t="shared" si="337"/>
        <v>38925</v>
      </c>
    </row>
    <row r="5384" spans="2:2">
      <c r="B5384" s="251">
        <f ca="1" t="shared" si="337"/>
        <v>38924</v>
      </c>
    </row>
    <row r="5385" spans="2:2">
      <c r="B5385" s="251">
        <f ca="1" t="shared" ref="B5385:B5400" si="338">B5384-1</f>
        <v>38923</v>
      </c>
    </row>
    <row r="5386" spans="2:2">
      <c r="B5386" s="251">
        <f ca="1" t="shared" si="338"/>
        <v>38922</v>
      </c>
    </row>
    <row r="5387" spans="2:2">
      <c r="B5387" s="251">
        <f ca="1" t="shared" si="338"/>
        <v>38921</v>
      </c>
    </row>
    <row r="5388" spans="2:2">
      <c r="B5388" s="251">
        <f ca="1" t="shared" si="338"/>
        <v>38920</v>
      </c>
    </row>
    <row r="5389" spans="2:2">
      <c r="B5389" s="251">
        <f ca="1" t="shared" si="338"/>
        <v>38919</v>
      </c>
    </row>
    <row r="5390" spans="2:2">
      <c r="B5390" s="251">
        <f ca="1" t="shared" si="338"/>
        <v>38918</v>
      </c>
    </row>
    <row r="5391" spans="2:2">
      <c r="B5391" s="251">
        <f ca="1" t="shared" si="338"/>
        <v>38917</v>
      </c>
    </row>
    <row r="5392" spans="2:2">
      <c r="B5392" s="251">
        <f ca="1" t="shared" si="338"/>
        <v>38916</v>
      </c>
    </row>
    <row r="5393" spans="2:2">
      <c r="B5393" s="251">
        <f ca="1" t="shared" si="338"/>
        <v>38915</v>
      </c>
    </row>
    <row r="5394" spans="2:2">
      <c r="B5394" s="251">
        <f ca="1" t="shared" si="338"/>
        <v>38914</v>
      </c>
    </row>
    <row r="5395" spans="2:2">
      <c r="B5395" s="251">
        <f ca="1" t="shared" si="338"/>
        <v>38913</v>
      </c>
    </row>
    <row r="5396" spans="2:2">
      <c r="B5396" s="251">
        <f ca="1" t="shared" si="338"/>
        <v>38912</v>
      </c>
    </row>
    <row r="5397" spans="2:2">
      <c r="B5397" s="251">
        <f ca="1" t="shared" si="338"/>
        <v>38911</v>
      </c>
    </row>
    <row r="5398" spans="2:2">
      <c r="B5398" s="251">
        <f ca="1" t="shared" si="338"/>
        <v>38910</v>
      </c>
    </row>
    <row r="5399" spans="2:2">
      <c r="B5399" s="251">
        <f ca="1" t="shared" si="338"/>
        <v>38909</v>
      </c>
    </row>
    <row r="5400" spans="2:2">
      <c r="B5400" s="251">
        <f ca="1" t="shared" si="338"/>
        <v>38908</v>
      </c>
    </row>
    <row r="5401" spans="2:2">
      <c r="B5401" s="251">
        <f ca="1" t="shared" ref="B5401:B5416" si="339">B5400-1</f>
        <v>38907</v>
      </c>
    </row>
    <row r="5402" spans="2:2">
      <c r="B5402" s="251">
        <f ca="1" t="shared" si="339"/>
        <v>38906</v>
      </c>
    </row>
    <row r="5403" spans="2:2">
      <c r="B5403" s="251">
        <f ca="1" t="shared" si="339"/>
        <v>38905</v>
      </c>
    </row>
    <row r="5404" spans="2:2">
      <c r="B5404" s="251">
        <f ca="1" t="shared" si="339"/>
        <v>38904</v>
      </c>
    </row>
    <row r="5405" spans="2:2">
      <c r="B5405" s="251">
        <f ca="1" t="shared" si="339"/>
        <v>38903</v>
      </c>
    </row>
    <row r="5406" spans="2:2">
      <c r="B5406" s="251">
        <f ca="1" t="shared" si="339"/>
        <v>38902</v>
      </c>
    </row>
    <row r="5407" spans="2:2">
      <c r="B5407" s="251">
        <f ca="1" t="shared" si="339"/>
        <v>38901</v>
      </c>
    </row>
    <row r="5408" spans="2:2">
      <c r="B5408" s="251">
        <f ca="1" t="shared" si="339"/>
        <v>38900</v>
      </c>
    </row>
    <row r="5409" spans="2:2">
      <c r="B5409" s="251">
        <f ca="1" t="shared" si="339"/>
        <v>38899</v>
      </c>
    </row>
    <row r="5410" spans="2:2">
      <c r="B5410" s="251">
        <f ca="1" t="shared" si="339"/>
        <v>38898</v>
      </c>
    </row>
    <row r="5411" spans="2:2">
      <c r="B5411" s="251">
        <f ca="1" t="shared" si="339"/>
        <v>38897</v>
      </c>
    </row>
    <row r="5412" spans="2:2">
      <c r="B5412" s="251">
        <f ca="1" t="shared" si="339"/>
        <v>38896</v>
      </c>
    </row>
    <row r="5413" spans="2:2">
      <c r="B5413" s="251">
        <f ca="1" t="shared" si="339"/>
        <v>38895</v>
      </c>
    </row>
    <row r="5414" spans="2:2">
      <c r="B5414" s="251">
        <f ca="1" t="shared" si="339"/>
        <v>38894</v>
      </c>
    </row>
    <row r="5415" spans="2:2">
      <c r="B5415" s="251">
        <f ca="1" t="shared" si="339"/>
        <v>38893</v>
      </c>
    </row>
    <row r="5416" spans="2:2">
      <c r="B5416" s="251">
        <f ca="1" t="shared" si="339"/>
        <v>38892</v>
      </c>
    </row>
    <row r="5417" spans="2:2">
      <c r="B5417" s="251">
        <f ca="1" t="shared" ref="B5417:B5432" si="340">B5416-1</f>
        <v>38891</v>
      </c>
    </row>
    <row r="5418" spans="2:2">
      <c r="B5418" s="251">
        <f ca="1" t="shared" si="340"/>
        <v>38890</v>
      </c>
    </row>
    <row r="5419" spans="2:2">
      <c r="B5419" s="251">
        <f ca="1" t="shared" si="340"/>
        <v>38889</v>
      </c>
    </row>
    <row r="5420" spans="2:2">
      <c r="B5420" s="251">
        <f ca="1" t="shared" si="340"/>
        <v>38888</v>
      </c>
    </row>
    <row r="5421" spans="2:2">
      <c r="B5421" s="251">
        <f ca="1" t="shared" si="340"/>
        <v>38887</v>
      </c>
    </row>
    <row r="5422" spans="2:2">
      <c r="B5422" s="251">
        <f ca="1" t="shared" si="340"/>
        <v>38886</v>
      </c>
    </row>
    <row r="5423" spans="2:2">
      <c r="B5423" s="251">
        <f ca="1" t="shared" si="340"/>
        <v>38885</v>
      </c>
    </row>
    <row r="5424" spans="2:2">
      <c r="B5424" s="251">
        <f ca="1" t="shared" si="340"/>
        <v>38884</v>
      </c>
    </row>
    <row r="5425" spans="2:2">
      <c r="B5425" s="251">
        <f ca="1" t="shared" si="340"/>
        <v>38883</v>
      </c>
    </row>
    <row r="5426" spans="2:2">
      <c r="B5426" s="251">
        <f ca="1" t="shared" si="340"/>
        <v>38882</v>
      </c>
    </row>
    <row r="5427" spans="2:2">
      <c r="B5427" s="251">
        <f ca="1" t="shared" si="340"/>
        <v>38881</v>
      </c>
    </row>
    <row r="5428" spans="2:2">
      <c r="B5428" s="251">
        <f ca="1" t="shared" si="340"/>
        <v>38880</v>
      </c>
    </row>
    <row r="5429" spans="2:2">
      <c r="B5429" s="251">
        <f ca="1" t="shared" si="340"/>
        <v>38879</v>
      </c>
    </row>
    <row r="5430" spans="2:2">
      <c r="B5430" s="251">
        <f ca="1" t="shared" si="340"/>
        <v>38878</v>
      </c>
    </row>
    <row r="5431" spans="2:2">
      <c r="B5431" s="251">
        <f ca="1" t="shared" si="340"/>
        <v>38877</v>
      </c>
    </row>
    <row r="5432" spans="2:2">
      <c r="B5432" s="251">
        <f ca="1" t="shared" si="340"/>
        <v>38876</v>
      </c>
    </row>
    <row r="5433" spans="2:2">
      <c r="B5433" s="251">
        <f ca="1" t="shared" ref="B5433:B5448" si="341">B5432-1</f>
        <v>38875</v>
      </c>
    </row>
    <row r="5434" spans="2:2">
      <c r="B5434" s="251">
        <f ca="1" t="shared" si="341"/>
        <v>38874</v>
      </c>
    </row>
    <row r="5435" spans="2:2">
      <c r="B5435" s="251">
        <f ca="1" t="shared" si="341"/>
        <v>38873</v>
      </c>
    </row>
    <row r="5436" spans="2:2">
      <c r="B5436" s="251">
        <f ca="1" t="shared" si="341"/>
        <v>38872</v>
      </c>
    </row>
    <row r="5437" spans="2:2">
      <c r="B5437" s="251">
        <f ca="1" t="shared" si="341"/>
        <v>38871</v>
      </c>
    </row>
    <row r="5438" spans="2:2">
      <c r="B5438" s="251">
        <f ca="1" t="shared" si="341"/>
        <v>38870</v>
      </c>
    </row>
    <row r="5439" spans="2:2">
      <c r="B5439" s="251">
        <f ca="1" t="shared" si="341"/>
        <v>38869</v>
      </c>
    </row>
    <row r="5440" spans="2:2">
      <c r="B5440" s="251">
        <f ca="1" t="shared" si="341"/>
        <v>38868</v>
      </c>
    </row>
    <row r="5441" spans="2:2">
      <c r="B5441" s="251">
        <f ca="1" t="shared" si="341"/>
        <v>38867</v>
      </c>
    </row>
    <row r="5442" spans="2:2">
      <c r="B5442" s="251">
        <f ca="1" t="shared" si="341"/>
        <v>38866</v>
      </c>
    </row>
    <row r="5443" spans="2:2">
      <c r="B5443" s="251">
        <f ca="1" t="shared" si="341"/>
        <v>38865</v>
      </c>
    </row>
    <row r="5444" spans="2:2">
      <c r="B5444" s="251">
        <f ca="1" t="shared" si="341"/>
        <v>38864</v>
      </c>
    </row>
    <row r="5445" spans="2:2">
      <c r="B5445" s="251">
        <f ca="1" t="shared" si="341"/>
        <v>38863</v>
      </c>
    </row>
    <row r="5446" spans="2:2">
      <c r="B5446" s="251">
        <f ca="1" t="shared" si="341"/>
        <v>38862</v>
      </c>
    </row>
    <row r="5447" spans="2:2">
      <c r="B5447" s="251">
        <f ca="1" t="shared" si="341"/>
        <v>38861</v>
      </c>
    </row>
    <row r="5448" spans="2:2">
      <c r="B5448" s="251">
        <f ca="1" t="shared" si="341"/>
        <v>38860</v>
      </c>
    </row>
    <row r="5449" spans="2:2">
      <c r="B5449" s="251">
        <f ca="1" t="shared" ref="B5449:B5464" si="342">B5448-1</f>
        <v>38859</v>
      </c>
    </row>
    <row r="5450" spans="2:2">
      <c r="B5450" s="251">
        <f ca="1" t="shared" si="342"/>
        <v>38858</v>
      </c>
    </row>
    <row r="5451" spans="2:2">
      <c r="B5451" s="251">
        <f ca="1" t="shared" si="342"/>
        <v>38857</v>
      </c>
    </row>
    <row r="5452" spans="2:2">
      <c r="B5452" s="251">
        <f ca="1" t="shared" si="342"/>
        <v>38856</v>
      </c>
    </row>
    <row r="5453" spans="2:2">
      <c r="B5453" s="251">
        <f ca="1" t="shared" si="342"/>
        <v>38855</v>
      </c>
    </row>
    <row r="5454" spans="2:2">
      <c r="B5454" s="251">
        <f ca="1" t="shared" si="342"/>
        <v>38854</v>
      </c>
    </row>
    <row r="5455" spans="2:2">
      <c r="B5455" s="251">
        <f ca="1" t="shared" si="342"/>
        <v>38853</v>
      </c>
    </row>
    <row r="5456" spans="2:2">
      <c r="B5456" s="251">
        <f ca="1" t="shared" si="342"/>
        <v>38852</v>
      </c>
    </row>
    <row r="5457" spans="2:2">
      <c r="B5457" s="251">
        <f ca="1" t="shared" si="342"/>
        <v>38851</v>
      </c>
    </row>
    <row r="5458" spans="2:2">
      <c r="B5458" s="251">
        <f ca="1" t="shared" si="342"/>
        <v>38850</v>
      </c>
    </row>
    <row r="5459" spans="2:2">
      <c r="B5459" s="251">
        <f ca="1" t="shared" si="342"/>
        <v>38849</v>
      </c>
    </row>
    <row r="5460" spans="2:2">
      <c r="B5460" s="251">
        <f ca="1" t="shared" si="342"/>
        <v>38848</v>
      </c>
    </row>
    <row r="5461" spans="2:2">
      <c r="B5461" s="251">
        <f ca="1" t="shared" si="342"/>
        <v>38847</v>
      </c>
    </row>
    <row r="5462" spans="2:2">
      <c r="B5462" s="251">
        <f ca="1" t="shared" si="342"/>
        <v>38846</v>
      </c>
    </row>
    <row r="5463" spans="2:2">
      <c r="B5463" s="251">
        <f ca="1" t="shared" si="342"/>
        <v>38845</v>
      </c>
    </row>
    <row r="5464" spans="2:2">
      <c r="B5464" s="251">
        <f ca="1" t="shared" si="342"/>
        <v>38844</v>
      </c>
    </row>
    <row r="5465" spans="2:2">
      <c r="B5465" s="251">
        <f ca="1" t="shared" ref="B5465:B5480" si="343">B5464-1</f>
        <v>38843</v>
      </c>
    </row>
    <row r="5466" spans="2:2">
      <c r="B5466" s="251">
        <f ca="1" t="shared" si="343"/>
        <v>38842</v>
      </c>
    </row>
    <row r="5467" spans="2:2">
      <c r="B5467" s="251">
        <f ca="1" t="shared" si="343"/>
        <v>38841</v>
      </c>
    </row>
    <row r="5468" spans="2:2">
      <c r="B5468" s="251">
        <f ca="1" t="shared" si="343"/>
        <v>38840</v>
      </c>
    </row>
    <row r="5469" spans="2:2">
      <c r="B5469" s="251">
        <f ca="1" t="shared" si="343"/>
        <v>38839</v>
      </c>
    </row>
    <row r="5470" spans="2:2">
      <c r="B5470" s="251">
        <f ca="1" t="shared" si="343"/>
        <v>38838</v>
      </c>
    </row>
    <row r="5471" spans="2:2">
      <c r="B5471" s="251">
        <f ca="1" t="shared" si="343"/>
        <v>38837</v>
      </c>
    </row>
    <row r="5472" spans="2:2">
      <c r="B5472" s="251">
        <f ca="1" t="shared" si="343"/>
        <v>38836</v>
      </c>
    </row>
    <row r="5473" spans="2:2">
      <c r="B5473" s="251">
        <f ca="1" t="shared" si="343"/>
        <v>38835</v>
      </c>
    </row>
    <row r="5474" spans="2:2">
      <c r="B5474" s="251">
        <f ca="1" t="shared" si="343"/>
        <v>38834</v>
      </c>
    </row>
    <row r="5475" spans="2:2">
      <c r="B5475" s="251">
        <f ca="1" t="shared" si="343"/>
        <v>38833</v>
      </c>
    </row>
    <row r="5476" spans="2:2">
      <c r="B5476" s="251">
        <f ca="1" t="shared" si="343"/>
        <v>38832</v>
      </c>
    </row>
    <row r="5477" spans="2:2">
      <c r="B5477" s="251">
        <f ca="1" t="shared" si="343"/>
        <v>38831</v>
      </c>
    </row>
    <row r="5478" spans="2:2">
      <c r="B5478" s="251">
        <f ca="1" t="shared" si="343"/>
        <v>38830</v>
      </c>
    </row>
    <row r="5479" spans="2:2">
      <c r="B5479" s="251">
        <f ca="1" t="shared" si="343"/>
        <v>38829</v>
      </c>
    </row>
    <row r="5480" spans="2:2">
      <c r="B5480" s="251">
        <f ca="1" t="shared" si="343"/>
        <v>38828</v>
      </c>
    </row>
    <row r="5481" spans="2:2">
      <c r="B5481" s="251">
        <f ca="1" t="shared" ref="B5481:B5496" si="344">B5480-1</f>
        <v>38827</v>
      </c>
    </row>
    <row r="5482" spans="2:2">
      <c r="B5482" s="251">
        <f ca="1" t="shared" si="344"/>
        <v>38826</v>
      </c>
    </row>
    <row r="5483" spans="2:2">
      <c r="B5483" s="251">
        <f ca="1" t="shared" si="344"/>
        <v>38825</v>
      </c>
    </row>
    <row r="5484" spans="2:2">
      <c r="B5484" s="251">
        <f ca="1" t="shared" si="344"/>
        <v>38824</v>
      </c>
    </row>
    <row r="5485" spans="2:2">
      <c r="B5485" s="251">
        <f ca="1" t="shared" si="344"/>
        <v>38823</v>
      </c>
    </row>
    <row r="5486" spans="2:2">
      <c r="B5486" s="251">
        <f ca="1" t="shared" si="344"/>
        <v>38822</v>
      </c>
    </row>
    <row r="5487" spans="2:2">
      <c r="B5487" s="251">
        <f ca="1" t="shared" si="344"/>
        <v>38821</v>
      </c>
    </row>
    <row r="5488" spans="2:2">
      <c r="B5488" s="251">
        <f ca="1" t="shared" si="344"/>
        <v>38820</v>
      </c>
    </row>
    <row r="5489" spans="2:2">
      <c r="B5489" s="251">
        <f ca="1" t="shared" si="344"/>
        <v>38819</v>
      </c>
    </row>
    <row r="5490" spans="2:2">
      <c r="B5490" s="251">
        <f ca="1" t="shared" si="344"/>
        <v>38818</v>
      </c>
    </row>
    <row r="5491" spans="2:2">
      <c r="B5491" s="251">
        <f ca="1" t="shared" si="344"/>
        <v>38817</v>
      </c>
    </row>
    <row r="5492" spans="2:2">
      <c r="B5492" s="251">
        <f ca="1" t="shared" si="344"/>
        <v>38816</v>
      </c>
    </row>
    <row r="5493" spans="2:2">
      <c r="B5493" s="251">
        <f ca="1" t="shared" si="344"/>
        <v>38815</v>
      </c>
    </row>
    <row r="5494" spans="2:2">
      <c r="B5494" s="251">
        <f ca="1" t="shared" si="344"/>
        <v>38814</v>
      </c>
    </row>
    <row r="5495" spans="2:2">
      <c r="B5495" s="251">
        <f ca="1" t="shared" si="344"/>
        <v>38813</v>
      </c>
    </row>
    <row r="5496" spans="2:2">
      <c r="B5496" s="251">
        <f ca="1" t="shared" si="344"/>
        <v>38812</v>
      </c>
    </row>
    <row r="5497" spans="2:2">
      <c r="B5497" s="251">
        <f ca="1" t="shared" ref="B5497:B5512" si="345">B5496-1</f>
        <v>38811</v>
      </c>
    </row>
    <row r="5498" spans="2:2">
      <c r="B5498" s="251">
        <f ca="1" t="shared" si="345"/>
        <v>38810</v>
      </c>
    </row>
    <row r="5499" spans="2:2">
      <c r="B5499" s="251">
        <f ca="1" t="shared" si="345"/>
        <v>38809</v>
      </c>
    </row>
    <row r="5500" spans="2:2">
      <c r="B5500" s="251">
        <f ca="1" t="shared" si="345"/>
        <v>38808</v>
      </c>
    </row>
    <row r="5501" spans="2:2">
      <c r="B5501" s="251">
        <f ca="1" t="shared" si="345"/>
        <v>38807</v>
      </c>
    </row>
    <row r="5502" spans="2:2">
      <c r="B5502" s="251">
        <f ca="1" t="shared" si="345"/>
        <v>38806</v>
      </c>
    </row>
    <row r="5503" spans="2:2">
      <c r="B5503" s="251">
        <f ca="1" t="shared" si="345"/>
        <v>38805</v>
      </c>
    </row>
    <row r="5504" spans="2:2">
      <c r="B5504" s="251">
        <f ca="1" t="shared" si="345"/>
        <v>38804</v>
      </c>
    </row>
    <row r="5505" spans="2:2">
      <c r="B5505" s="251">
        <f ca="1" t="shared" si="345"/>
        <v>38803</v>
      </c>
    </row>
    <row r="5506" spans="2:2">
      <c r="B5506" s="251">
        <f ca="1" t="shared" si="345"/>
        <v>38802</v>
      </c>
    </row>
    <row r="5507" spans="2:2">
      <c r="B5507" s="251">
        <f ca="1" t="shared" si="345"/>
        <v>38801</v>
      </c>
    </row>
    <row r="5508" spans="2:2">
      <c r="B5508" s="251">
        <f ca="1" t="shared" si="345"/>
        <v>38800</v>
      </c>
    </row>
    <row r="5509" spans="2:2">
      <c r="B5509" s="251">
        <f ca="1" t="shared" si="345"/>
        <v>38799</v>
      </c>
    </row>
    <row r="5510" spans="2:2">
      <c r="B5510" s="251">
        <f ca="1" t="shared" si="345"/>
        <v>38798</v>
      </c>
    </row>
    <row r="5511" spans="2:2">
      <c r="B5511" s="251">
        <f ca="1" t="shared" si="345"/>
        <v>38797</v>
      </c>
    </row>
    <row r="5512" spans="2:2">
      <c r="B5512" s="251">
        <f ca="1" t="shared" si="345"/>
        <v>38796</v>
      </c>
    </row>
    <row r="5513" spans="2:2">
      <c r="B5513" s="251">
        <f ca="1" t="shared" ref="B5513:B5528" si="346">B5512-1</f>
        <v>38795</v>
      </c>
    </row>
    <row r="5514" spans="2:2">
      <c r="B5514" s="251">
        <f ca="1" t="shared" si="346"/>
        <v>38794</v>
      </c>
    </row>
    <row r="5515" spans="2:2">
      <c r="B5515" s="251">
        <f ca="1" t="shared" si="346"/>
        <v>38793</v>
      </c>
    </row>
    <row r="5516" spans="2:2">
      <c r="B5516" s="251">
        <f ca="1" t="shared" si="346"/>
        <v>38792</v>
      </c>
    </row>
    <row r="5517" spans="2:2">
      <c r="B5517" s="251">
        <f ca="1" t="shared" si="346"/>
        <v>38791</v>
      </c>
    </row>
    <row r="5518" spans="2:2">
      <c r="B5518" s="251">
        <f ca="1" t="shared" si="346"/>
        <v>38790</v>
      </c>
    </row>
    <row r="5519" spans="2:2">
      <c r="B5519" s="251">
        <f ca="1" t="shared" si="346"/>
        <v>38789</v>
      </c>
    </row>
    <row r="5520" spans="2:2">
      <c r="B5520" s="251">
        <f ca="1" t="shared" si="346"/>
        <v>38788</v>
      </c>
    </row>
    <row r="5521" spans="2:2">
      <c r="B5521" s="251">
        <f ca="1" t="shared" si="346"/>
        <v>38787</v>
      </c>
    </row>
    <row r="5522" spans="2:2">
      <c r="B5522" s="251">
        <f ca="1" t="shared" si="346"/>
        <v>38786</v>
      </c>
    </row>
    <row r="5523" spans="2:2">
      <c r="B5523" s="251">
        <f ca="1" t="shared" si="346"/>
        <v>38785</v>
      </c>
    </row>
    <row r="5524" spans="2:2">
      <c r="B5524" s="251">
        <f ca="1" t="shared" si="346"/>
        <v>38784</v>
      </c>
    </row>
    <row r="5525" spans="2:2">
      <c r="B5525" s="251">
        <f ca="1" t="shared" si="346"/>
        <v>38783</v>
      </c>
    </row>
    <row r="5526" spans="2:2">
      <c r="B5526" s="251">
        <f ca="1" t="shared" si="346"/>
        <v>38782</v>
      </c>
    </row>
    <row r="5527" spans="2:2">
      <c r="B5527" s="251">
        <f ca="1" t="shared" si="346"/>
        <v>38781</v>
      </c>
    </row>
    <row r="5528" spans="2:2">
      <c r="B5528" s="251">
        <f ca="1" t="shared" si="346"/>
        <v>38780</v>
      </c>
    </row>
    <row r="5529" spans="2:2">
      <c r="B5529" s="251">
        <f ca="1" t="shared" ref="B5529:B5544" si="347">B5528-1</f>
        <v>38779</v>
      </c>
    </row>
    <row r="5530" spans="2:2">
      <c r="B5530" s="251">
        <f ca="1" t="shared" si="347"/>
        <v>38778</v>
      </c>
    </row>
    <row r="5531" spans="2:2">
      <c r="B5531" s="251">
        <f ca="1" t="shared" si="347"/>
        <v>38777</v>
      </c>
    </row>
    <row r="5532" spans="2:2">
      <c r="B5532" s="251">
        <f ca="1" t="shared" si="347"/>
        <v>38776</v>
      </c>
    </row>
    <row r="5533" spans="2:2">
      <c r="B5533" s="251">
        <f ca="1" t="shared" si="347"/>
        <v>38775</v>
      </c>
    </row>
    <row r="5534" spans="2:2">
      <c r="B5534" s="251">
        <f ca="1" t="shared" si="347"/>
        <v>38774</v>
      </c>
    </row>
    <row r="5535" spans="2:2">
      <c r="B5535" s="251">
        <f ca="1" t="shared" si="347"/>
        <v>38773</v>
      </c>
    </row>
    <row r="5536" spans="2:2">
      <c r="B5536" s="251">
        <f ca="1" t="shared" si="347"/>
        <v>38772</v>
      </c>
    </row>
    <row r="5537" spans="2:2">
      <c r="B5537" s="251">
        <f ca="1" t="shared" si="347"/>
        <v>38771</v>
      </c>
    </row>
    <row r="5538" spans="2:2">
      <c r="B5538" s="251">
        <f ca="1" t="shared" si="347"/>
        <v>38770</v>
      </c>
    </row>
    <row r="5539" spans="2:2">
      <c r="B5539" s="251">
        <f ca="1" t="shared" si="347"/>
        <v>38769</v>
      </c>
    </row>
    <row r="5540" spans="2:2">
      <c r="B5540" s="251">
        <f ca="1" t="shared" si="347"/>
        <v>38768</v>
      </c>
    </row>
    <row r="5541" spans="2:2">
      <c r="B5541" s="251">
        <f ca="1" t="shared" si="347"/>
        <v>38767</v>
      </c>
    </row>
    <row r="5542" spans="2:2">
      <c r="B5542" s="251">
        <f ca="1" t="shared" si="347"/>
        <v>38766</v>
      </c>
    </row>
    <row r="5543" spans="2:2">
      <c r="B5543" s="251">
        <f ca="1" t="shared" si="347"/>
        <v>38765</v>
      </c>
    </row>
    <row r="5544" spans="2:2">
      <c r="B5544" s="251">
        <f ca="1" t="shared" si="347"/>
        <v>38764</v>
      </c>
    </row>
    <row r="5545" spans="2:2">
      <c r="B5545" s="251">
        <f ca="1" t="shared" ref="B5545:B5560" si="348">B5544-1</f>
        <v>38763</v>
      </c>
    </row>
    <row r="5546" spans="2:2">
      <c r="B5546" s="251">
        <f ca="1" t="shared" si="348"/>
        <v>38762</v>
      </c>
    </row>
    <row r="5547" spans="2:2">
      <c r="B5547" s="251">
        <f ca="1" t="shared" si="348"/>
        <v>38761</v>
      </c>
    </row>
    <row r="5548" spans="2:2">
      <c r="B5548" s="251">
        <f ca="1" t="shared" si="348"/>
        <v>38760</v>
      </c>
    </row>
    <row r="5549" spans="2:2">
      <c r="B5549" s="251">
        <f ca="1" t="shared" si="348"/>
        <v>38759</v>
      </c>
    </row>
    <row r="5550" spans="2:2">
      <c r="B5550" s="251">
        <f ca="1" t="shared" si="348"/>
        <v>38758</v>
      </c>
    </row>
    <row r="5551" spans="2:2">
      <c r="B5551" s="251">
        <f ca="1" t="shared" si="348"/>
        <v>38757</v>
      </c>
    </row>
    <row r="5552" spans="2:2">
      <c r="B5552" s="251">
        <f ca="1" t="shared" si="348"/>
        <v>38756</v>
      </c>
    </row>
    <row r="5553" spans="2:2">
      <c r="B5553" s="251">
        <f ca="1" t="shared" si="348"/>
        <v>38755</v>
      </c>
    </row>
    <row r="5554" spans="2:2">
      <c r="B5554" s="251">
        <f ca="1" t="shared" si="348"/>
        <v>38754</v>
      </c>
    </row>
    <row r="5555" spans="2:2">
      <c r="B5555" s="251">
        <f ca="1" t="shared" si="348"/>
        <v>38753</v>
      </c>
    </row>
    <row r="5556" spans="2:2">
      <c r="B5556" s="251">
        <f ca="1" t="shared" si="348"/>
        <v>38752</v>
      </c>
    </row>
    <row r="5557" spans="2:2">
      <c r="B5557" s="251">
        <f ca="1" t="shared" si="348"/>
        <v>38751</v>
      </c>
    </row>
    <row r="5558" spans="2:2">
      <c r="B5558" s="251">
        <f ca="1" t="shared" si="348"/>
        <v>38750</v>
      </c>
    </row>
    <row r="5559" spans="2:2">
      <c r="B5559" s="251">
        <f ca="1" t="shared" si="348"/>
        <v>38749</v>
      </c>
    </row>
    <row r="5560" spans="2:2">
      <c r="B5560" s="251">
        <f ca="1" t="shared" si="348"/>
        <v>38748</v>
      </c>
    </row>
    <row r="5561" spans="2:2">
      <c r="B5561" s="251">
        <f ca="1" t="shared" ref="B5561:B5576" si="349">B5560-1</f>
        <v>38747</v>
      </c>
    </row>
    <row r="5562" spans="2:2">
      <c r="B5562" s="251">
        <f ca="1" t="shared" si="349"/>
        <v>38746</v>
      </c>
    </row>
    <row r="5563" spans="2:2">
      <c r="B5563" s="251">
        <f ca="1" t="shared" si="349"/>
        <v>38745</v>
      </c>
    </row>
    <row r="5564" spans="2:2">
      <c r="B5564" s="251">
        <f ca="1" t="shared" si="349"/>
        <v>38744</v>
      </c>
    </row>
    <row r="5565" spans="2:2">
      <c r="B5565" s="251">
        <f ca="1" t="shared" si="349"/>
        <v>38743</v>
      </c>
    </row>
    <row r="5566" spans="2:2">
      <c r="B5566" s="251">
        <f ca="1" t="shared" si="349"/>
        <v>38742</v>
      </c>
    </row>
    <row r="5567" spans="2:2">
      <c r="B5567" s="251">
        <f ca="1" t="shared" si="349"/>
        <v>38741</v>
      </c>
    </row>
    <row r="5568" spans="2:2">
      <c r="B5568" s="251">
        <f ca="1" t="shared" si="349"/>
        <v>38740</v>
      </c>
    </row>
    <row r="5569" spans="2:2">
      <c r="B5569" s="251">
        <f ca="1" t="shared" si="349"/>
        <v>38739</v>
      </c>
    </row>
    <row r="5570" spans="2:2">
      <c r="B5570" s="251">
        <f ca="1" t="shared" si="349"/>
        <v>38738</v>
      </c>
    </row>
    <row r="5571" spans="2:2">
      <c r="B5571" s="251">
        <f ca="1" t="shared" si="349"/>
        <v>38737</v>
      </c>
    </row>
    <row r="5572" spans="2:2">
      <c r="B5572" s="251">
        <f ca="1" t="shared" si="349"/>
        <v>38736</v>
      </c>
    </row>
    <row r="5573" spans="2:2">
      <c r="B5573" s="251">
        <f ca="1" t="shared" si="349"/>
        <v>38735</v>
      </c>
    </row>
    <row r="5574" spans="2:2">
      <c r="B5574" s="251">
        <f ca="1" t="shared" si="349"/>
        <v>38734</v>
      </c>
    </row>
    <row r="5575" spans="2:2">
      <c r="B5575" s="251">
        <f ca="1" t="shared" si="349"/>
        <v>38733</v>
      </c>
    </row>
    <row r="5576" spans="2:2">
      <c r="B5576" s="251">
        <f ca="1" t="shared" si="349"/>
        <v>38732</v>
      </c>
    </row>
    <row r="5577" spans="2:2">
      <c r="B5577" s="251">
        <f ca="1" t="shared" ref="B5577:B5592" si="350">B5576-1</f>
        <v>38731</v>
      </c>
    </row>
    <row r="5578" spans="2:2">
      <c r="B5578" s="251">
        <f ca="1" t="shared" si="350"/>
        <v>38730</v>
      </c>
    </row>
    <row r="5579" spans="2:2">
      <c r="B5579" s="251">
        <f ca="1" t="shared" si="350"/>
        <v>38729</v>
      </c>
    </row>
    <row r="5580" spans="2:2">
      <c r="B5580" s="251">
        <f ca="1" t="shared" si="350"/>
        <v>38728</v>
      </c>
    </row>
    <row r="5581" spans="2:2">
      <c r="B5581" s="251">
        <f ca="1" t="shared" si="350"/>
        <v>38727</v>
      </c>
    </row>
    <row r="5582" spans="2:2">
      <c r="B5582" s="251">
        <f ca="1" t="shared" si="350"/>
        <v>38726</v>
      </c>
    </row>
    <row r="5583" spans="2:2">
      <c r="B5583" s="251">
        <f ca="1" t="shared" si="350"/>
        <v>38725</v>
      </c>
    </row>
    <row r="5584" spans="2:2">
      <c r="B5584" s="251">
        <f ca="1" t="shared" si="350"/>
        <v>38724</v>
      </c>
    </row>
    <row r="5585" spans="2:2">
      <c r="B5585" s="251">
        <f ca="1" t="shared" si="350"/>
        <v>38723</v>
      </c>
    </row>
    <row r="5586" spans="2:2">
      <c r="B5586" s="251">
        <f ca="1" t="shared" si="350"/>
        <v>38722</v>
      </c>
    </row>
    <row r="5587" spans="2:2">
      <c r="B5587" s="251">
        <f ca="1" t="shared" si="350"/>
        <v>38721</v>
      </c>
    </row>
    <row r="5588" spans="2:2">
      <c r="B5588" s="251">
        <f ca="1" t="shared" si="350"/>
        <v>38720</v>
      </c>
    </row>
    <row r="5589" spans="2:2">
      <c r="B5589" s="251">
        <f ca="1" t="shared" si="350"/>
        <v>38719</v>
      </c>
    </row>
    <row r="5590" spans="2:2">
      <c r="B5590" s="251">
        <f ca="1" t="shared" si="350"/>
        <v>38718</v>
      </c>
    </row>
    <row r="5591" spans="2:2">
      <c r="B5591" s="251">
        <f ca="1" t="shared" si="350"/>
        <v>38717</v>
      </c>
    </row>
    <row r="5592" spans="2:2">
      <c r="B5592" s="251">
        <f ca="1" t="shared" si="350"/>
        <v>38716</v>
      </c>
    </row>
    <row r="5593" spans="2:2">
      <c r="B5593" s="251">
        <f ca="1" t="shared" ref="B5593:B5608" si="351">B5592-1</f>
        <v>38715</v>
      </c>
    </row>
    <row r="5594" spans="2:2">
      <c r="B5594" s="251">
        <f ca="1" t="shared" si="351"/>
        <v>38714</v>
      </c>
    </row>
    <row r="5595" spans="2:2">
      <c r="B5595" s="251">
        <f ca="1" t="shared" si="351"/>
        <v>38713</v>
      </c>
    </row>
    <row r="5596" spans="2:2">
      <c r="B5596" s="251">
        <f ca="1" t="shared" si="351"/>
        <v>38712</v>
      </c>
    </row>
    <row r="5597" spans="2:2">
      <c r="B5597" s="251">
        <f ca="1" t="shared" si="351"/>
        <v>38711</v>
      </c>
    </row>
    <row r="5598" spans="2:2">
      <c r="B5598" s="251">
        <f ca="1" t="shared" si="351"/>
        <v>38710</v>
      </c>
    </row>
    <row r="5599" spans="2:2">
      <c r="B5599" s="251">
        <f ca="1" t="shared" si="351"/>
        <v>38709</v>
      </c>
    </row>
    <row r="5600" spans="2:2">
      <c r="B5600" s="251">
        <f ca="1" t="shared" si="351"/>
        <v>38708</v>
      </c>
    </row>
    <row r="5601" spans="2:2">
      <c r="B5601" s="251">
        <f ca="1" t="shared" si="351"/>
        <v>38707</v>
      </c>
    </row>
    <row r="5602" spans="2:2">
      <c r="B5602" s="251">
        <f ca="1" t="shared" si="351"/>
        <v>38706</v>
      </c>
    </row>
    <row r="5603" spans="2:2">
      <c r="B5603" s="251">
        <f ca="1" t="shared" si="351"/>
        <v>38705</v>
      </c>
    </row>
    <row r="5604" spans="2:2">
      <c r="B5604" s="251">
        <f ca="1" t="shared" si="351"/>
        <v>38704</v>
      </c>
    </row>
    <row r="5605" spans="2:2">
      <c r="B5605" s="251">
        <f ca="1" t="shared" si="351"/>
        <v>38703</v>
      </c>
    </row>
    <row r="5606" spans="2:2">
      <c r="B5606" s="251">
        <f ca="1" t="shared" si="351"/>
        <v>38702</v>
      </c>
    </row>
    <row r="5607" spans="2:2">
      <c r="B5607" s="251">
        <f ca="1" t="shared" si="351"/>
        <v>38701</v>
      </c>
    </row>
    <row r="5608" spans="2:2">
      <c r="B5608" s="251">
        <f ca="1" t="shared" si="351"/>
        <v>38700</v>
      </c>
    </row>
    <row r="5609" spans="2:2">
      <c r="B5609" s="251">
        <f ca="1" t="shared" ref="B5609:B5624" si="352">B5608-1</f>
        <v>38699</v>
      </c>
    </row>
    <row r="5610" spans="2:2">
      <c r="B5610" s="251">
        <f ca="1" t="shared" si="352"/>
        <v>38698</v>
      </c>
    </row>
    <row r="5611" spans="2:2">
      <c r="B5611" s="251">
        <f ca="1" t="shared" si="352"/>
        <v>38697</v>
      </c>
    </row>
    <row r="5612" spans="2:2">
      <c r="B5612" s="251">
        <f ca="1" t="shared" si="352"/>
        <v>38696</v>
      </c>
    </row>
    <row r="5613" spans="2:2">
      <c r="B5613" s="251">
        <f ca="1" t="shared" si="352"/>
        <v>38695</v>
      </c>
    </row>
    <row r="5614" spans="2:2">
      <c r="B5614" s="251">
        <f ca="1" t="shared" si="352"/>
        <v>38694</v>
      </c>
    </row>
    <row r="5615" spans="2:2">
      <c r="B5615" s="251">
        <f ca="1" t="shared" si="352"/>
        <v>38693</v>
      </c>
    </row>
    <row r="5616" spans="2:2">
      <c r="B5616" s="251">
        <f ca="1" t="shared" si="352"/>
        <v>38692</v>
      </c>
    </row>
    <row r="5617" spans="2:2">
      <c r="B5617" s="251">
        <f ca="1" t="shared" si="352"/>
        <v>38691</v>
      </c>
    </row>
    <row r="5618" spans="2:2">
      <c r="B5618" s="251">
        <f ca="1" t="shared" si="352"/>
        <v>38690</v>
      </c>
    </row>
    <row r="5619" spans="2:2">
      <c r="B5619" s="251">
        <f ca="1" t="shared" si="352"/>
        <v>38689</v>
      </c>
    </row>
    <row r="5620" spans="2:2">
      <c r="B5620" s="251">
        <f ca="1" t="shared" si="352"/>
        <v>38688</v>
      </c>
    </row>
    <row r="5621" spans="2:2">
      <c r="B5621" s="251">
        <f ca="1" t="shared" si="352"/>
        <v>38687</v>
      </c>
    </row>
    <row r="5622" spans="2:2">
      <c r="B5622" s="251">
        <f ca="1" t="shared" si="352"/>
        <v>38686</v>
      </c>
    </row>
    <row r="5623" spans="2:2">
      <c r="B5623" s="251">
        <f ca="1" t="shared" si="352"/>
        <v>38685</v>
      </c>
    </row>
    <row r="5624" spans="2:2">
      <c r="B5624" s="251">
        <f ca="1" t="shared" si="352"/>
        <v>38684</v>
      </c>
    </row>
    <row r="5625" spans="2:2">
      <c r="B5625" s="251">
        <f ca="1" t="shared" ref="B5625:B5640" si="353">B5624-1</f>
        <v>38683</v>
      </c>
    </row>
    <row r="5626" spans="2:2">
      <c r="B5626" s="251">
        <f ca="1" t="shared" si="353"/>
        <v>38682</v>
      </c>
    </row>
    <row r="5627" spans="2:2">
      <c r="B5627" s="251">
        <f ca="1" t="shared" si="353"/>
        <v>38681</v>
      </c>
    </row>
    <row r="5628" spans="2:2">
      <c r="B5628" s="251">
        <f ca="1" t="shared" si="353"/>
        <v>38680</v>
      </c>
    </row>
    <row r="5629" spans="2:2">
      <c r="B5629" s="251">
        <f ca="1" t="shared" si="353"/>
        <v>38679</v>
      </c>
    </row>
    <row r="5630" spans="2:2">
      <c r="B5630" s="251">
        <f ca="1" t="shared" si="353"/>
        <v>38678</v>
      </c>
    </row>
    <row r="5631" spans="2:2">
      <c r="B5631" s="251">
        <f ca="1" t="shared" si="353"/>
        <v>38677</v>
      </c>
    </row>
    <row r="5632" spans="2:2">
      <c r="B5632" s="251">
        <f ca="1" t="shared" si="353"/>
        <v>38676</v>
      </c>
    </row>
    <row r="5633" spans="2:2">
      <c r="B5633" s="251">
        <f ca="1" t="shared" si="353"/>
        <v>38675</v>
      </c>
    </row>
    <row r="5634" spans="2:2">
      <c r="B5634" s="251">
        <f ca="1" t="shared" si="353"/>
        <v>38674</v>
      </c>
    </row>
    <row r="5635" spans="2:2">
      <c r="B5635" s="251">
        <f ca="1" t="shared" si="353"/>
        <v>38673</v>
      </c>
    </row>
    <row r="5636" spans="2:2">
      <c r="B5636" s="251">
        <f ca="1" t="shared" si="353"/>
        <v>38672</v>
      </c>
    </row>
    <row r="5637" spans="2:2">
      <c r="B5637" s="251">
        <f ca="1" t="shared" si="353"/>
        <v>38671</v>
      </c>
    </row>
    <row r="5638" spans="2:2">
      <c r="B5638" s="251">
        <f ca="1" t="shared" si="353"/>
        <v>38670</v>
      </c>
    </row>
    <row r="5639" spans="2:2">
      <c r="B5639" s="251">
        <f ca="1" t="shared" si="353"/>
        <v>38669</v>
      </c>
    </row>
    <row r="5640" spans="2:2">
      <c r="B5640" s="251">
        <f ca="1" t="shared" si="353"/>
        <v>38668</v>
      </c>
    </row>
    <row r="5641" spans="2:2">
      <c r="B5641" s="251">
        <f ca="1" t="shared" ref="B5641:B5656" si="354">B5640-1</f>
        <v>38667</v>
      </c>
    </row>
    <row r="5642" spans="2:2">
      <c r="B5642" s="251">
        <f ca="1" t="shared" si="354"/>
        <v>38666</v>
      </c>
    </row>
    <row r="5643" spans="2:2">
      <c r="B5643" s="251">
        <f ca="1" t="shared" si="354"/>
        <v>38665</v>
      </c>
    </row>
    <row r="5644" spans="2:2">
      <c r="B5644" s="251">
        <f ca="1" t="shared" si="354"/>
        <v>38664</v>
      </c>
    </row>
    <row r="5645" spans="2:2">
      <c r="B5645" s="251">
        <f ca="1" t="shared" si="354"/>
        <v>38663</v>
      </c>
    </row>
    <row r="5646" spans="2:2">
      <c r="B5646" s="251">
        <f ca="1" t="shared" si="354"/>
        <v>38662</v>
      </c>
    </row>
    <row r="5647" spans="2:2">
      <c r="B5647" s="251">
        <f ca="1" t="shared" si="354"/>
        <v>38661</v>
      </c>
    </row>
    <row r="5648" spans="2:2">
      <c r="B5648" s="251">
        <f ca="1" t="shared" si="354"/>
        <v>38660</v>
      </c>
    </row>
    <row r="5649" spans="2:2">
      <c r="B5649" s="251">
        <f ca="1" t="shared" si="354"/>
        <v>38659</v>
      </c>
    </row>
    <row r="5650" spans="2:2">
      <c r="B5650" s="251">
        <f ca="1" t="shared" si="354"/>
        <v>38658</v>
      </c>
    </row>
    <row r="5651" spans="2:2">
      <c r="B5651" s="251">
        <f ca="1" t="shared" si="354"/>
        <v>38657</v>
      </c>
    </row>
    <row r="5652" spans="2:2">
      <c r="B5652" s="251">
        <f ca="1" t="shared" si="354"/>
        <v>38656</v>
      </c>
    </row>
    <row r="5653" spans="2:2">
      <c r="B5653" s="251">
        <f ca="1" t="shared" si="354"/>
        <v>38655</v>
      </c>
    </row>
    <row r="5654" spans="2:2">
      <c r="B5654" s="251">
        <f ca="1" t="shared" si="354"/>
        <v>38654</v>
      </c>
    </row>
    <row r="5655" spans="2:2">
      <c r="B5655" s="251">
        <f ca="1" t="shared" si="354"/>
        <v>38653</v>
      </c>
    </row>
    <row r="5656" spans="2:2">
      <c r="B5656" s="251">
        <f ca="1" t="shared" si="354"/>
        <v>38652</v>
      </c>
    </row>
    <row r="5657" spans="2:2">
      <c r="B5657" s="251">
        <f ca="1" t="shared" ref="B5657:B5672" si="355">B5656-1</f>
        <v>38651</v>
      </c>
    </row>
    <row r="5658" spans="2:2">
      <c r="B5658" s="251">
        <f ca="1" t="shared" si="355"/>
        <v>38650</v>
      </c>
    </row>
    <row r="5659" spans="2:2">
      <c r="B5659" s="251">
        <f ca="1" t="shared" si="355"/>
        <v>38649</v>
      </c>
    </row>
    <row r="5660" spans="2:2">
      <c r="B5660" s="251">
        <f ca="1" t="shared" si="355"/>
        <v>38648</v>
      </c>
    </row>
    <row r="5661" spans="2:2">
      <c r="B5661" s="251">
        <f ca="1" t="shared" si="355"/>
        <v>38647</v>
      </c>
    </row>
    <row r="5662" spans="2:2">
      <c r="B5662" s="251">
        <f ca="1" t="shared" si="355"/>
        <v>38646</v>
      </c>
    </row>
    <row r="5663" spans="2:2">
      <c r="B5663" s="251">
        <f ca="1" t="shared" si="355"/>
        <v>38645</v>
      </c>
    </row>
    <row r="5664" spans="2:2">
      <c r="B5664" s="251">
        <f ca="1" t="shared" si="355"/>
        <v>38644</v>
      </c>
    </row>
    <row r="5665" spans="2:2">
      <c r="B5665" s="251">
        <f ca="1" t="shared" si="355"/>
        <v>38643</v>
      </c>
    </row>
    <row r="5666" spans="2:2">
      <c r="B5666" s="251">
        <f ca="1" t="shared" si="355"/>
        <v>38642</v>
      </c>
    </row>
    <row r="5667" spans="2:2">
      <c r="B5667" s="251">
        <f ca="1" t="shared" si="355"/>
        <v>38641</v>
      </c>
    </row>
    <row r="5668" spans="2:2">
      <c r="B5668" s="251">
        <f ca="1" t="shared" si="355"/>
        <v>38640</v>
      </c>
    </row>
    <row r="5669" spans="2:2">
      <c r="B5669" s="251">
        <f ca="1" t="shared" si="355"/>
        <v>38639</v>
      </c>
    </row>
    <row r="5670" spans="2:2">
      <c r="B5670" s="251">
        <f ca="1" t="shared" si="355"/>
        <v>38638</v>
      </c>
    </row>
    <row r="5671" spans="2:2">
      <c r="B5671" s="251">
        <f ca="1" t="shared" si="355"/>
        <v>38637</v>
      </c>
    </row>
    <row r="5672" spans="2:2">
      <c r="B5672" s="251">
        <f ca="1" t="shared" si="355"/>
        <v>38636</v>
      </c>
    </row>
    <row r="5673" spans="2:2">
      <c r="B5673" s="251">
        <f ca="1" t="shared" ref="B5673:B5688" si="356">B5672-1</f>
        <v>38635</v>
      </c>
    </row>
    <row r="5674" spans="2:2">
      <c r="B5674" s="251">
        <f ca="1" t="shared" si="356"/>
        <v>38634</v>
      </c>
    </row>
    <row r="5675" spans="2:2">
      <c r="B5675" s="251">
        <f ca="1" t="shared" si="356"/>
        <v>38633</v>
      </c>
    </row>
    <row r="5676" spans="2:2">
      <c r="B5676" s="251">
        <f ca="1" t="shared" si="356"/>
        <v>38632</v>
      </c>
    </row>
    <row r="5677" spans="2:2">
      <c r="B5677" s="251">
        <f ca="1" t="shared" si="356"/>
        <v>38631</v>
      </c>
    </row>
    <row r="5678" spans="2:2">
      <c r="B5678" s="251">
        <f ca="1" t="shared" si="356"/>
        <v>38630</v>
      </c>
    </row>
    <row r="5679" spans="2:2">
      <c r="B5679" s="251">
        <f ca="1" t="shared" si="356"/>
        <v>38629</v>
      </c>
    </row>
    <row r="5680" spans="2:2">
      <c r="B5680" s="251">
        <f ca="1" t="shared" si="356"/>
        <v>38628</v>
      </c>
    </row>
    <row r="5681" spans="2:2">
      <c r="B5681" s="251">
        <f ca="1" t="shared" si="356"/>
        <v>38627</v>
      </c>
    </row>
    <row r="5682" spans="2:2">
      <c r="B5682" s="251">
        <f ca="1" t="shared" si="356"/>
        <v>38626</v>
      </c>
    </row>
    <row r="5683" spans="2:2">
      <c r="B5683" s="251">
        <f ca="1" t="shared" si="356"/>
        <v>38625</v>
      </c>
    </row>
    <row r="5684" spans="2:2">
      <c r="B5684" s="251">
        <f ca="1" t="shared" si="356"/>
        <v>38624</v>
      </c>
    </row>
    <row r="5685" spans="2:2">
      <c r="B5685" s="251">
        <f ca="1" t="shared" si="356"/>
        <v>38623</v>
      </c>
    </row>
    <row r="5686" spans="2:2">
      <c r="B5686" s="251">
        <f ca="1" t="shared" si="356"/>
        <v>38622</v>
      </c>
    </row>
    <row r="5687" spans="2:2">
      <c r="B5687" s="251">
        <f ca="1" t="shared" si="356"/>
        <v>38621</v>
      </c>
    </row>
    <row r="5688" spans="2:2">
      <c r="B5688" s="251">
        <f ca="1" t="shared" si="356"/>
        <v>38620</v>
      </c>
    </row>
    <row r="5689" spans="2:2">
      <c r="B5689" s="251">
        <f ca="1" t="shared" ref="B5689:B5704" si="357">B5688-1</f>
        <v>38619</v>
      </c>
    </row>
    <row r="5690" spans="2:2">
      <c r="B5690" s="251">
        <f ca="1" t="shared" si="357"/>
        <v>38618</v>
      </c>
    </row>
    <row r="5691" spans="2:2">
      <c r="B5691" s="251">
        <f ca="1" t="shared" si="357"/>
        <v>38617</v>
      </c>
    </row>
    <row r="5692" spans="2:2">
      <c r="B5692" s="251">
        <f ca="1" t="shared" si="357"/>
        <v>38616</v>
      </c>
    </row>
    <row r="5693" spans="2:2">
      <c r="B5693" s="251">
        <f ca="1" t="shared" si="357"/>
        <v>38615</v>
      </c>
    </row>
    <row r="5694" spans="2:2">
      <c r="B5694" s="251">
        <f ca="1" t="shared" si="357"/>
        <v>38614</v>
      </c>
    </row>
    <row r="5695" spans="2:2">
      <c r="B5695" s="251">
        <f ca="1" t="shared" si="357"/>
        <v>38613</v>
      </c>
    </row>
    <row r="5696" spans="2:2">
      <c r="B5696" s="251">
        <f ca="1" t="shared" si="357"/>
        <v>38612</v>
      </c>
    </row>
    <row r="5697" spans="2:2">
      <c r="B5697" s="251">
        <f ca="1" t="shared" si="357"/>
        <v>38611</v>
      </c>
    </row>
    <row r="5698" spans="2:2">
      <c r="B5698" s="251">
        <f ca="1" t="shared" si="357"/>
        <v>38610</v>
      </c>
    </row>
    <row r="5699" spans="2:2">
      <c r="B5699" s="251">
        <f ca="1" t="shared" si="357"/>
        <v>38609</v>
      </c>
    </row>
    <row r="5700" spans="2:2">
      <c r="B5700" s="251">
        <f ca="1" t="shared" si="357"/>
        <v>38608</v>
      </c>
    </row>
    <row r="5701" spans="2:2">
      <c r="B5701" s="251">
        <f ca="1" t="shared" si="357"/>
        <v>38607</v>
      </c>
    </row>
    <row r="5702" spans="2:2">
      <c r="B5702" s="251">
        <f ca="1" t="shared" si="357"/>
        <v>38606</v>
      </c>
    </row>
    <row r="5703" spans="2:2">
      <c r="B5703" s="251">
        <f ca="1" t="shared" si="357"/>
        <v>38605</v>
      </c>
    </row>
    <row r="5704" spans="2:2">
      <c r="B5704" s="251">
        <f ca="1" t="shared" si="357"/>
        <v>38604</v>
      </c>
    </row>
    <row r="5705" spans="2:2">
      <c r="B5705" s="251">
        <f ca="1" t="shared" ref="B5705:B5720" si="358">B5704-1</f>
        <v>38603</v>
      </c>
    </row>
    <row r="5706" spans="2:2">
      <c r="B5706" s="251">
        <f ca="1" t="shared" si="358"/>
        <v>38602</v>
      </c>
    </row>
    <row r="5707" spans="2:2">
      <c r="B5707" s="251">
        <f ca="1" t="shared" si="358"/>
        <v>38601</v>
      </c>
    </row>
    <row r="5708" spans="2:2">
      <c r="B5708" s="251">
        <f ca="1" t="shared" si="358"/>
        <v>38600</v>
      </c>
    </row>
    <row r="5709" spans="2:2">
      <c r="B5709" s="251">
        <f ca="1" t="shared" si="358"/>
        <v>38599</v>
      </c>
    </row>
    <row r="5710" spans="2:2">
      <c r="B5710" s="251">
        <f ca="1" t="shared" si="358"/>
        <v>38598</v>
      </c>
    </row>
    <row r="5711" spans="2:2">
      <c r="B5711" s="251">
        <f ca="1" t="shared" si="358"/>
        <v>38597</v>
      </c>
    </row>
    <row r="5712" spans="2:2">
      <c r="B5712" s="251">
        <f ca="1" t="shared" si="358"/>
        <v>38596</v>
      </c>
    </row>
    <row r="5713" spans="2:2">
      <c r="B5713" s="251">
        <f ca="1" t="shared" si="358"/>
        <v>38595</v>
      </c>
    </row>
    <row r="5714" spans="2:2">
      <c r="B5714" s="251">
        <f ca="1" t="shared" si="358"/>
        <v>38594</v>
      </c>
    </row>
    <row r="5715" spans="2:2">
      <c r="B5715" s="251">
        <f ca="1" t="shared" si="358"/>
        <v>38593</v>
      </c>
    </row>
    <row r="5716" spans="2:2">
      <c r="B5716" s="251">
        <f ca="1" t="shared" si="358"/>
        <v>38592</v>
      </c>
    </row>
    <row r="5717" spans="2:2">
      <c r="B5717" s="251">
        <f ca="1" t="shared" si="358"/>
        <v>38591</v>
      </c>
    </row>
    <row r="5718" spans="2:2">
      <c r="B5718" s="251">
        <f ca="1" t="shared" si="358"/>
        <v>38590</v>
      </c>
    </row>
    <row r="5719" spans="2:2">
      <c r="B5719" s="251">
        <f ca="1" t="shared" si="358"/>
        <v>38589</v>
      </c>
    </row>
    <row r="5720" spans="2:2">
      <c r="B5720" s="251">
        <f ca="1" t="shared" si="358"/>
        <v>38588</v>
      </c>
    </row>
    <row r="5721" spans="2:2">
      <c r="B5721" s="251">
        <f ca="1" t="shared" ref="B5721:B5736" si="359">B5720-1</f>
        <v>38587</v>
      </c>
    </row>
    <row r="5722" spans="2:2">
      <c r="B5722" s="251">
        <f ca="1" t="shared" si="359"/>
        <v>38586</v>
      </c>
    </row>
    <row r="5723" spans="2:2">
      <c r="B5723" s="251">
        <f ca="1" t="shared" si="359"/>
        <v>38585</v>
      </c>
    </row>
    <row r="5724" spans="2:2">
      <c r="B5724" s="251">
        <f ca="1" t="shared" si="359"/>
        <v>38584</v>
      </c>
    </row>
    <row r="5725" spans="2:2">
      <c r="B5725" s="251">
        <f ca="1" t="shared" si="359"/>
        <v>38583</v>
      </c>
    </row>
    <row r="5726" spans="2:2">
      <c r="B5726" s="251">
        <f ca="1" t="shared" si="359"/>
        <v>38582</v>
      </c>
    </row>
    <row r="5727" spans="2:2">
      <c r="B5727" s="251">
        <f ca="1" t="shared" si="359"/>
        <v>38581</v>
      </c>
    </row>
    <row r="5728" spans="2:2">
      <c r="B5728" s="251">
        <f ca="1" t="shared" si="359"/>
        <v>38580</v>
      </c>
    </row>
    <row r="5729" spans="2:2">
      <c r="B5729" s="251">
        <f ca="1" t="shared" si="359"/>
        <v>38579</v>
      </c>
    </row>
    <row r="5730" spans="2:2">
      <c r="B5730" s="251">
        <f ca="1" t="shared" si="359"/>
        <v>38578</v>
      </c>
    </row>
    <row r="5731" spans="2:2">
      <c r="B5731" s="251">
        <f ca="1" t="shared" si="359"/>
        <v>38577</v>
      </c>
    </row>
    <row r="5732" spans="2:2">
      <c r="B5732" s="251">
        <f ca="1" t="shared" si="359"/>
        <v>38576</v>
      </c>
    </row>
    <row r="5733" spans="2:2">
      <c r="B5733" s="251">
        <f ca="1" t="shared" si="359"/>
        <v>38575</v>
      </c>
    </row>
    <row r="5734" spans="2:2">
      <c r="B5734" s="251">
        <f ca="1" t="shared" si="359"/>
        <v>38574</v>
      </c>
    </row>
    <row r="5735" spans="2:2">
      <c r="B5735" s="251">
        <f ca="1" t="shared" si="359"/>
        <v>38573</v>
      </c>
    </row>
    <row r="5736" spans="2:2">
      <c r="B5736" s="251">
        <f ca="1" t="shared" si="359"/>
        <v>38572</v>
      </c>
    </row>
    <row r="5737" spans="2:2">
      <c r="B5737" s="251">
        <f ca="1" t="shared" ref="B5737:B5752" si="360">B5736-1</f>
        <v>38571</v>
      </c>
    </row>
    <row r="5738" spans="2:2">
      <c r="B5738" s="251">
        <f ca="1" t="shared" si="360"/>
        <v>38570</v>
      </c>
    </row>
    <row r="5739" spans="2:2">
      <c r="B5739" s="251">
        <f ca="1" t="shared" si="360"/>
        <v>38569</v>
      </c>
    </row>
    <row r="5740" spans="2:2">
      <c r="B5740" s="251">
        <f ca="1" t="shared" si="360"/>
        <v>38568</v>
      </c>
    </row>
    <row r="5741" spans="2:2">
      <c r="B5741" s="251">
        <f ca="1" t="shared" si="360"/>
        <v>38567</v>
      </c>
    </row>
    <row r="5742" spans="2:2">
      <c r="B5742" s="251">
        <f ca="1" t="shared" si="360"/>
        <v>38566</v>
      </c>
    </row>
    <row r="5743" spans="2:2">
      <c r="B5743" s="251">
        <f ca="1" t="shared" si="360"/>
        <v>38565</v>
      </c>
    </row>
    <row r="5744" spans="2:2">
      <c r="B5744" s="251">
        <f ca="1" t="shared" si="360"/>
        <v>38564</v>
      </c>
    </row>
    <row r="5745" spans="2:2">
      <c r="B5745" s="251">
        <f ca="1" t="shared" si="360"/>
        <v>38563</v>
      </c>
    </row>
    <row r="5746" spans="2:2">
      <c r="B5746" s="251">
        <f ca="1" t="shared" si="360"/>
        <v>38562</v>
      </c>
    </row>
    <row r="5747" spans="2:2">
      <c r="B5747" s="251">
        <f ca="1" t="shared" si="360"/>
        <v>38561</v>
      </c>
    </row>
    <row r="5748" spans="2:2">
      <c r="B5748" s="251">
        <f ca="1" t="shared" si="360"/>
        <v>38560</v>
      </c>
    </row>
    <row r="5749" spans="2:2">
      <c r="B5749" s="251">
        <f ca="1" t="shared" si="360"/>
        <v>38559</v>
      </c>
    </row>
    <row r="5750" spans="2:2">
      <c r="B5750" s="251">
        <f ca="1" t="shared" si="360"/>
        <v>38558</v>
      </c>
    </row>
    <row r="5751" spans="2:2">
      <c r="B5751" s="251">
        <f ca="1" t="shared" si="360"/>
        <v>38557</v>
      </c>
    </row>
    <row r="5752" spans="2:2">
      <c r="B5752" s="251">
        <f ca="1" t="shared" si="360"/>
        <v>38556</v>
      </c>
    </row>
    <row r="5753" spans="2:2">
      <c r="B5753" s="251">
        <f ca="1" t="shared" ref="B5753:B5768" si="361">B5752-1</f>
        <v>38555</v>
      </c>
    </row>
    <row r="5754" spans="2:2">
      <c r="B5754" s="251">
        <f ca="1" t="shared" si="361"/>
        <v>38554</v>
      </c>
    </row>
    <row r="5755" spans="2:2">
      <c r="B5755" s="251">
        <f ca="1" t="shared" si="361"/>
        <v>38553</v>
      </c>
    </row>
    <row r="5756" spans="2:2">
      <c r="B5756" s="251">
        <f ca="1" t="shared" si="361"/>
        <v>38552</v>
      </c>
    </row>
    <row r="5757" spans="2:2">
      <c r="B5757" s="251">
        <f ca="1" t="shared" si="361"/>
        <v>38551</v>
      </c>
    </row>
    <row r="5758" spans="2:2">
      <c r="B5758" s="251">
        <f ca="1" t="shared" si="361"/>
        <v>38550</v>
      </c>
    </row>
    <row r="5759" spans="2:2">
      <c r="B5759" s="251">
        <f ca="1" t="shared" si="361"/>
        <v>38549</v>
      </c>
    </row>
    <row r="5760" spans="2:2">
      <c r="B5760" s="251">
        <f ca="1" t="shared" si="361"/>
        <v>38548</v>
      </c>
    </row>
    <row r="5761" spans="2:2">
      <c r="B5761" s="251">
        <f ca="1" t="shared" si="361"/>
        <v>38547</v>
      </c>
    </row>
    <row r="5762" spans="2:2">
      <c r="B5762" s="251">
        <f ca="1" t="shared" si="361"/>
        <v>38546</v>
      </c>
    </row>
    <row r="5763" spans="2:2">
      <c r="B5763" s="251">
        <f ca="1" t="shared" si="361"/>
        <v>38545</v>
      </c>
    </row>
    <row r="5764" spans="2:2">
      <c r="B5764" s="251">
        <f ca="1" t="shared" si="361"/>
        <v>38544</v>
      </c>
    </row>
    <row r="5765" spans="2:2">
      <c r="B5765" s="251">
        <f ca="1" t="shared" si="361"/>
        <v>38543</v>
      </c>
    </row>
    <row r="5766" spans="2:2">
      <c r="B5766" s="251">
        <f ca="1" t="shared" si="361"/>
        <v>38542</v>
      </c>
    </row>
    <row r="5767" spans="2:2">
      <c r="B5767" s="251">
        <f ca="1" t="shared" si="361"/>
        <v>38541</v>
      </c>
    </row>
    <row r="5768" spans="2:2">
      <c r="B5768" s="251">
        <f ca="1" t="shared" si="361"/>
        <v>38540</v>
      </c>
    </row>
    <row r="5769" spans="2:2">
      <c r="B5769" s="251">
        <f ca="1" t="shared" ref="B5769:B5784" si="362">B5768-1</f>
        <v>38539</v>
      </c>
    </row>
    <row r="5770" spans="2:2">
      <c r="B5770" s="251">
        <f ca="1" t="shared" si="362"/>
        <v>38538</v>
      </c>
    </row>
    <row r="5771" spans="2:2">
      <c r="B5771" s="251">
        <f ca="1" t="shared" si="362"/>
        <v>38537</v>
      </c>
    </row>
    <row r="5772" spans="2:2">
      <c r="B5772" s="251">
        <f ca="1" t="shared" si="362"/>
        <v>38536</v>
      </c>
    </row>
    <row r="5773" spans="2:2">
      <c r="B5773" s="251">
        <f ca="1" t="shared" si="362"/>
        <v>38535</v>
      </c>
    </row>
    <row r="5774" spans="2:2">
      <c r="B5774" s="251">
        <f ca="1" t="shared" si="362"/>
        <v>38534</v>
      </c>
    </row>
    <row r="5775" spans="2:2">
      <c r="B5775" s="251">
        <f ca="1" t="shared" si="362"/>
        <v>38533</v>
      </c>
    </row>
    <row r="5776" spans="2:2">
      <c r="B5776" s="251">
        <f ca="1" t="shared" si="362"/>
        <v>38532</v>
      </c>
    </row>
    <row r="5777" spans="2:2">
      <c r="B5777" s="251">
        <f ca="1" t="shared" si="362"/>
        <v>38531</v>
      </c>
    </row>
    <row r="5778" spans="2:2">
      <c r="B5778" s="251">
        <f ca="1" t="shared" si="362"/>
        <v>38530</v>
      </c>
    </row>
    <row r="5779" spans="2:2">
      <c r="B5779" s="251">
        <f ca="1" t="shared" si="362"/>
        <v>38529</v>
      </c>
    </row>
    <row r="5780" spans="2:2">
      <c r="B5780" s="251">
        <f ca="1" t="shared" si="362"/>
        <v>38528</v>
      </c>
    </row>
    <row r="5781" spans="2:2">
      <c r="B5781" s="251">
        <f ca="1" t="shared" si="362"/>
        <v>38527</v>
      </c>
    </row>
    <row r="5782" spans="2:2">
      <c r="B5782" s="251">
        <f ca="1" t="shared" si="362"/>
        <v>38526</v>
      </c>
    </row>
    <row r="5783" spans="2:2">
      <c r="B5783" s="251">
        <f ca="1" t="shared" si="362"/>
        <v>38525</v>
      </c>
    </row>
    <row r="5784" spans="2:2">
      <c r="B5784" s="251">
        <f ca="1" t="shared" si="362"/>
        <v>38524</v>
      </c>
    </row>
    <row r="5785" spans="2:2">
      <c r="B5785" s="251">
        <f ca="1" t="shared" ref="B5785:B5800" si="363">B5784-1</f>
        <v>38523</v>
      </c>
    </row>
    <row r="5786" spans="2:2">
      <c r="B5786" s="251">
        <f ca="1" t="shared" si="363"/>
        <v>38522</v>
      </c>
    </row>
    <row r="5787" spans="2:2">
      <c r="B5787" s="251">
        <f ca="1" t="shared" si="363"/>
        <v>38521</v>
      </c>
    </row>
    <row r="5788" spans="2:2">
      <c r="B5788" s="251">
        <f ca="1" t="shared" si="363"/>
        <v>38520</v>
      </c>
    </row>
    <row r="5789" spans="2:2">
      <c r="B5789" s="251">
        <f ca="1" t="shared" si="363"/>
        <v>38519</v>
      </c>
    </row>
    <row r="5790" spans="2:2">
      <c r="B5790" s="251">
        <f ca="1" t="shared" si="363"/>
        <v>38518</v>
      </c>
    </row>
    <row r="5791" spans="2:2">
      <c r="B5791" s="251">
        <f ca="1" t="shared" si="363"/>
        <v>38517</v>
      </c>
    </row>
    <row r="5792" spans="2:2">
      <c r="B5792" s="251">
        <f ca="1" t="shared" si="363"/>
        <v>38516</v>
      </c>
    </row>
    <row r="5793" spans="2:2">
      <c r="B5793" s="251">
        <f ca="1" t="shared" si="363"/>
        <v>38515</v>
      </c>
    </row>
    <row r="5794" spans="2:2">
      <c r="B5794" s="251">
        <f ca="1" t="shared" si="363"/>
        <v>38514</v>
      </c>
    </row>
    <row r="5795" spans="2:2">
      <c r="B5795" s="251">
        <f ca="1" t="shared" si="363"/>
        <v>38513</v>
      </c>
    </row>
    <row r="5796" spans="2:2">
      <c r="B5796" s="251">
        <f ca="1" t="shared" si="363"/>
        <v>38512</v>
      </c>
    </row>
    <row r="5797" spans="2:2">
      <c r="B5797" s="251">
        <f ca="1" t="shared" si="363"/>
        <v>38511</v>
      </c>
    </row>
    <row r="5798" spans="2:2">
      <c r="B5798" s="251">
        <f ca="1" t="shared" si="363"/>
        <v>38510</v>
      </c>
    </row>
    <row r="5799" spans="2:2">
      <c r="B5799" s="251">
        <f ca="1" t="shared" si="363"/>
        <v>38509</v>
      </c>
    </row>
    <row r="5800" spans="2:2">
      <c r="B5800" s="251">
        <f ca="1" t="shared" si="363"/>
        <v>38508</v>
      </c>
    </row>
    <row r="5801" spans="2:2">
      <c r="B5801" s="251">
        <f ca="1" t="shared" ref="B5801:B5816" si="364">B5800-1</f>
        <v>38507</v>
      </c>
    </row>
    <row r="5802" spans="2:2">
      <c r="B5802" s="251">
        <f ca="1" t="shared" si="364"/>
        <v>38506</v>
      </c>
    </row>
    <row r="5803" spans="2:2">
      <c r="B5803" s="251">
        <f ca="1" t="shared" si="364"/>
        <v>38505</v>
      </c>
    </row>
    <row r="5804" spans="2:2">
      <c r="B5804" s="251">
        <f ca="1" t="shared" si="364"/>
        <v>38504</v>
      </c>
    </row>
    <row r="5805" spans="2:2">
      <c r="B5805" s="251">
        <f ca="1" t="shared" si="364"/>
        <v>38503</v>
      </c>
    </row>
    <row r="5806" spans="2:2">
      <c r="B5806" s="251">
        <f ca="1" t="shared" si="364"/>
        <v>38502</v>
      </c>
    </row>
    <row r="5807" spans="2:2">
      <c r="B5807" s="251">
        <f ca="1" t="shared" si="364"/>
        <v>38501</v>
      </c>
    </row>
    <row r="5808" spans="2:2">
      <c r="B5808" s="251">
        <f ca="1" t="shared" si="364"/>
        <v>38500</v>
      </c>
    </row>
    <row r="5809" spans="2:2">
      <c r="B5809" s="251">
        <f ca="1" t="shared" si="364"/>
        <v>38499</v>
      </c>
    </row>
    <row r="5810" spans="2:2">
      <c r="B5810" s="251">
        <f ca="1" t="shared" si="364"/>
        <v>38498</v>
      </c>
    </row>
    <row r="5811" spans="2:2">
      <c r="B5811" s="251">
        <f ca="1" t="shared" si="364"/>
        <v>38497</v>
      </c>
    </row>
    <row r="5812" spans="2:2">
      <c r="B5812" s="251">
        <f ca="1" t="shared" si="364"/>
        <v>38496</v>
      </c>
    </row>
    <row r="5813" spans="2:2">
      <c r="B5813" s="251">
        <f ca="1" t="shared" si="364"/>
        <v>38495</v>
      </c>
    </row>
    <row r="5814" spans="2:2">
      <c r="B5814" s="251">
        <f ca="1" t="shared" si="364"/>
        <v>38494</v>
      </c>
    </row>
    <row r="5815" spans="2:2">
      <c r="B5815" s="251">
        <f ca="1" t="shared" si="364"/>
        <v>38493</v>
      </c>
    </row>
    <row r="5816" spans="2:2">
      <c r="B5816" s="251">
        <f ca="1" t="shared" si="364"/>
        <v>38492</v>
      </c>
    </row>
    <row r="5817" spans="2:2">
      <c r="B5817" s="251">
        <f ca="1" t="shared" ref="B5817:B5832" si="365">B5816-1</f>
        <v>38491</v>
      </c>
    </row>
    <row r="5818" spans="2:2">
      <c r="B5818" s="251">
        <f ca="1" t="shared" si="365"/>
        <v>38490</v>
      </c>
    </row>
    <row r="5819" spans="2:2">
      <c r="B5819" s="251">
        <f ca="1" t="shared" si="365"/>
        <v>38489</v>
      </c>
    </row>
    <row r="5820" spans="2:2">
      <c r="B5820" s="251">
        <f ca="1" t="shared" si="365"/>
        <v>38488</v>
      </c>
    </row>
    <row r="5821" spans="2:2">
      <c r="B5821" s="251">
        <f ca="1" t="shared" si="365"/>
        <v>38487</v>
      </c>
    </row>
    <row r="5822" spans="2:2">
      <c r="B5822" s="251">
        <f ca="1" t="shared" si="365"/>
        <v>38486</v>
      </c>
    </row>
    <row r="5823" spans="2:2">
      <c r="B5823" s="251">
        <f ca="1" t="shared" si="365"/>
        <v>38485</v>
      </c>
    </row>
    <row r="5824" spans="2:2">
      <c r="B5824" s="251">
        <f ca="1" t="shared" si="365"/>
        <v>38484</v>
      </c>
    </row>
    <row r="5825" spans="2:2">
      <c r="B5825" s="251">
        <f ca="1" t="shared" si="365"/>
        <v>38483</v>
      </c>
    </row>
    <row r="5826" spans="2:2">
      <c r="B5826" s="251">
        <f ca="1" t="shared" si="365"/>
        <v>38482</v>
      </c>
    </row>
    <row r="5827" spans="2:2">
      <c r="B5827" s="251">
        <f ca="1" t="shared" si="365"/>
        <v>38481</v>
      </c>
    </row>
    <row r="5828" spans="2:2">
      <c r="B5828" s="251">
        <f ca="1" t="shared" si="365"/>
        <v>38480</v>
      </c>
    </row>
    <row r="5829" spans="2:2">
      <c r="B5829" s="251">
        <f ca="1" t="shared" si="365"/>
        <v>38479</v>
      </c>
    </row>
    <row r="5830" spans="2:2">
      <c r="B5830" s="251">
        <f ca="1" t="shared" si="365"/>
        <v>38478</v>
      </c>
    </row>
    <row r="5831" spans="2:2">
      <c r="B5831" s="251">
        <f ca="1" t="shared" si="365"/>
        <v>38477</v>
      </c>
    </row>
    <row r="5832" spans="2:2">
      <c r="B5832" s="251">
        <f ca="1" t="shared" si="365"/>
        <v>38476</v>
      </c>
    </row>
    <row r="5833" spans="2:2">
      <c r="B5833" s="251">
        <f ca="1" t="shared" ref="B5833:B5848" si="366">B5832-1</f>
        <v>38475</v>
      </c>
    </row>
    <row r="5834" spans="2:2">
      <c r="B5834" s="251">
        <f ca="1" t="shared" si="366"/>
        <v>38474</v>
      </c>
    </row>
    <row r="5835" spans="2:2">
      <c r="B5835" s="251">
        <f ca="1" t="shared" si="366"/>
        <v>38473</v>
      </c>
    </row>
    <row r="5836" spans="2:2">
      <c r="B5836" s="251">
        <f ca="1" t="shared" si="366"/>
        <v>38472</v>
      </c>
    </row>
    <row r="5837" spans="2:2">
      <c r="B5837" s="251">
        <f ca="1" t="shared" si="366"/>
        <v>38471</v>
      </c>
    </row>
    <row r="5838" spans="2:2">
      <c r="B5838" s="251">
        <f ca="1" t="shared" si="366"/>
        <v>38470</v>
      </c>
    </row>
    <row r="5839" spans="2:2">
      <c r="B5839" s="251">
        <f ca="1" t="shared" si="366"/>
        <v>38469</v>
      </c>
    </row>
    <row r="5840" spans="2:2">
      <c r="B5840" s="251">
        <f ca="1" t="shared" si="366"/>
        <v>38468</v>
      </c>
    </row>
    <row r="5841" spans="2:2">
      <c r="B5841" s="251">
        <f ca="1" t="shared" si="366"/>
        <v>38467</v>
      </c>
    </row>
    <row r="5842" spans="2:2">
      <c r="B5842" s="251">
        <f ca="1" t="shared" si="366"/>
        <v>38466</v>
      </c>
    </row>
    <row r="5843" spans="2:2">
      <c r="B5843" s="251">
        <f ca="1" t="shared" si="366"/>
        <v>38465</v>
      </c>
    </row>
    <row r="5844" spans="2:2">
      <c r="B5844" s="251">
        <f ca="1" t="shared" si="366"/>
        <v>38464</v>
      </c>
    </row>
    <row r="5845" spans="2:2">
      <c r="B5845" s="251">
        <f ca="1" t="shared" si="366"/>
        <v>38463</v>
      </c>
    </row>
    <row r="5846" spans="2:2">
      <c r="B5846" s="251">
        <f ca="1" t="shared" si="366"/>
        <v>38462</v>
      </c>
    </row>
    <row r="5847" spans="2:2">
      <c r="B5847" s="251">
        <f ca="1" t="shared" si="366"/>
        <v>38461</v>
      </c>
    </row>
    <row r="5848" spans="2:2">
      <c r="B5848" s="251">
        <f ca="1" t="shared" si="366"/>
        <v>38460</v>
      </c>
    </row>
    <row r="5849" spans="2:2">
      <c r="B5849" s="251">
        <f ca="1" t="shared" ref="B5849:B5864" si="367">B5848-1</f>
        <v>38459</v>
      </c>
    </row>
    <row r="5850" spans="2:2">
      <c r="B5850" s="251">
        <f ca="1" t="shared" si="367"/>
        <v>38458</v>
      </c>
    </row>
    <row r="5851" spans="2:2">
      <c r="B5851" s="251">
        <f ca="1" t="shared" si="367"/>
        <v>38457</v>
      </c>
    </row>
    <row r="5852" spans="2:2">
      <c r="B5852" s="251">
        <f ca="1" t="shared" si="367"/>
        <v>38456</v>
      </c>
    </row>
    <row r="5853" spans="2:2">
      <c r="B5853" s="251">
        <f ca="1" t="shared" si="367"/>
        <v>38455</v>
      </c>
    </row>
    <row r="5854" spans="2:2">
      <c r="B5854" s="251">
        <f ca="1" t="shared" si="367"/>
        <v>38454</v>
      </c>
    </row>
    <row r="5855" spans="2:2">
      <c r="B5855" s="251">
        <f ca="1" t="shared" si="367"/>
        <v>38453</v>
      </c>
    </row>
    <row r="5856" spans="2:2">
      <c r="B5856" s="251">
        <f ca="1" t="shared" si="367"/>
        <v>38452</v>
      </c>
    </row>
    <row r="5857" spans="2:2">
      <c r="B5857" s="251">
        <f ca="1" t="shared" si="367"/>
        <v>38451</v>
      </c>
    </row>
    <row r="5858" spans="2:2">
      <c r="B5858" s="251">
        <f ca="1" t="shared" si="367"/>
        <v>38450</v>
      </c>
    </row>
    <row r="5859" spans="2:2">
      <c r="B5859" s="251">
        <f ca="1" t="shared" si="367"/>
        <v>38449</v>
      </c>
    </row>
    <row r="5860" spans="2:2">
      <c r="B5860" s="251">
        <f ca="1" t="shared" si="367"/>
        <v>38448</v>
      </c>
    </row>
    <row r="5861" spans="2:2">
      <c r="B5861" s="251">
        <f ca="1" t="shared" si="367"/>
        <v>38447</v>
      </c>
    </row>
    <row r="5862" spans="2:2">
      <c r="B5862" s="251">
        <f ca="1" t="shared" si="367"/>
        <v>38446</v>
      </c>
    </row>
    <row r="5863" spans="2:2">
      <c r="B5863" s="251">
        <f ca="1" t="shared" si="367"/>
        <v>38445</v>
      </c>
    </row>
    <row r="5864" spans="2:2">
      <c r="B5864" s="251">
        <f ca="1" t="shared" si="367"/>
        <v>38444</v>
      </c>
    </row>
    <row r="5865" spans="2:2">
      <c r="B5865" s="251">
        <f ca="1" t="shared" ref="B5865:B5880" si="368">B5864-1</f>
        <v>38443</v>
      </c>
    </row>
    <row r="5866" spans="2:2">
      <c r="B5866" s="251">
        <f ca="1" t="shared" si="368"/>
        <v>38442</v>
      </c>
    </row>
    <row r="5867" spans="2:2">
      <c r="B5867" s="251">
        <f ca="1" t="shared" si="368"/>
        <v>38441</v>
      </c>
    </row>
    <row r="5868" spans="2:2">
      <c r="B5868" s="251">
        <f ca="1" t="shared" si="368"/>
        <v>38440</v>
      </c>
    </row>
    <row r="5869" spans="2:2">
      <c r="B5869" s="251">
        <f ca="1" t="shared" si="368"/>
        <v>38439</v>
      </c>
    </row>
    <row r="5870" spans="2:2">
      <c r="B5870" s="251">
        <f ca="1" t="shared" si="368"/>
        <v>38438</v>
      </c>
    </row>
    <row r="5871" spans="2:2">
      <c r="B5871" s="251">
        <f ca="1" t="shared" si="368"/>
        <v>38437</v>
      </c>
    </row>
    <row r="5872" spans="2:2">
      <c r="B5872" s="251">
        <f ca="1" t="shared" si="368"/>
        <v>38436</v>
      </c>
    </row>
    <row r="5873" spans="2:2">
      <c r="B5873" s="251">
        <f ca="1" t="shared" si="368"/>
        <v>38435</v>
      </c>
    </row>
    <row r="5874" spans="2:2">
      <c r="B5874" s="251">
        <f ca="1" t="shared" si="368"/>
        <v>38434</v>
      </c>
    </row>
    <row r="5875" spans="2:2">
      <c r="B5875" s="251">
        <f ca="1" t="shared" si="368"/>
        <v>38433</v>
      </c>
    </row>
    <row r="5876" spans="2:2">
      <c r="B5876" s="251">
        <f ca="1" t="shared" si="368"/>
        <v>38432</v>
      </c>
    </row>
    <row r="5877" spans="2:2">
      <c r="B5877" s="251">
        <f ca="1" t="shared" si="368"/>
        <v>38431</v>
      </c>
    </row>
    <row r="5878" spans="2:2">
      <c r="B5878" s="251">
        <f ca="1" t="shared" si="368"/>
        <v>38430</v>
      </c>
    </row>
    <row r="5879" spans="2:2">
      <c r="B5879" s="251">
        <f ca="1" t="shared" si="368"/>
        <v>38429</v>
      </c>
    </row>
    <row r="5880" spans="2:2">
      <c r="B5880" s="251">
        <f ca="1" t="shared" si="368"/>
        <v>38428</v>
      </c>
    </row>
    <row r="5881" spans="2:2">
      <c r="B5881" s="251">
        <f ca="1" t="shared" ref="B5881:B5896" si="369">B5880-1</f>
        <v>38427</v>
      </c>
    </row>
    <row r="5882" spans="2:2">
      <c r="B5882" s="251">
        <f ca="1" t="shared" si="369"/>
        <v>38426</v>
      </c>
    </row>
    <row r="5883" spans="2:2">
      <c r="B5883" s="251">
        <f ca="1" t="shared" si="369"/>
        <v>38425</v>
      </c>
    </row>
    <row r="5884" spans="2:2">
      <c r="B5884" s="251">
        <f ca="1" t="shared" si="369"/>
        <v>38424</v>
      </c>
    </row>
    <row r="5885" spans="2:2">
      <c r="B5885" s="251">
        <f ca="1" t="shared" si="369"/>
        <v>38423</v>
      </c>
    </row>
    <row r="5886" spans="2:2">
      <c r="B5886" s="251">
        <f ca="1" t="shared" si="369"/>
        <v>38422</v>
      </c>
    </row>
    <row r="5887" spans="2:2">
      <c r="B5887" s="251">
        <f ca="1" t="shared" si="369"/>
        <v>38421</v>
      </c>
    </row>
    <row r="5888" spans="2:2">
      <c r="B5888" s="251">
        <f ca="1" t="shared" si="369"/>
        <v>38420</v>
      </c>
    </row>
    <row r="5889" spans="2:2">
      <c r="B5889" s="251">
        <f ca="1" t="shared" si="369"/>
        <v>38419</v>
      </c>
    </row>
    <row r="5890" spans="2:2">
      <c r="B5890" s="251">
        <f ca="1" t="shared" si="369"/>
        <v>38418</v>
      </c>
    </row>
    <row r="5891" spans="2:2">
      <c r="B5891" s="251">
        <f ca="1" t="shared" si="369"/>
        <v>38417</v>
      </c>
    </row>
    <row r="5892" spans="2:2">
      <c r="B5892" s="251">
        <f ca="1" t="shared" si="369"/>
        <v>38416</v>
      </c>
    </row>
    <row r="5893" spans="2:2">
      <c r="B5893" s="251">
        <f ca="1" t="shared" si="369"/>
        <v>38415</v>
      </c>
    </row>
    <row r="5894" spans="2:2">
      <c r="B5894" s="251">
        <f ca="1" t="shared" si="369"/>
        <v>38414</v>
      </c>
    </row>
    <row r="5895" spans="2:2">
      <c r="B5895" s="251">
        <f ca="1" t="shared" si="369"/>
        <v>38413</v>
      </c>
    </row>
    <row r="5896" spans="2:2">
      <c r="B5896" s="251">
        <f ca="1" t="shared" si="369"/>
        <v>38412</v>
      </c>
    </row>
    <row r="5897" spans="2:2">
      <c r="B5897" s="251">
        <f ca="1" t="shared" ref="B5897:B5912" si="370">B5896-1</f>
        <v>38411</v>
      </c>
    </row>
    <row r="5898" spans="2:2">
      <c r="B5898" s="251">
        <f ca="1" t="shared" si="370"/>
        <v>38410</v>
      </c>
    </row>
    <row r="5899" spans="2:2">
      <c r="B5899" s="251">
        <f ca="1" t="shared" si="370"/>
        <v>38409</v>
      </c>
    </row>
    <row r="5900" spans="2:2">
      <c r="B5900" s="251">
        <f ca="1" t="shared" si="370"/>
        <v>38408</v>
      </c>
    </row>
    <row r="5901" spans="2:2">
      <c r="B5901" s="251">
        <f ca="1" t="shared" si="370"/>
        <v>38407</v>
      </c>
    </row>
    <row r="5902" spans="2:2">
      <c r="B5902" s="251">
        <f ca="1" t="shared" si="370"/>
        <v>38406</v>
      </c>
    </row>
    <row r="5903" spans="2:2">
      <c r="B5903" s="251">
        <f ca="1" t="shared" si="370"/>
        <v>38405</v>
      </c>
    </row>
    <row r="5904" spans="2:2">
      <c r="B5904" s="251">
        <f ca="1" t="shared" si="370"/>
        <v>38404</v>
      </c>
    </row>
    <row r="5905" spans="2:2">
      <c r="B5905" s="251">
        <f ca="1" t="shared" si="370"/>
        <v>38403</v>
      </c>
    </row>
    <row r="5906" spans="2:2">
      <c r="B5906" s="251">
        <f ca="1" t="shared" si="370"/>
        <v>38402</v>
      </c>
    </row>
    <row r="5907" spans="2:2">
      <c r="B5907" s="251">
        <f ca="1" t="shared" si="370"/>
        <v>38401</v>
      </c>
    </row>
    <row r="5908" spans="2:2">
      <c r="B5908" s="251">
        <f ca="1" t="shared" si="370"/>
        <v>38400</v>
      </c>
    </row>
    <row r="5909" spans="2:2">
      <c r="B5909" s="251">
        <f ca="1" t="shared" si="370"/>
        <v>38399</v>
      </c>
    </row>
    <row r="5910" spans="2:2">
      <c r="B5910" s="251">
        <f ca="1" t="shared" si="370"/>
        <v>38398</v>
      </c>
    </row>
    <row r="5911" spans="2:2">
      <c r="B5911" s="251">
        <f ca="1" t="shared" si="370"/>
        <v>38397</v>
      </c>
    </row>
    <row r="5912" spans="2:2">
      <c r="B5912" s="251">
        <f ca="1" t="shared" si="370"/>
        <v>38396</v>
      </c>
    </row>
    <row r="5913" spans="2:2">
      <c r="B5913" s="251">
        <f ca="1" t="shared" ref="B5913:B5931" si="371">B5912-1</f>
        <v>38395</v>
      </c>
    </row>
    <row r="5914" spans="2:2">
      <c r="B5914" s="251">
        <f ca="1" t="shared" si="371"/>
        <v>38394</v>
      </c>
    </row>
    <row r="5915" spans="2:2">
      <c r="B5915" s="251">
        <f ca="1" t="shared" si="371"/>
        <v>38393</v>
      </c>
    </row>
    <row r="5916" spans="2:2">
      <c r="B5916" s="251">
        <f ca="1" t="shared" si="371"/>
        <v>38392</v>
      </c>
    </row>
    <row r="5917" spans="2:2">
      <c r="B5917" s="251">
        <f ca="1" t="shared" si="371"/>
        <v>38391</v>
      </c>
    </row>
    <row r="5918" spans="2:2">
      <c r="B5918" s="251">
        <f ca="1" t="shared" si="371"/>
        <v>38390</v>
      </c>
    </row>
    <row r="5919" spans="2:2">
      <c r="B5919" s="251">
        <f ca="1" t="shared" si="371"/>
        <v>38389</v>
      </c>
    </row>
    <row r="5920" spans="2:2">
      <c r="B5920" s="251">
        <f ca="1" t="shared" si="371"/>
        <v>38388</v>
      </c>
    </row>
    <row r="5921" spans="2:2">
      <c r="B5921" s="251">
        <f ca="1" t="shared" si="371"/>
        <v>38387</v>
      </c>
    </row>
    <row r="5922" spans="2:2">
      <c r="B5922" s="251">
        <f ca="1" t="shared" si="371"/>
        <v>38386</v>
      </c>
    </row>
    <row r="5923" spans="2:2">
      <c r="B5923" s="251">
        <f ca="1" t="shared" si="371"/>
        <v>38385</v>
      </c>
    </row>
    <row r="5924" spans="2:2">
      <c r="B5924" s="251">
        <f ca="1" t="shared" si="371"/>
        <v>38384</v>
      </c>
    </row>
    <row r="5925" spans="2:2">
      <c r="B5925" s="251">
        <f ca="1" t="shared" si="371"/>
        <v>38383</v>
      </c>
    </row>
    <row r="5926" spans="2:2">
      <c r="B5926" s="251">
        <f ca="1" t="shared" si="371"/>
        <v>38382</v>
      </c>
    </row>
    <row r="5927" spans="2:2">
      <c r="B5927" s="251">
        <f ca="1" t="shared" si="371"/>
        <v>38381</v>
      </c>
    </row>
    <row r="5928" spans="2:2">
      <c r="B5928" s="251">
        <f ca="1" t="shared" si="371"/>
        <v>38380</v>
      </c>
    </row>
    <row r="5929" spans="2:2">
      <c r="B5929" s="251">
        <f ca="1" t="shared" si="371"/>
        <v>38379</v>
      </c>
    </row>
    <row r="5930" spans="2:2">
      <c r="B5930" s="251">
        <f ca="1" t="shared" si="371"/>
        <v>38378</v>
      </c>
    </row>
    <row r="5931" spans="2:2">
      <c r="B5931" s="251">
        <f ca="1" t="shared" si="371"/>
        <v>38377</v>
      </c>
    </row>
  </sheetData>
  <customSheetViews>
    <customSheetView guid="{3590B4C8-3408-4C22-A182-96D6E61B41FC}" state="hidden" topLeftCell="A5922">
      <selection activeCell="B5931" sqref="B5931"/>
      <pageMargins left="0.75" right="0.75" top="1" bottom="1" header="0.5" footer="0.5"/>
      <pageSetup paperSize="1" orientation="portrait" horizontalDpi="300" verticalDpi="300"/>
      <headerFooter alignWithMargins="0">
        <oddHeader>&amp;C&amp;A</oddHeader>
        <oddFooter>&amp;CPage &amp;P</oddFooter>
      </headerFooter>
    </customSheetView>
    <customSheetView guid="{031350E9-2A5A-48A9-8BCD-85E50999C522}" state="hidden" topLeftCell="A5922">
      <selection activeCell="B5931" sqref="B5931"/>
      <pageMargins left="0.75" right="0.75" top="1" bottom="1" header="0.5" footer="0.5"/>
      <pageSetup paperSize="1" orientation="portrait" horizontalDpi="300" verticalDpi="300"/>
      <headerFooter alignWithMargins="0">
        <oddHeader>&amp;C&amp;A</oddHeader>
        <oddFooter>&amp;CPage &amp;P</oddFooter>
      </headerFooter>
    </customSheetView>
    <customSheetView guid="{8BDDDDA7-D938-494A-80FC-9A81AD854C12}" state="hidden" topLeftCell="A5922">
      <selection activeCell="B5931" sqref="B5931"/>
      <pageMargins left="0.75" right="0.75" top="1" bottom="1" header="0.5" footer="0.5"/>
      <pageSetup paperSize="1" orientation="portrait" horizontalDpi="300" verticalDpi="300"/>
      <headerFooter alignWithMargins="0">
        <oddHeader>&amp;C&amp;A</oddHeader>
        <oddFooter>&amp;CPage &amp;P</oddFooter>
      </headerFooter>
    </customSheetView>
  </customSheetViews>
  <pageMargins left="0.75" right="0.75" top="1" bottom="1" header="0.5" footer="0.5"/>
  <pageSetup paperSize="1" orientation="portrait" horizontalDpi="300" verticalDpi="300"/>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3590B4C8-3408-4C22-A182-96D6E61B41FC}" scale="0" showRowCol="0" outlineSymbols="0" zeroValues="0" state="hidden">
      <pageMargins left="0.75" right="0.75" top="1" bottom="1" header="0.5" footer="0.5"/>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headerFooter alignWithMargins="0">
        <oddHeader>&amp;C&amp;A</oddHeader>
        <oddFooter>&amp;CPage &amp;P</oddFooter>
      </headerFooter>
    </customSheetView>
    <customSheetView guid="{8BDDDDA7-D938-494A-80FC-9A81AD854C12}" scale="0" showRowCol="0" outlineSymbols="0" zeroValues="0" state="hidden">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52" name="CmdOK" r:id="rId3">
              <controlPr defaultSize="0">
                <anchor moveWithCells="1" sizeWithCells="1">
                  <from>
                    <xdr:col>48</xdr:col>
                    <xdr:colOff>0</xdr:colOff>
                    <xdr:row>22</xdr:row>
                    <xdr:rowOff>0</xdr:rowOff>
                  </from>
                  <to>
                    <xdr:col>59</xdr:col>
                    <xdr:colOff>0</xdr:colOff>
                    <xdr:row>25</xdr:row>
                    <xdr:rowOff>0</xdr:rowOff>
                  </to>
                </anchor>
              </controlPr>
            </control>
          </mc:Choice>
        </mc:AlternateContent>
        <mc:AlternateContent xmlns:mc="http://schemas.openxmlformats.org/markup-compatibility/2006">
          <mc:Choice Requires="x14">
            <control shapeId="2054" name="Label 6" r:id="rId4">
              <controlPr defaultSize="0">
                <anchor moveWithCells="1">
                  <from>
                    <xdr:col>14</xdr:col>
                    <xdr:colOff>7620</xdr:colOff>
                    <xdr:row>9</xdr:row>
                    <xdr:rowOff>0</xdr:rowOff>
                  </from>
                  <to>
                    <xdr:col>24</xdr:col>
                    <xdr:colOff>0</xdr:colOff>
                    <xdr:row>11</xdr:row>
                    <xdr:rowOff>30480</xdr:rowOff>
                  </to>
                </anchor>
              </controlPr>
            </control>
          </mc:Choice>
        </mc:AlternateContent>
        <mc:AlternateContent xmlns:mc="http://schemas.openxmlformats.org/markup-compatibility/2006">
          <mc:Choice Requires="x14">
            <control shapeId="2055" name="Label 7" r:id="rId5">
              <controlPr defaultSize="0">
                <anchor moveWithCells="1">
                  <from>
                    <xdr:col>15</xdr:col>
                    <xdr:colOff>38100</xdr:colOff>
                    <xdr:row>13</xdr:row>
                    <xdr:rowOff>0</xdr:rowOff>
                  </from>
                  <to>
                    <xdr:col>24</xdr:col>
                    <xdr:colOff>0</xdr:colOff>
                    <xdr:row>15</xdr:row>
                    <xdr:rowOff>30480</xdr:rowOff>
                  </to>
                </anchor>
              </controlPr>
            </control>
          </mc:Choice>
        </mc:AlternateContent>
        <mc:AlternateContent xmlns:mc="http://schemas.openxmlformats.org/markup-compatibility/2006">
          <mc:Choice Requires="x14">
            <control shapeId="2056" name="Label 8" r:id="rId6">
              <controlPr defaultSize="0">
                <anchor moveWithCells="1">
                  <from>
                    <xdr:col>16</xdr:col>
                    <xdr:colOff>38100</xdr:colOff>
                    <xdr:row>17</xdr:row>
                    <xdr:rowOff>0</xdr:rowOff>
                  </from>
                  <to>
                    <xdr:col>24</xdr:col>
                    <xdr:colOff>0</xdr:colOff>
                    <xdr:row>19</xdr:row>
                    <xdr:rowOff>30480</xdr:rowOff>
                  </to>
                </anchor>
              </controlPr>
            </control>
          </mc:Choice>
        </mc:AlternateContent>
        <mc:AlternateContent xmlns:mc="http://schemas.openxmlformats.org/markup-compatibility/2006">
          <mc:Choice Requires="x14">
            <control shapeId="2057" name="DrpDataway" r:id="rId7">
              <controlPr defaultSize="0">
                <anchor moveWithCells="1">
                  <from>
                    <xdr:col>25</xdr:col>
                    <xdr:colOff>0</xdr:colOff>
                    <xdr:row>9</xdr:row>
                    <xdr:rowOff>0</xdr:rowOff>
                  </from>
                  <to>
                    <xdr:col>44</xdr:col>
                    <xdr:colOff>0</xdr:colOff>
                    <xdr:row>11</xdr:row>
                    <xdr:rowOff>30480</xdr:rowOff>
                  </to>
                </anchor>
              </controlPr>
            </control>
          </mc:Choice>
        </mc:AlternateContent>
        <mc:AlternateContent xmlns:mc="http://schemas.openxmlformats.org/markup-compatibility/2006">
          <mc:Choice Requires="x14">
            <control shapeId="2060" name="GrpConversion" r:id="rId8">
              <controlPr defaultSize="0">
                <anchor moveWithCells="1">
                  <from>
                    <xdr:col>15</xdr:col>
                    <xdr:colOff>0</xdr:colOff>
                    <xdr:row>22</xdr:row>
                    <xdr:rowOff>0</xdr:rowOff>
                  </from>
                  <to>
                    <xdr:col>44</xdr:col>
                    <xdr:colOff>0</xdr:colOff>
                    <xdr:row>30</xdr:row>
                    <xdr:rowOff>0</xdr:rowOff>
                  </to>
                </anchor>
              </controlPr>
            </control>
          </mc:Choice>
        </mc:AlternateContent>
        <mc:AlternateContent xmlns:mc="http://schemas.openxmlformats.org/markup-compatibility/2006">
          <mc:Choice Requires="x14">
            <control shapeId="2065" name="OptDataway" r:id="rId9">
              <controlPr defaultSize="0">
                <anchor moveWithCells="1">
                  <from>
                    <xdr:col>21</xdr:col>
                    <xdr:colOff>0</xdr:colOff>
                    <xdr:row>23</xdr:row>
                    <xdr:rowOff>0</xdr:rowOff>
                  </from>
                  <to>
                    <xdr:col>36</xdr:col>
                    <xdr:colOff>0</xdr:colOff>
                    <xdr:row>26</xdr:row>
                    <xdr:rowOff>7620</xdr:rowOff>
                  </to>
                </anchor>
              </controlPr>
            </control>
          </mc:Choice>
        </mc:AlternateContent>
        <mc:AlternateContent xmlns:mc="http://schemas.openxmlformats.org/markup-compatibility/2006">
          <mc:Choice Requires="x14">
            <control shapeId="2066" name="OptPHD" r:id="rId10">
              <controlPr defaultSize="0">
                <anchor moveWithCells="1">
                  <from>
                    <xdr:col>21</xdr:col>
                    <xdr:colOff>0</xdr:colOff>
                    <xdr:row>26</xdr:row>
                    <xdr:rowOff>0</xdr:rowOff>
                  </from>
                  <to>
                    <xdr:col>36</xdr:col>
                    <xdr:colOff>0</xdr:colOff>
                    <xdr:row>29</xdr:row>
                    <xdr:rowOff>7620</xdr:rowOff>
                  </to>
                </anchor>
              </controlPr>
            </control>
          </mc:Choice>
        </mc:AlternateContent>
        <mc:AlternateContent xmlns:mc="http://schemas.openxmlformats.org/markup-compatibility/2006">
          <mc:Choice Requires="x14">
            <control shapeId="2069" name="DrpPHD" r:id="rId11">
              <controlPr disabled="1" defaultSize="0">
                <anchor moveWithCells="1">
                  <from>
                    <xdr:col>25</xdr:col>
                    <xdr:colOff>0</xdr:colOff>
                    <xdr:row>17</xdr:row>
                    <xdr:rowOff>0</xdr:rowOff>
                  </from>
                  <to>
                    <xdr:col>44</xdr:col>
                    <xdr:colOff>0</xdr:colOff>
                    <xdr:row>19</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A1:N97"/>
  <sheetViews>
    <sheetView tabSelected="1" zoomScale="85" zoomScaleNormal="85" topLeftCell="B2" workbookViewId="0">
      <selection activeCell="E20" sqref="E20:E30"/>
    </sheetView>
  </sheetViews>
  <sheetFormatPr defaultColWidth="9.17592592592593" defaultRowHeight="13.2"/>
  <cols>
    <col min="1" max="1" width="11.5462962962963" style="33" hidden="1" customWidth="1"/>
    <col min="2" max="2" width="23.1759259259259" style="33" customWidth="1"/>
    <col min="3" max="4" width="13.8148148148148" style="33" customWidth="1"/>
    <col min="5" max="5" width="13" style="33" customWidth="1"/>
    <col min="6" max="7" width="11.7222222222222" style="33" customWidth="1"/>
    <col min="8" max="8" width="12.1759259259259" style="33" customWidth="1"/>
    <col min="9" max="9" width="21.4537037037037" style="33" customWidth="1"/>
    <col min="10" max="13" width="12.1759259259259" style="33" customWidth="1"/>
    <col min="14" max="16384" width="9.17592592592593" style="33"/>
  </cols>
  <sheetData>
    <row r="1" ht="0.65" customHeight="1" spans="1:2">
      <c r="A1" s="38">
        <v>32</v>
      </c>
      <c r="B1" s="39" t="s">
        <v>11669</v>
      </c>
    </row>
    <row r="2" ht="12" customHeight="1" spans="2:2">
      <c r="B2" s="47"/>
    </row>
    <row r="3" ht="12" customHeight="1" spans="1:2">
      <c r="A3"/>
      <c r="B3" s="47"/>
    </row>
    <row r="4" ht="12" customHeight="1" spans="1:2">
      <c r="A4"/>
      <c r="B4" s="52"/>
    </row>
    <row r="5" s="33" customFormat="1" ht="12" customHeight="1" spans="1:13">
      <c r="A5" s="1"/>
      <c r="B5" s="53" t="s">
        <v>11670</v>
      </c>
      <c r="C5" s="53"/>
      <c r="D5" s="53"/>
      <c r="E5" s="53"/>
      <c r="F5" s="53"/>
      <c r="G5" s="53"/>
      <c r="H5" s="53"/>
      <c r="I5" s="53"/>
      <c r="J5" s="53"/>
      <c r="K5" s="53"/>
      <c r="L5" s="53"/>
      <c r="M5" s="53"/>
    </row>
    <row r="6" s="33" customFormat="1" ht="12" customHeight="1" spans="1:13">
      <c r="A6" s="1"/>
      <c r="B6" s="53" t="s">
        <v>11671</v>
      </c>
      <c r="C6" s="53"/>
      <c r="D6" s="53"/>
      <c r="E6" s="53"/>
      <c r="F6" s="53"/>
      <c r="G6" s="53"/>
      <c r="H6" s="53"/>
      <c r="I6" s="53"/>
      <c r="J6" s="53"/>
      <c r="K6" s="53"/>
      <c r="L6" s="53"/>
      <c r="M6" s="53"/>
    </row>
    <row r="7" ht="12" customHeight="1" spans="1:14">
      <c r="A7"/>
      <c r="B7" s="53" t="s">
        <v>11672</v>
      </c>
      <c r="C7" s="53" t="s">
        <v>11673</v>
      </c>
      <c r="D7" s="53" t="s">
        <v>11674</v>
      </c>
      <c r="E7" s="53" t="s">
        <v>11675</v>
      </c>
      <c r="F7" s="53"/>
      <c r="G7" s="53"/>
      <c r="H7" s="53"/>
      <c r="I7" s="53"/>
      <c r="J7" s="53"/>
      <c r="K7" s="53"/>
      <c r="L7" s="53"/>
      <c r="M7" s="53"/>
      <c r="N7" s="250" t="s">
        <v>11676</v>
      </c>
    </row>
    <row r="8" ht="12" customHeight="1" spans="1:13">
      <c r="A8"/>
      <c r="B8" s="53" t="s">
        <v>11677</v>
      </c>
      <c r="C8" s="53" t="s">
        <v>11678</v>
      </c>
      <c r="D8" s="53" t="s">
        <v>11678</v>
      </c>
      <c r="E8" s="53" t="s">
        <v>11678</v>
      </c>
      <c r="F8" s="53" t="s">
        <v>11678</v>
      </c>
      <c r="G8" s="53" t="s">
        <v>11678</v>
      </c>
      <c r="H8" s="53" t="s">
        <v>11678</v>
      </c>
      <c r="I8" s="53"/>
      <c r="J8" s="53"/>
      <c r="K8" s="53"/>
      <c r="L8" s="53"/>
      <c r="M8" s="53"/>
    </row>
    <row r="9" ht="12" customHeight="1" spans="1:13">
      <c r="A9"/>
      <c r="B9" s="53" t="s">
        <v>11679</v>
      </c>
      <c r="C9" s="53"/>
      <c r="D9" s="53"/>
      <c r="E9" s="53"/>
      <c r="F9" s="53"/>
      <c r="G9" s="53"/>
      <c r="H9" s="53"/>
      <c r="I9" s="53"/>
      <c r="J9" s="53"/>
      <c r="K9" s="53"/>
      <c r="L9" s="53"/>
      <c r="M9" s="53"/>
    </row>
    <row r="10" s="34" customFormat="1" ht="32.25" customHeight="1" spans="1:13">
      <c r="A10" s="4"/>
      <c r="B10" s="62" t="s">
        <v>11680</v>
      </c>
      <c r="C10" s="62"/>
      <c r="D10" s="62"/>
      <c r="E10" s="62"/>
      <c r="F10" s="62"/>
      <c r="G10" s="62"/>
      <c r="H10" s="62"/>
      <c r="I10" s="62"/>
      <c r="J10" s="62"/>
      <c r="K10" s="62"/>
      <c r="L10" s="62"/>
      <c r="M10" s="62"/>
    </row>
    <row r="11" spans="1:13">
      <c r="A11"/>
      <c r="B11" s="53" t="s">
        <v>11681</v>
      </c>
      <c r="C11" s="53"/>
      <c r="D11" s="53"/>
      <c r="E11" s="53"/>
      <c r="F11" s="53"/>
      <c r="G11" s="53"/>
      <c r="H11" s="53"/>
      <c r="I11" s="53"/>
      <c r="J11" s="53"/>
      <c r="K11" s="53"/>
      <c r="L11" s="53"/>
      <c r="M11" s="53"/>
    </row>
    <row r="12" s="34" customFormat="1" ht="49.5" customHeight="1" spans="1:13">
      <c r="A12" s="7"/>
      <c r="B12" s="62" t="s">
        <v>11682</v>
      </c>
      <c r="C12" s="62"/>
      <c r="D12" s="62"/>
      <c r="E12" s="62"/>
      <c r="F12" s="62"/>
      <c r="G12" s="62"/>
      <c r="H12" s="62"/>
      <c r="I12" s="62"/>
      <c r="J12" s="62"/>
      <c r="K12" s="62"/>
      <c r="L12" s="62"/>
      <c r="M12" s="62"/>
    </row>
    <row r="13" ht="12" customHeight="1" spans="1:14">
      <c r="A13"/>
      <c r="B13" s="53" t="s">
        <v>11683</v>
      </c>
      <c r="C13" s="53" t="s">
        <v>11678</v>
      </c>
      <c r="D13" s="53" t="s">
        <v>11678</v>
      </c>
      <c r="E13" s="53" t="s">
        <v>11678</v>
      </c>
      <c r="F13" s="53" t="s">
        <v>11678</v>
      </c>
      <c r="G13" s="53" t="s">
        <v>11678</v>
      </c>
      <c r="H13" s="53" t="s">
        <v>11678</v>
      </c>
      <c r="I13" s="53"/>
      <c r="J13" s="53"/>
      <c r="K13" s="53"/>
      <c r="L13" s="53"/>
      <c r="M13" s="53"/>
      <c r="N13" s="250" t="s">
        <v>11684</v>
      </c>
    </row>
    <row r="14" s="35" customFormat="1" ht="12" customHeight="1" spans="2:13">
      <c r="B14" s="68" t="s">
        <v>11685</v>
      </c>
      <c r="C14" s="68"/>
      <c r="D14" s="68"/>
      <c r="E14" s="68"/>
      <c r="F14" s="68"/>
      <c r="G14" s="68"/>
      <c r="H14" s="68"/>
      <c r="I14" s="68"/>
      <c r="J14" s="68"/>
      <c r="K14" s="68"/>
      <c r="L14" s="68"/>
      <c r="M14" s="68"/>
    </row>
    <row r="15" s="35" customFormat="1" ht="12" customHeight="1" spans="2:13">
      <c r="B15" s="68" t="s">
        <v>11686</v>
      </c>
      <c r="C15" s="68"/>
      <c r="D15" s="68"/>
      <c r="E15" s="68"/>
      <c r="F15" s="68"/>
      <c r="G15" s="68"/>
      <c r="H15" s="68"/>
      <c r="I15" s="68"/>
      <c r="J15" s="68"/>
      <c r="K15" s="68"/>
      <c r="L15" s="68"/>
      <c r="M15" s="68"/>
    </row>
    <row r="16" ht="12" customHeight="1" spans="1:2">
      <c r="A16"/>
      <c r="B16"/>
    </row>
    <row r="17" ht="12" customHeight="1" spans="1:13">
      <c r="A17"/>
      <c r="B17" s="263" t="s">
        <v>11687</v>
      </c>
      <c r="C17" s="244" t="s">
        <v>11678</v>
      </c>
      <c r="D17" s="244"/>
      <c r="E17" s="244"/>
      <c r="F17" s="244"/>
      <c r="G17" s="244"/>
      <c r="H17" s="244"/>
      <c r="I17" s="244"/>
      <c r="J17" s="244"/>
      <c r="K17" s="244"/>
      <c r="L17" s="244"/>
      <c r="M17" s="244"/>
    </row>
    <row r="18" s="34" customFormat="1" ht="40.5" customHeight="1" spans="1:13">
      <c r="A18" s="79" t="s">
        <v>11688</v>
      </c>
      <c r="B18" s="263" t="s">
        <v>11689</v>
      </c>
      <c r="C18" s="245" t="s">
        <v>11690</v>
      </c>
      <c r="D18" s="245" t="s">
        <v>11691</v>
      </c>
      <c r="E18" s="246" t="s">
        <v>11692</v>
      </c>
      <c r="F18" s="246" t="s">
        <v>11693</v>
      </c>
      <c r="G18" s="246" t="s">
        <v>11694</v>
      </c>
      <c r="H18" s="246" t="s">
        <v>11695</v>
      </c>
      <c r="I18" s="246"/>
      <c r="J18" s="246"/>
      <c r="K18" s="246"/>
      <c r="L18" s="246"/>
      <c r="M18" s="246"/>
    </row>
    <row r="19" ht="12" customHeight="1" spans="1:13">
      <c r="A19" s="79"/>
      <c r="B19" s="263" t="s">
        <v>11696</v>
      </c>
      <c r="C19" s="247"/>
      <c r="D19" s="247"/>
      <c r="E19" s="247"/>
      <c r="F19" s="247"/>
      <c r="G19" s="247"/>
      <c r="H19" s="247"/>
      <c r="I19" s="247"/>
      <c r="J19" s="247"/>
      <c r="K19" s="247"/>
      <c r="L19" s="247"/>
      <c r="M19" s="247"/>
    </row>
    <row r="20" s="36" customFormat="1" ht="12" customHeight="1" spans="1:13">
      <c r="A20" s="86">
        <f>IF(DAY(B20)&lt;$A$1,$A$1-1,"NA")</f>
        <v>31</v>
      </c>
      <c r="B20" s="87">
        <f>+'Extract Data'!A6+59</f>
        <v>44287</v>
      </c>
      <c r="C20" s="248">
        <f>IF('Data Sheet'!C20="","",-'Data Sheet'!C20)</f>
        <v>-854.113</v>
      </c>
      <c r="D20" s="248">
        <f>IF(C20="","",-C20)</f>
        <v>854.113</v>
      </c>
      <c r="E20" s="248">
        <v>121212</v>
      </c>
      <c r="F20" s="248">
        <f>IF(E20="","",-E20)</f>
        <v>-121212</v>
      </c>
      <c r="G20" s="92">
        <f>IF(C20="","",0)</f>
        <v>0</v>
      </c>
      <c r="H20" s="92">
        <f>IF(C20="","",0)</f>
        <v>0</v>
      </c>
      <c r="I20" s="92"/>
      <c r="J20" s="92"/>
      <c r="K20" s="92"/>
      <c r="L20" s="92"/>
      <c r="M20" s="92"/>
    </row>
    <row r="21" s="36" customFormat="1" ht="12" customHeight="1" spans="1:13">
      <c r="A21" s="86">
        <f t="shared" ref="A21:A48" si="0">IF(DAY(B21)&lt;$A$1,$A$1-1,"NA")</f>
        <v>31</v>
      </c>
      <c r="B21" s="87">
        <f>+'Extract Data'!A7+59</f>
        <v>44288</v>
      </c>
      <c r="C21" s="248">
        <f>IF('Data Sheet'!C21="","",-'Data Sheet'!C21)</f>
        <v>-910.332</v>
      </c>
      <c r="D21" s="248">
        <f t="shared" ref="D21:D50" si="1">IF(C21="","",-C21)</f>
        <v>910.332</v>
      </c>
      <c r="E21" s="248">
        <v>121213</v>
      </c>
      <c r="F21" s="248">
        <f t="shared" ref="F21:F50" si="2">IF(E21="","",-E21)</f>
        <v>-121213</v>
      </c>
      <c r="G21" s="92">
        <f t="shared" ref="G21:G49" si="3">IF(C21="","",0)</f>
        <v>0</v>
      </c>
      <c r="H21" s="92">
        <f t="shared" ref="H21:H49" si="4">IF(C21="","",0)</f>
        <v>0</v>
      </c>
      <c r="I21" s="92"/>
      <c r="J21" s="92"/>
      <c r="K21" s="92"/>
      <c r="L21" s="92"/>
      <c r="M21" s="92"/>
    </row>
    <row r="22" s="36" customFormat="1" ht="12" customHeight="1" spans="1:13">
      <c r="A22" s="86">
        <f t="shared" si="0"/>
        <v>31</v>
      </c>
      <c r="B22" s="87">
        <f>+'Extract Data'!A8+59</f>
        <v>44289</v>
      </c>
      <c r="C22" s="248">
        <f>IF('Data Sheet'!C22="","",-'Data Sheet'!C22)</f>
        <v>-912.248</v>
      </c>
      <c r="D22" s="248">
        <f t="shared" si="1"/>
        <v>912.248</v>
      </c>
      <c r="E22" s="248">
        <v>121214</v>
      </c>
      <c r="F22" s="248">
        <f t="shared" si="2"/>
        <v>-121214</v>
      </c>
      <c r="G22" s="92">
        <f t="shared" si="3"/>
        <v>0</v>
      </c>
      <c r="H22" s="92">
        <f t="shared" si="4"/>
        <v>0</v>
      </c>
      <c r="I22" s="92"/>
      <c r="J22" s="92"/>
      <c r="K22" s="92"/>
      <c r="L22" s="92"/>
      <c r="M22" s="92"/>
    </row>
    <row r="23" s="36" customFormat="1" ht="12" customHeight="1" spans="1:13">
      <c r="A23" s="86">
        <f t="shared" si="0"/>
        <v>31</v>
      </c>
      <c r="B23" s="87">
        <f>+'Extract Data'!A9+59</f>
        <v>44290</v>
      </c>
      <c r="C23" s="248">
        <f>IF('Data Sheet'!C23="","",-'Data Sheet'!C23)</f>
        <v>-271.682</v>
      </c>
      <c r="D23" s="248">
        <f t="shared" si="1"/>
        <v>271.682</v>
      </c>
      <c r="E23" s="248">
        <v>121215</v>
      </c>
      <c r="F23" s="248">
        <v>7</v>
      </c>
      <c r="G23" s="92">
        <f t="shared" si="3"/>
        <v>0</v>
      </c>
      <c r="H23" s="92">
        <f t="shared" si="4"/>
        <v>0</v>
      </c>
      <c r="I23" s="92"/>
      <c r="J23" s="92"/>
      <c r="K23" s="92"/>
      <c r="L23" s="92"/>
      <c r="M23" s="92"/>
    </row>
    <row r="24" s="36" customFormat="1" ht="12" customHeight="1" spans="1:13">
      <c r="A24" s="86">
        <f t="shared" si="0"/>
        <v>31</v>
      </c>
      <c r="B24" s="87">
        <f>+'Extract Data'!A10+59</f>
        <v>44291</v>
      </c>
      <c r="C24" s="248">
        <f>IF('Data Sheet'!C24="","",-'Data Sheet'!C24)</f>
        <v>0</v>
      </c>
      <c r="D24" s="248">
        <f t="shared" si="1"/>
        <v>0</v>
      </c>
      <c r="E24" s="248">
        <v>121216</v>
      </c>
      <c r="F24" s="248">
        <f t="shared" si="2"/>
        <v>-121216</v>
      </c>
      <c r="G24" s="92">
        <f t="shared" si="3"/>
        <v>0</v>
      </c>
      <c r="H24" s="92">
        <f t="shared" si="4"/>
        <v>0</v>
      </c>
      <c r="I24" s="92"/>
      <c r="J24" s="92"/>
      <c r="K24" s="92"/>
      <c r="L24" s="92"/>
      <c r="M24" s="92"/>
    </row>
    <row r="25" s="36" customFormat="1" ht="12" customHeight="1" spans="1:13">
      <c r="A25" s="86">
        <f t="shared" si="0"/>
        <v>31</v>
      </c>
      <c r="B25" s="87">
        <f>+'Extract Data'!A11+59</f>
        <v>44292</v>
      </c>
      <c r="C25" s="248">
        <f>IF('Data Sheet'!C25="","",-'Data Sheet'!C25)</f>
        <v>0</v>
      </c>
      <c r="D25" s="248">
        <f t="shared" si="1"/>
        <v>0</v>
      </c>
      <c r="E25" s="248">
        <v>121217</v>
      </c>
      <c r="F25" s="248">
        <f t="shared" si="2"/>
        <v>-121217</v>
      </c>
      <c r="G25" s="92">
        <f t="shared" si="3"/>
        <v>0</v>
      </c>
      <c r="H25" s="92">
        <f t="shared" si="4"/>
        <v>0</v>
      </c>
      <c r="I25" s="92"/>
      <c r="J25" s="92"/>
      <c r="K25" s="92"/>
      <c r="L25" s="92"/>
      <c r="M25" s="92"/>
    </row>
    <row r="26" s="36" customFormat="1" ht="12" customHeight="1" spans="1:13">
      <c r="A26" s="86">
        <f t="shared" si="0"/>
        <v>31</v>
      </c>
      <c r="B26" s="87">
        <f>+'Extract Data'!A12+59</f>
        <v>44293</v>
      </c>
      <c r="C26" s="248">
        <f>IF('Data Sheet'!C26="","",-'Data Sheet'!C26)</f>
        <v>0</v>
      </c>
      <c r="D26" s="248">
        <f t="shared" si="1"/>
        <v>0</v>
      </c>
      <c r="E26" s="248">
        <v>121218</v>
      </c>
      <c r="F26" s="248">
        <f t="shared" si="2"/>
        <v>-121218</v>
      </c>
      <c r="G26" s="92">
        <f t="shared" si="3"/>
        <v>0</v>
      </c>
      <c r="H26" s="92">
        <f t="shared" si="4"/>
        <v>0</v>
      </c>
      <c r="I26" s="92"/>
      <c r="J26" s="92"/>
      <c r="K26" s="92"/>
      <c r="L26" s="92"/>
      <c r="M26" s="92"/>
    </row>
    <row r="27" s="36" customFormat="1" ht="12" customHeight="1" spans="1:13">
      <c r="A27" s="86">
        <f t="shared" si="0"/>
        <v>31</v>
      </c>
      <c r="B27" s="87">
        <f>+'Extract Data'!A13+59</f>
        <v>44294</v>
      </c>
      <c r="C27" s="248">
        <f>IF('Data Sheet'!C27="","",-'Data Sheet'!C27)</f>
        <v>0</v>
      </c>
      <c r="D27" s="248">
        <f t="shared" si="1"/>
        <v>0</v>
      </c>
      <c r="E27" s="248">
        <v>121219</v>
      </c>
      <c r="F27" s="248">
        <f t="shared" si="2"/>
        <v>-121219</v>
      </c>
      <c r="G27" s="92">
        <f t="shared" si="3"/>
        <v>0</v>
      </c>
      <c r="H27" s="92">
        <f t="shared" si="4"/>
        <v>0</v>
      </c>
      <c r="I27" s="92"/>
      <c r="J27" s="92"/>
      <c r="K27" s="92"/>
      <c r="L27" s="92"/>
      <c r="M27" s="92"/>
    </row>
    <row r="28" s="36" customFormat="1" ht="12" customHeight="1" spans="1:13">
      <c r="A28" s="86">
        <f t="shared" si="0"/>
        <v>31</v>
      </c>
      <c r="B28" s="87">
        <f>+'Extract Data'!A14+59</f>
        <v>44295</v>
      </c>
      <c r="C28" s="248">
        <f>IF('Data Sheet'!C28="","",-'Data Sheet'!C28)</f>
        <v>0</v>
      </c>
      <c r="D28" s="248">
        <f t="shared" si="1"/>
        <v>0</v>
      </c>
      <c r="E28" s="248">
        <v>121220</v>
      </c>
      <c r="F28" s="248">
        <f t="shared" si="2"/>
        <v>-121220</v>
      </c>
      <c r="G28" s="92">
        <f t="shared" si="3"/>
        <v>0</v>
      </c>
      <c r="H28" s="92">
        <f t="shared" si="4"/>
        <v>0</v>
      </c>
      <c r="I28" s="92"/>
      <c r="J28" s="92"/>
      <c r="K28" s="92"/>
      <c r="L28" s="92"/>
      <c r="M28" s="92"/>
    </row>
    <row r="29" s="36" customFormat="1" ht="12" customHeight="1" spans="1:13">
      <c r="A29" s="86">
        <f t="shared" si="0"/>
        <v>31</v>
      </c>
      <c r="B29" s="87">
        <f>+'Extract Data'!A15+59</f>
        <v>44296</v>
      </c>
      <c r="C29" s="248">
        <f>IF('Data Sheet'!C29="","",-'Data Sheet'!C29)</f>
        <v>0</v>
      </c>
      <c r="D29" s="248">
        <f t="shared" si="1"/>
        <v>0</v>
      </c>
      <c r="E29" s="248">
        <v>121221</v>
      </c>
      <c r="F29" s="248">
        <f t="shared" si="2"/>
        <v>-121221</v>
      </c>
      <c r="G29" s="92">
        <f t="shared" si="3"/>
        <v>0</v>
      </c>
      <c r="H29" s="92">
        <f t="shared" si="4"/>
        <v>0</v>
      </c>
      <c r="I29" s="92"/>
      <c r="J29" s="92"/>
      <c r="K29" s="92"/>
      <c r="L29" s="92"/>
      <c r="M29" s="92"/>
    </row>
    <row r="30" s="36" customFormat="1" ht="12" customHeight="1" spans="1:13">
      <c r="A30" s="86">
        <f t="shared" si="0"/>
        <v>31</v>
      </c>
      <c r="B30" s="87">
        <f>+'Extract Data'!A16+59</f>
        <v>44297</v>
      </c>
      <c r="C30" s="248">
        <f>IF('Data Sheet'!C30="","",-'Data Sheet'!C30)</f>
        <v>0</v>
      </c>
      <c r="D30" s="248">
        <f t="shared" si="1"/>
        <v>0</v>
      </c>
      <c r="E30" s="248">
        <v>121222</v>
      </c>
      <c r="F30" s="248">
        <f t="shared" si="2"/>
        <v>-121222</v>
      </c>
      <c r="G30" s="92">
        <f t="shared" si="3"/>
        <v>0</v>
      </c>
      <c r="H30" s="92">
        <f t="shared" si="4"/>
        <v>0</v>
      </c>
      <c r="I30" s="92"/>
      <c r="J30" s="92"/>
      <c r="K30" s="92"/>
      <c r="L30" s="92"/>
      <c r="M30" s="92"/>
    </row>
    <row r="31" s="36" customFormat="1" ht="12" customHeight="1" spans="1:13">
      <c r="A31" s="86">
        <f t="shared" si="0"/>
        <v>31</v>
      </c>
      <c r="B31" s="87">
        <f>+'Extract Data'!A17+59</f>
        <v>44298</v>
      </c>
      <c r="C31" s="248">
        <f>IF('Data Sheet'!C31="","",-'Data Sheet'!C31)</f>
        <v>-7.405</v>
      </c>
      <c r="D31" s="248">
        <f t="shared" si="1"/>
        <v>7.405</v>
      </c>
      <c r="E31" s="248">
        <f>IF('Data Sheet'!D31="","",-'Data Sheet'!D31)</f>
        <v>-2525.622</v>
      </c>
      <c r="F31" s="248">
        <f t="shared" si="2"/>
        <v>2525.622</v>
      </c>
      <c r="G31" s="92">
        <f t="shared" si="3"/>
        <v>0</v>
      </c>
      <c r="H31" s="92">
        <f t="shared" si="4"/>
        <v>0</v>
      </c>
      <c r="I31" s="92"/>
      <c r="J31" s="92"/>
      <c r="K31" s="92"/>
      <c r="L31" s="92"/>
      <c r="M31" s="92"/>
    </row>
    <row r="32" s="36" customFormat="1" ht="12" customHeight="1" spans="1:13">
      <c r="A32" s="86">
        <f t="shared" si="0"/>
        <v>31</v>
      </c>
      <c r="B32" s="87">
        <f>+'Extract Data'!A18+59</f>
        <v>44299</v>
      </c>
      <c r="C32" s="248">
        <f>IF('Data Sheet'!C32="","",-'Data Sheet'!C32)</f>
        <v>-756.599</v>
      </c>
      <c r="D32" s="248">
        <f t="shared" si="1"/>
        <v>756.599</v>
      </c>
      <c r="E32" s="248">
        <f>IF('Data Sheet'!D32="","",-'Data Sheet'!D32)</f>
        <v>-2675.484</v>
      </c>
      <c r="F32" s="248">
        <f t="shared" si="2"/>
        <v>2675.484</v>
      </c>
      <c r="G32" s="92">
        <f t="shared" si="3"/>
        <v>0</v>
      </c>
      <c r="H32" s="92">
        <f t="shared" si="4"/>
        <v>0</v>
      </c>
      <c r="I32" s="92"/>
      <c r="J32" s="92"/>
      <c r="K32" s="92"/>
      <c r="L32" s="92"/>
      <c r="M32" s="92"/>
    </row>
    <row r="33" s="37" customFormat="1" ht="12" customHeight="1" spans="1:13">
      <c r="A33" s="86">
        <f t="shared" si="0"/>
        <v>31</v>
      </c>
      <c r="B33" s="87">
        <f>+'Extract Data'!A19+59</f>
        <v>44300</v>
      </c>
      <c r="C33" s="248">
        <f>IF('Data Sheet'!C33="","",-'Data Sheet'!C33)</f>
        <v>-320.4</v>
      </c>
      <c r="D33" s="248">
        <f t="shared" si="1"/>
        <v>320.4</v>
      </c>
      <c r="E33" s="248">
        <f>IF('Data Sheet'!D33="","",-'Data Sheet'!D33)</f>
        <v>-2787.711</v>
      </c>
      <c r="F33" s="248">
        <f t="shared" si="2"/>
        <v>2787.711</v>
      </c>
      <c r="G33" s="92">
        <f t="shared" si="3"/>
        <v>0</v>
      </c>
      <c r="H33" s="92">
        <f t="shared" si="4"/>
        <v>0</v>
      </c>
      <c r="I33" s="92"/>
      <c r="J33" s="92"/>
      <c r="K33" s="92"/>
      <c r="L33" s="92"/>
      <c r="M33" s="92"/>
    </row>
    <row r="34" s="36" customFormat="1" ht="12" customHeight="1" spans="1:13">
      <c r="A34" s="86">
        <f t="shared" si="0"/>
        <v>31</v>
      </c>
      <c r="B34" s="87">
        <f>+'Extract Data'!A20+59</f>
        <v>44301</v>
      </c>
      <c r="C34" s="248">
        <f>IF('Data Sheet'!C34="","",-'Data Sheet'!C34)</f>
        <v>-494.072</v>
      </c>
      <c r="D34" s="248">
        <f t="shared" si="1"/>
        <v>494.072</v>
      </c>
      <c r="E34" s="248">
        <f>IF('Data Sheet'!D34="","",-'Data Sheet'!D34)</f>
        <v>-2786.273</v>
      </c>
      <c r="F34" s="248">
        <f t="shared" si="2"/>
        <v>2786.273</v>
      </c>
      <c r="G34" s="92">
        <f t="shared" si="3"/>
        <v>0</v>
      </c>
      <c r="H34" s="92">
        <f t="shared" si="4"/>
        <v>0</v>
      </c>
      <c r="I34" s="92"/>
      <c r="J34" s="92"/>
      <c r="K34" s="92"/>
      <c r="L34" s="92"/>
      <c r="M34" s="92"/>
    </row>
    <row r="35" s="36" customFormat="1" ht="12" customHeight="1" spans="1:13">
      <c r="A35" s="86">
        <f t="shared" si="0"/>
        <v>31</v>
      </c>
      <c r="B35" s="87">
        <f>+'Extract Data'!A21+59</f>
        <v>44302</v>
      </c>
      <c r="C35" s="248">
        <f>IF('Data Sheet'!C35="","",-'Data Sheet'!C35)</f>
        <v>-745.201</v>
      </c>
      <c r="D35" s="248">
        <f t="shared" si="1"/>
        <v>745.201</v>
      </c>
      <c r="E35" s="248">
        <f>IF('Data Sheet'!D35="","",-'Data Sheet'!D35)</f>
        <v>-2787.219</v>
      </c>
      <c r="F35" s="248">
        <f t="shared" si="2"/>
        <v>2787.219</v>
      </c>
      <c r="G35" s="92">
        <f t="shared" si="3"/>
        <v>0</v>
      </c>
      <c r="H35" s="92">
        <f t="shared" si="4"/>
        <v>0</v>
      </c>
      <c r="I35" s="92"/>
      <c r="J35" s="92"/>
      <c r="K35" s="92"/>
      <c r="L35" s="92"/>
      <c r="M35" s="92"/>
    </row>
    <row r="36" s="36" customFormat="1" ht="12" customHeight="1" spans="1:13">
      <c r="A36" s="98">
        <f t="shared" si="0"/>
        <v>31</v>
      </c>
      <c r="B36" s="87">
        <f>+'Extract Data'!A22+59</f>
        <v>44303</v>
      </c>
      <c r="C36" s="248">
        <f>IF('Data Sheet'!C36="","",-'Data Sheet'!C36)</f>
        <v>-659.152</v>
      </c>
      <c r="D36" s="248">
        <f t="shared" si="1"/>
        <v>659.152</v>
      </c>
      <c r="E36" s="248">
        <f>IF('Data Sheet'!D36="","",-'Data Sheet'!D36)</f>
        <v>-2789.605</v>
      </c>
      <c r="F36" s="248">
        <f t="shared" si="2"/>
        <v>2789.605</v>
      </c>
      <c r="G36" s="92">
        <f t="shared" si="3"/>
        <v>0</v>
      </c>
      <c r="H36" s="92">
        <f t="shared" si="4"/>
        <v>0</v>
      </c>
      <c r="I36" s="92"/>
      <c r="J36" s="92"/>
      <c r="K36" s="92"/>
      <c r="L36" s="92"/>
      <c r="M36" s="92"/>
    </row>
    <row r="37" s="36" customFormat="1" ht="12" customHeight="1" spans="1:13">
      <c r="A37" s="98">
        <f t="shared" si="0"/>
        <v>31</v>
      </c>
      <c r="B37" s="87">
        <f>+'Extract Data'!A23+59</f>
        <v>44304</v>
      </c>
      <c r="C37" s="248">
        <f>IF('Data Sheet'!C37="","",-'Data Sheet'!C37)</f>
        <v>0</v>
      </c>
      <c r="D37" s="248">
        <f t="shared" si="1"/>
        <v>0</v>
      </c>
      <c r="E37" s="248">
        <f>IF('Data Sheet'!D37="","",-'Data Sheet'!D37)</f>
        <v>-2887.23</v>
      </c>
      <c r="F37" s="248">
        <f t="shared" si="2"/>
        <v>2887.23</v>
      </c>
      <c r="G37" s="92">
        <f t="shared" si="3"/>
        <v>0</v>
      </c>
      <c r="H37" s="92">
        <f t="shared" si="4"/>
        <v>0</v>
      </c>
      <c r="I37" s="92"/>
      <c r="J37" s="92"/>
      <c r="K37" s="92"/>
      <c r="L37" s="92"/>
      <c r="M37" s="92"/>
    </row>
    <row r="38" s="36" customFormat="1" ht="12" customHeight="1" spans="1:13">
      <c r="A38" s="98">
        <f t="shared" si="0"/>
        <v>31</v>
      </c>
      <c r="B38" s="87">
        <f>+'Extract Data'!A24+59</f>
        <v>44305</v>
      </c>
      <c r="C38" s="248">
        <f>IF('Data Sheet'!C38="","",-'Data Sheet'!C38)</f>
        <v>0</v>
      </c>
      <c r="D38" s="248">
        <f t="shared" si="1"/>
        <v>0</v>
      </c>
      <c r="E38" s="248">
        <f>IF('Data Sheet'!D38="","",-'Data Sheet'!D38)</f>
        <v>-2948.656</v>
      </c>
      <c r="F38" s="248">
        <f t="shared" si="2"/>
        <v>2948.656</v>
      </c>
      <c r="G38" s="92">
        <f t="shared" si="3"/>
        <v>0</v>
      </c>
      <c r="H38" s="92">
        <f t="shared" si="4"/>
        <v>0</v>
      </c>
      <c r="I38" s="92"/>
      <c r="J38" s="92"/>
      <c r="K38" s="92"/>
      <c r="L38" s="92"/>
      <c r="M38" s="92"/>
    </row>
    <row r="39" s="36" customFormat="1" ht="12" customHeight="1" spans="1:13">
      <c r="A39" s="98">
        <f t="shared" si="0"/>
        <v>31</v>
      </c>
      <c r="B39" s="87">
        <f>+'Extract Data'!A25+59</f>
        <v>44306</v>
      </c>
      <c r="C39" s="248">
        <f>IF('Data Sheet'!C39="","",-'Data Sheet'!C39)</f>
        <v>-240.586</v>
      </c>
      <c r="D39" s="248">
        <f t="shared" si="1"/>
        <v>240.586</v>
      </c>
      <c r="E39" s="248">
        <f>IF('Data Sheet'!D39="","",-'Data Sheet'!D39)</f>
        <v>-2946.596</v>
      </c>
      <c r="F39" s="248">
        <f t="shared" si="2"/>
        <v>2946.596</v>
      </c>
      <c r="G39" s="92">
        <f t="shared" si="3"/>
        <v>0</v>
      </c>
      <c r="H39" s="92">
        <f t="shared" si="4"/>
        <v>0</v>
      </c>
      <c r="I39" s="92"/>
      <c r="J39" s="92"/>
      <c r="K39" s="92"/>
      <c r="L39" s="92"/>
      <c r="M39" s="92"/>
    </row>
    <row r="40" s="36" customFormat="1" ht="12" customHeight="1" spans="1:13">
      <c r="A40" s="98">
        <f t="shared" si="0"/>
        <v>31</v>
      </c>
      <c r="B40" s="87">
        <f>+'Extract Data'!A26+59</f>
        <v>44307</v>
      </c>
      <c r="C40" s="248">
        <f>IF('Data Sheet'!C40="","",-'Data Sheet'!C40)</f>
        <v>-636.536</v>
      </c>
      <c r="D40" s="248">
        <f t="shared" si="1"/>
        <v>636.536</v>
      </c>
      <c r="E40" s="248">
        <f>IF('Data Sheet'!D40="","",-'Data Sheet'!D40)</f>
        <v>-2946.563</v>
      </c>
      <c r="F40" s="248">
        <f t="shared" si="2"/>
        <v>2946.563</v>
      </c>
      <c r="G40" s="92">
        <f t="shared" si="3"/>
        <v>0</v>
      </c>
      <c r="H40" s="92">
        <f t="shared" si="4"/>
        <v>0</v>
      </c>
      <c r="I40" s="92"/>
      <c r="J40" s="92"/>
      <c r="K40" s="92"/>
      <c r="L40" s="92"/>
      <c r="M40" s="92"/>
    </row>
    <row r="41" s="36" customFormat="1" ht="12" customHeight="1" spans="1:13">
      <c r="A41" s="98">
        <f t="shared" si="0"/>
        <v>31</v>
      </c>
      <c r="B41" s="87">
        <f>+'Extract Data'!A27+59</f>
        <v>44308</v>
      </c>
      <c r="C41" s="248">
        <f>IF('Data Sheet'!C41="","",-'Data Sheet'!C41)</f>
        <v>0</v>
      </c>
      <c r="D41" s="248">
        <f t="shared" si="1"/>
        <v>0</v>
      </c>
      <c r="E41" s="248">
        <f>IF('Data Sheet'!D41="","",-'Data Sheet'!D41)</f>
        <v>-2945.561</v>
      </c>
      <c r="F41" s="248">
        <f t="shared" si="2"/>
        <v>2945.561</v>
      </c>
      <c r="G41" s="92">
        <f t="shared" si="3"/>
        <v>0</v>
      </c>
      <c r="H41" s="92">
        <f t="shared" si="4"/>
        <v>0</v>
      </c>
      <c r="I41" s="92"/>
      <c r="J41" s="92"/>
      <c r="K41" s="92"/>
      <c r="L41" s="92"/>
      <c r="M41" s="92"/>
    </row>
    <row r="42" s="37" customFormat="1" ht="12" customHeight="1" spans="1:13">
      <c r="A42" s="98">
        <f t="shared" si="0"/>
        <v>31</v>
      </c>
      <c r="B42" s="87">
        <f>+'Extract Data'!A28+59</f>
        <v>44309</v>
      </c>
      <c r="C42" s="248">
        <f>IF('Data Sheet'!C42="","",-'Data Sheet'!C42)</f>
        <v>0</v>
      </c>
      <c r="D42" s="248">
        <f t="shared" si="1"/>
        <v>0</v>
      </c>
      <c r="E42" s="248">
        <f>IF('Data Sheet'!D42="","",-'Data Sheet'!D42)</f>
        <v>-2946.337</v>
      </c>
      <c r="F42" s="248">
        <f t="shared" si="2"/>
        <v>2946.337</v>
      </c>
      <c r="G42" s="92">
        <f t="shared" si="3"/>
        <v>0</v>
      </c>
      <c r="H42" s="92">
        <f t="shared" si="4"/>
        <v>0</v>
      </c>
      <c r="I42" s="92"/>
      <c r="J42" s="92"/>
      <c r="K42" s="92"/>
      <c r="L42" s="92"/>
      <c r="M42" s="92"/>
    </row>
    <row r="43" s="37" customFormat="1" ht="12" customHeight="1" spans="1:13">
      <c r="A43" s="98">
        <f t="shared" si="0"/>
        <v>31</v>
      </c>
      <c r="B43" s="87">
        <f>+'Extract Data'!A29+59</f>
        <v>44310</v>
      </c>
      <c r="C43" s="248">
        <f>IF('Data Sheet'!C43="","",-'Data Sheet'!C43)</f>
        <v>0</v>
      </c>
      <c r="D43" s="248">
        <f t="shared" si="1"/>
        <v>0</v>
      </c>
      <c r="E43" s="248">
        <f>IF('Data Sheet'!D43="","",-'Data Sheet'!D43)</f>
        <v>-2946.866</v>
      </c>
      <c r="F43" s="248">
        <f t="shared" si="2"/>
        <v>2946.866</v>
      </c>
      <c r="G43" s="92">
        <f t="shared" si="3"/>
        <v>0</v>
      </c>
      <c r="H43" s="92">
        <f t="shared" si="4"/>
        <v>0</v>
      </c>
      <c r="I43" s="92"/>
      <c r="J43" s="92"/>
      <c r="K43" s="92"/>
      <c r="L43" s="92"/>
      <c r="M43" s="92"/>
    </row>
    <row r="44" s="37" customFormat="1" ht="12" customHeight="1" spans="1:13">
      <c r="A44" s="98">
        <f t="shared" si="0"/>
        <v>31</v>
      </c>
      <c r="B44" s="87">
        <f>+'Extract Data'!A30+59</f>
        <v>44311</v>
      </c>
      <c r="C44" s="248" t="str">
        <f>IF('Data Sheet'!C44="","",-'Data Sheet'!C44)</f>
        <v/>
      </c>
      <c r="D44" s="248" t="str">
        <f t="shared" si="1"/>
        <v/>
      </c>
      <c r="E44" s="248" t="str">
        <f>IF('Data Sheet'!D44="","",-'Data Sheet'!D44)</f>
        <v/>
      </c>
      <c r="F44" s="248" t="str">
        <f t="shared" si="2"/>
        <v/>
      </c>
      <c r="G44" s="92" t="str">
        <f t="shared" si="3"/>
        <v/>
      </c>
      <c r="H44" s="92" t="str">
        <f t="shared" si="4"/>
        <v/>
      </c>
      <c r="I44" s="92"/>
      <c r="J44" s="92"/>
      <c r="K44" s="92"/>
      <c r="L44" s="92"/>
      <c r="M44" s="92"/>
    </row>
    <row r="45" s="37" customFormat="1" spans="1:13">
      <c r="A45" s="98">
        <f t="shared" si="0"/>
        <v>31</v>
      </c>
      <c r="B45" s="87">
        <f>+'Extract Data'!A31</f>
        <v>0</v>
      </c>
      <c r="C45" s="248" t="str">
        <f>IF('Data Sheet'!C45="","",-'Data Sheet'!C45)</f>
        <v/>
      </c>
      <c r="D45" s="248" t="str">
        <f t="shared" si="1"/>
        <v/>
      </c>
      <c r="E45" s="248" t="str">
        <f>IF('Data Sheet'!D45="","",-'Data Sheet'!D45)</f>
        <v/>
      </c>
      <c r="F45" s="248" t="str">
        <f t="shared" si="2"/>
        <v/>
      </c>
      <c r="G45" s="92" t="str">
        <f t="shared" si="3"/>
        <v/>
      </c>
      <c r="H45" s="92" t="str">
        <f t="shared" si="4"/>
        <v/>
      </c>
      <c r="I45" s="92"/>
      <c r="J45" s="92"/>
      <c r="K45" s="92"/>
      <c r="L45" s="92"/>
      <c r="M45" s="92"/>
    </row>
    <row r="46" s="37" customFormat="1" ht="12" customHeight="1" spans="1:13">
      <c r="A46" s="98">
        <f t="shared" si="0"/>
        <v>31</v>
      </c>
      <c r="B46" s="87">
        <f>+'Extract Data'!A32</f>
        <v>0</v>
      </c>
      <c r="C46" s="248" t="str">
        <f>IF('Data Sheet'!C46="","",-'Data Sheet'!C46)</f>
        <v/>
      </c>
      <c r="D46" s="248" t="str">
        <f t="shared" si="1"/>
        <v/>
      </c>
      <c r="E46" s="248" t="str">
        <f>IF('Data Sheet'!D46="","",-'Data Sheet'!D46)</f>
        <v/>
      </c>
      <c r="F46" s="248" t="str">
        <f t="shared" si="2"/>
        <v/>
      </c>
      <c r="G46" s="92" t="str">
        <f t="shared" si="3"/>
        <v/>
      </c>
      <c r="H46" s="92" t="str">
        <f t="shared" si="4"/>
        <v/>
      </c>
      <c r="I46" s="92"/>
      <c r="J46" s="92"/>
      <c r="K46" s="92"/>
      <c r="L46" s="92"/>
      <c r="M46" s="92"/>
    </row>
    <row r="47" s="37" customFormat="1" ht="12" customHeight="1" spans="1:13">
      <c r="A47" s="98">
        <f t="shared" si="0"/>
        <v>31</v>
      </c>
      <c r="B47" s="87">
        <f>+'Extract Data'!A33</f>
        <v>0</v>
      </c>
      <c r="C47" s="248" t="str">
        <f>IF('Data Sheet'!C47="","",-'Data Sheet'!C47)</f>
        <v/>
      </c>
      <c r="D47" s="248" t="str">
        <f t="shared" si="1"/>
        <v/>
      </c>
      <c r="E47" s="248" t="str">
        <f>IF('Data Sheet'!D47="","",-'Data Sheet'!D47)</f>
        <v/>
      </c>
      <c r="F47" s="248" t="str">
        <f t="shared" si="2"/>
        <v/>
      </c>
      <c r="G47" s="92" t="str">
        <f t="shared" si="3"/>
        <v/>
      </c>
      <c r="H47" s="92" t="str">
        <f t="shared" si="4"/>
        <v/>
      </c>
      <c r="I47" s="92"/>
      <c r="J47" s="92"/>
      <c r="K47" s="92"/>
      <c r="L47" s="92"/>
      <c r="M47" s="92"/>
    </row>
    <row r="48" s="37" customFormat="1" ht="12" customHeight="1" spans="1:13">
      <c r="A48" s="98">
        <f t="shared" si="0"/>
        <v>31</v>
      </c>
      <c r="B48" s="87">
        <f>+'Extract Data'!A34</f>
        <v>0</v>
      </c>
      <c r="C48" s="248" t="str">
        <f>IF('Data Sheet'!C48="","",-'Data Sheet'!C48)</f>
        <v/>
      </c>
      <c r="D48" s="248" t="str">
        <f t="shared" si="1"/>
        <v/>
      </c>
      <c r="E48" s="248" t="str">
        <f>IF('Data Sheet'!D48="","",-'Data Sheet'!D48)</f>
        <v/>
      </c>
      <c r="F48" s="248" t="str">
        <f t="shared" si="2"/>
        <v/>
      </c>
      <c r="G48" s="92" t="str">
        <f t="shared" si="3"/>
        <v/>
      </c>
      <c r="H48" s="92" t="str">
        <f t="shared" si="4"/>
        <v/>
      </c>
      <c r="I48" s="92"/>
      <c r="J48" s="92"/>
      <c r="K48" s="92"/>
      <c r="L48" s="92"/>
      <c r="M48" s="92"/>
    </row>
    <row r="49" s="37" customFormat="1" ht="12" customHeight="1" spans="1:13">
      <c r="A49" s="98">
        <f>IF(DAY(B49)&lt;$A$1,$A$1-1,"NA")</f>
        <v>31</v>
      </c>
      <c r="B49" s="87">
        <f>+'Extract Data'!A35</f>
        <v>0</v>
      </c>
      <c r="C49" s="248" t="str">
        <f>IF('Data Sheet'!C49="","",-'Data Sheet'!C49)</f>
        <v/>
      </c>
      <c r="D49" s="248" t="str">
        <f t="shared" si="1"/>
        <v/>
      </c>
      <c r="E49" s="248" t="str">
        <f>IF('Data Sheet'!D49="","",-'Data Sheet'!D49)</f>
        <v/>
      </c>
      <c r="F49" s="248" t="str">
        <f t="shared" si="2"/>
        <v/>
      </c>
      <c r="G49" s="92" t="str">
        <f t="shared" si="3"/>
        <v/>
      </c>
      <c r="H49" s="92" t="str">
        <f t="shared" si="4"/>
        <v/>
      </c>
      <c r="I49" s="92"/>
      <c r="J49" s="92"/>
      <c r="K49" s="92"/>
      <c r="L49" s="92"/>
      <c r="M49" s="92"/>
    </row>
    <row r="50" s="37" customFormat="1" ht="12" customHeight="1" spans="1:13">
      <c r="A50" s="98">
        <v>31</v>
      </c>
      <c r="B50" s="87">
        <f>+'Extract Data'!A36</f>
        <v>0</v>
      </c>
      <c r="C50" s="249" t="str">
        <f>IF('Data Sheet'!C50="","",-'Data Sheet'!C50)</f>
        <v/>
      </c>
      <c r="D50" s="249" t="str">
        <f t="shared" si="1"/>
        <v/>
      </c>
      <c r="E50" s="249" t="str">
        <f>IF('Data Sheet'!D50="","",-'Data Sheet'!D50)</f>
        <v/>
      </c>
      <c r="F50" s="249" t="str">
        <f t="shared" si="2"/>
        <v/>
      </c>
      <c r="G50" s="247">
        <v>1299.125</v>
      </c>
      <c r="H50" s="247">
        <v>1092.702</v>
      </c>
      <c r="I50" s="247"/>
      <c r="J50" s="247"/>
      <c r="K50" s="247"/>
      <c r="L50" s="247"/>
      <c r="M50" s="247"/>
    </row>
    <row r="51" s="37" customFormat="1" ht="12" customHeight="1" spans="1:13">
      <c r="A51" s="100"/>
      <c r="B51" s="87"/>
      <c r="C51" s="248"/>
      <c r="D51" s="248" t="str">
        <f>IF($B51=0,"",#REF!)</f>
        <v/>
      </c>
      <c r="E51" s="248"/>
      <c r="F51" s="248"/>
      <c r="G51" s="92"/>
      <c r="H51" s="92"/>
      <c r="I51" s="92"/>
      <c r="J51" s="92"/>
      <c r="K51" s="92"/>
      <c r="L51" s="92"/>
      <c r="M51" s="92"/>
    </row>
    <row r="52" s="37" customFormat="1" ht="12" customHeight="1" spans="1:13">
      <c r="A52" s="100"/>
      <c r="B52" s="87"/>
      <c r="C52" s="248"/>
      <c r="D52" s="248"/>
      <c r="E52" s="248"/>
      <c r="F52" s="92"/>
      <c r="G52" s="92"/>
      <c r="H52" s="92"/>
      <c r="I52" s="92"/>
      <c r="J52" s="92"/>
      <c r="K52" s="92"/>
      <c r="L52" s="92"/>
      <c r="M52" s="92"/>
    </row>
    <row r="53" ht="12" customHeight="1" spans="1:13">
      <c r="A53"/>
      <c r="B53" s="264" t="s">
        <v>11697</v>
      </c>
      <c r="C53" s="178">
        <f t="shared" ref="C53:H53" si="5">SUMIF($A$20:$A$50,$A$1-1,C$20:C$50)</f>
        <v>-6808.326</v>
      </c>
      <c r="D53" s="178">
        <f t="shared" si="5"/>
        <v>6808.326</v>
      </c>
      <c r="E53" s="178">
        <f t="shared" si="5"/>
        <v>1296467.277</v>
      </c>
      <c r="F53" s="178">
        <f>SUMIF($A$20:$A$50,$A$1-1,F$20:F$50)</f>
        <v>-1175245.277</v>
      </c>
      <c r="G53" s="178">
        <f t="shared" si="5"/>
        <v>1299.125</v>
      </c>
      <c r="H53" s="178">
        <f t="shared" si="5"/>
        <v>1092.702</v>
      </c>
      <c r="I53" s="178"/>
      <c r="J53" s="178"/>
      <c r="K53" s="178"/>
      <c r="L53" s="178"/>
      <c r="M53" s="178"/>
    </row>
    <row r="54" ht="12" customHeight="1" spans="1:4">
      <c r="A54"/>
      <c r="C54" s="74"/>
      <c r="D54" s="74"/>
    </row>
    <row r="55" ht="12" customHeight="1" spans="1:4">
      <c r="A55"/>
      <c r="C55" s="74"/>
      <c r="D55" s="74"/>
    </row>
    <row r="56" ht="12" customHeight="1" spans="1:4">
      <c r="A56"/>
      <c r="C56" s="74"/>
      <c r="D56" s="74"/>
    </row>
    <row r="57" ht="12" customHeight="1" spans="1:4">
      <c r="A57"/>
      <c r="C57" s="74"/>
      <c r="D57" s="74"/>
    </row>
    <row r="58" ht="12" customHeight="1" spans="1:4">
      <c r="A58"/>
      <c r="C58" s="74"/>
      <c r="D58" s="74"/>
    </row>
    <row r="59" ht="12" customHeight="1" spans="1:4">
      <c r="A59"/>
      <c r="C59" s="74"/>
      <c r="D59" s="74"/>
    </row>
    <row r="60" ht="12" customHeight="1" spans="1:4">
      <c r="A60"/>
      <c r="C60" s="74"/>
      <c r="D60" s="74"/>
    </row>
    <row r="61" ht="12" customHeight="1" spans="1:4">
      <c r="A61"/>
      <c r="C61" s="74"/>
      <c r="D61" s="74"/>
    </row>
    <row r="62" ht="12" customHeight="1" spans="1:4">
      <c r="A62"/>
      <c r="C62" s="74"/>
      <c r="D62" s="74"/>
    </row>
    <row r="63" ht="12" customHeight="1" spans="1:4">
      <c r="A63"/>
      <c r="C63" s="74"/>
      <c r="D63" s="74"/>
    </row>
    <row r="64" ht="12" customHeight="1" spans="1:4">
      <c r="A64"/>
      <c r="C64" s="74"/>
      <c r="D64" s="74"/>
    </row>
    <row r="65" ht="12" customHeight="1" spans="1:4">
      <c r="A65"/>
      <c r="C65" s="74"/>
      <c r="D65" s="74"/>
    </row>
    <row r="66" ht="12" customHeight="1" spans="1:4">
      <c r="A66"/>
      <c r="B66" s="200"/>
      <c r="C66" s="74"/>
      <c r="D66" s="74"/>
    </row>
    <row r="67" ht="12" customHeight="1" spans="1:4">
      <c r="A67"/>
      <c r="B67" s="200"/>
      <c r="C67" s="74"/>
      <c r="D67" s="74"/>
    </row>
    <row r="68" ht="12" customHeight="1" spans="1:4">
      <c r="A68"/>
      <c r="B68" s="200"/>
      <c r="C68" s="74"/>
      <c r="D68" s="74"/>
    </row>
    <row r="69" ht="12" customHeight="1" spans="1:4">
      <c r="A69"/>
      <c r="B69" s="200"/>
      <c r="C69" s="74"/>
      <c r="D69" s="74"/>
    </row>
    <row r="70" ht="12" customHeight="1" spans="1:4">
      <c r="A70"/>
      <c r="B70" s="200"/>
      <c r="C70" s="74"/>
      <c r="D70" s="74"/>
    </row>
    <row r="71" ht="12" customHeight="1" spans="1:4">
      <c r="A71"/>
      <c r="C71" s="74"/>
      <c r="D71" s="74"/>
    </row>
    <row r="72" ht="12" customHeight="1" spans="1:4">
      <c r="A72"/>
      <c r="C72" s="74"/>
      <c r="D72" s="74"/>
    </row>
    <row r="73" ht="12" customHeight="1" spans="1:4">
      <c r="A73"/>
      <c r="B73"/>
      <c r="C73" s="74"/>
      <c r="D73" s="74"/>
    </row>
    <row r="74" ht="12" customHeight="1" spans="1:4">
      <c r="A74"/>
      <c r="B74"/>
      <c r="C74" s="74"/>
      <c r="D74" s="74"/>
    </row>
    <row r="75" ht="12" customHeight="1" spans="1:2">
      <c r="A75"/>
      <c r="B75"/>
    </row>
    <row r="76" spans="1:2">
      <c r="A76"/>
      <c r="B76"/>
    </row>
    <row r="77" spans="1:2">
      <c r="A77" s="1"/>
      <c r="B77" s="1"/>
    </row>
    <row r="78" ht="12" customHeight="1" spans="1:2">
      <c r="A78" s="1"/>
      <c r="B78" s="1"/>
    </row>
    <row r="79" spans="1:2">
      <c r="A79" s="1"/>
      <c r="B79" s="1"/>
    </row>
    <row r="80" spans="1:2">
      <c r="A80" s="1"/>
      <c r="B80" s="1"/>
    </row>
    <row r="81" spans="1:2">
      <c r="A81" s="1"/>
      <c r="B81" s="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customFormat="1"/>
  </sheetData>
  <mergeCells count="2">
    <mergeCell ref="C17:H17"/>
    <mergeCell ref="I17:M17"/>
  </mergeCells>
  <pageMargins left="0.75" right="0.75" top="0.72" bottom="0.68" header="0.5" footer="0.33"/>
  <pageSetup paperSize="1" orientation="landscape"/>
  <headerFooter alignWithMargins="0">
    <oddHeader>&amp;C&amp;A</oddHeader>
    <oddFooter>&amp;CPage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22"/>
  <sheetViews>
    <sheetView topLeftCell="A5" workbookViewId="0">
      <selection activeCell="B14" sqref="B14"/>
    </sheetView>
  </sheetViews>
  <sheetFormatPr defaultColWidth="9" defaultRowHeight="13.2" outlineLevelCol="2"/>
  <cols>
    <col min="1" max="1" width="16.9074074074074" customWidth="1"/>
    <col min="2" max="2" width="85.7222222222222" customWidth="1"/>
  </cols>
  <sheetData>
    <row r="1" spans="2:2">
      <c r="B1" s="45" t="s">
        <v>11698</v>
      </c>
    </row>
    <row r="2" spans="1:2">
      <c r="A2">
        <v>1</v>
      </c>
      <c r="B2" s="1" t="s">
        <v>11699</v>
      </c>
    </row>
    <row r="3" spans="1:2">
      <c r="A3">
        <v>2</v>
      </c>
      <c r="B3" s="1" t="s">
        <v>11700</v>
      </c>
    </row>
    <row r="4" spans="1:2">
      <c r="A4">
        <v>3</v>
      </c>
      <c r="B4" s="1" t="s">
        <v>11701</v>
      </c>
    </row>
    <row r="5" ht="50.5" customHeight="1" spans="1:2">
      <c r="A5">
        <v>4</v>
      </c>
      <c r="B5" s="7" t="s">
        <v>11702</v>
      </c>
    </row>
    <row r="6" spans="1:2">
      <c r="A6">
        <v>5</v>
      </c>
      <c r="B6" s="1" t="s">
        <v>11703</v>
      </c>
    </row>
    <row r="7" spans="1:2">
      <c r="A7">
        <v>6</v>
      </c>
      <c r="B7" s="1" t="s">
        <v>11704</v>
      </c>
    </row>
    <row r="8" spans="1:2">
      <c r="A8">
        <v>7</v>
      </c>
      <c r="B8" s="1" t="s">
        <v>11705</v>
      </c>
    </row>
    <row r="9" spans="1:2">
      <c r="A9">
        <v>8</v>
      </c>
      <c r="B9" s="1" t="s">
        <v>11706</v>
      </c>
    </row>
    <row r="10" spans="2:2">
      <c r="B10" s="45" t="s">
        <v>11707</v>
      </c>
    </row>
    <row r="11" customFormat="1" spans="1:3">
      <c r="A11">
        <v>1</v>
      </c>
      <c r="B11" s="241" t="s">
        <v>11708</v>
      </c>
      <c r="C11" s="1" t="s">
        <v>11709</v>
      </c>
    </row>
    <row r="12" customFormat="1" spans="1:3">
      <c r="A12">
        <v>2</v>
      </c>
      <c r="B12" s="241" t="s">
        <v>11710</v>
      </c>
      <c r="C12" s="1" t="s">
        <v>11709</v>
      </c>
    </row>
    <row r="14" spans="1:2">
      <c r="A14" s="1" t="s">
        <v>11711</v>
      </c>
      <c r="B14" s="242" t="s">
        <v>11712</v>
      </c>
    </row>
    <row r="20" ht="14.4" spans="1:2">
      <c r="A20" s="45" t="s">
        <v>11713</v>
      </c>
      <c r="B20" s="243" t="s">
        <v>11714</v>
      </c>
    </row>
    <row r="21" ht="14.4" spans="2:2">
      <c r="B21" s="243" t="s">
        <v>11715</v>
      </c>
    </row>
    <row r="22" ht="14.4" spans="2:2">
      <c r="B22" s="243" t="s">
        <v>11716</v>
      </c>
    </row>
  </sheetData>
  <hyperlinks>
    <hyperlink ref="B14" r:id="rId1" display="\\pbidevarmsta001.file.core.windows.net\sap-iot-data\CP03\ulsd"/>
  </hyperlinks>
  <pageMargins left="0.7" right="0.7" top="0.75" bottom="0.75" header="0.3" footer="0.3"/>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47"/>
  <sheetViews>
    <sheetView topLeftCell="A6" workbookViewId="0">
      <selection activeCell="B37" sqref="B37"/>
    </sheetView>
  </sheetViews>
  <sheetFormatPr defaultColWidth="9" defaultRowHeight="13.2" outlineLevelCol="2"/>
  <cols>
    <col min="1" max="1" width="50.6296296296296" customWidth="1"/>
  </cols>
  <sheetData>
    <row r="1" spans="1:1">
      <c r="A1" t="s">
        <v>11717</v>
      </c>
    </row>
    <row r="2" spans="1:1">
      <c r="A2" t="s">
        <v>11718</v>
      </c>
    </row>
    <row r="3" spans="1:2">
      <c r="A3" t="s">
        <v>11719</v>
      </c>
      <c r="B3" t="s">
        <v>11720</v>
      </c>
    </row>
    <row r="4" spans="1:2">
      <c r="A4" t="s">
        <v>11721</v>
      </c>
      <c r="B4" t="s">
        <v>11722</v>
      </c>
    </row>
    <row r="5" spans="1:1">
      <c r="A5" t="s">
        <v>11723</v>
      </c>
    </row>
    <row r="6" spans="1:2">
      <c r="A6" t="s">
        <v>11724</v>
      </c>
      <c r="B6" t="s">
        <v>11725</v>
      </c>
    </row>
    <row r="7" spans="1:1">
      <c r="A7" t="s">
        <v>11726</v>
      </c>
    </row>
    <row r="8" spans="1:2">
      <c r="A8" t="s">
        <v>11727</v>
      </c>
      <c r="B8" t="s">
        <v>11728</v>
      </c>
    </row>
    <row r="9" spans="1:1">
      <c r="A9" t="s">
        <v>11729</v>
      </c>
    </row>
    <row r="10" spans="1:2">
      <c r="A10" t="s">
        <v>11730</v>
      </c>
      <c r="B10" t="s">
        <v>11673</v>
      </c>
    </row>
    <row r="11" spans="1:2">
      <c r="A11" t="s">
        <v>11731</v>
      </c>
      <c r="B11">
        <v>0</v>
      </c>
    </row>
    <row r="12" spans="1:2">
      <c r="A12" t="s">
        <v>11732</v>
      </c>
      <c r="B12">
        <v>0</v>
      </c>
    </row>
    <row r="13" spans="1:2">
      <c r="A13" t="s">
        <v>11733</v>
      </c>
      <c r="B13">
        <v>0</v>
      </c>
    </row>
    <row r="14" spans="1:2">
      <c r="A14" t="s">
        <v>11734</v>
      </c>
      <c r="B14">
        <v>1005</v>
      </c>
    </row>
    <row r="15" spans="1:2">
      <c r="A15" t="s">
        <v>11735</v>
      </c>
      <c r="B15">
        <v>1005</v>
      </c>
    </row>
    <row r="16" spans="1:2">
      <c r="A16" t="s">
        <v>11736</v>
      </c>
      <c r="B16">
        <v>0</v>
      </c>
    </row>
    <row r="17" spans="1:2">
      <c r="A17" t="s">
        <v>11737</v>
      </c>
      <c r="B17">
        <v>0</v>
      </c>
    </row>
    <row r="18" spans="1:2">
      <c r="A18" t="s">
        <v>11738</v>
      </c>
      <c r="B18">
        <v>0</v>
      </c>
    </row>
    <row r="19" spans="1:3">
      <c r="A19" t="s">
        <v>11739</v>
      </c>
      <c r="B19">
        <v>1005</v>
      </c>
      <c r="C19" s="45"/>
    </row>
    <row r="20" spans="1:3">
      <c r="A20" t="s">
        <v>11740</v>
      </c>
      <c r="C20" s="45"/>
    </row>
    <row r="21" spans="1:1">
      <c r="A21" t="s">
        <v>11729</v>
      </c>
    </row>
    <row r="22" spans="1:2">
      <c r="A22" t="s">
        <v>11730</v>
      </c>
      <c r="B22" t="s">
        <v>11674</v>
      </c>
    </row>
    <row r="23" spans="1:2">
      <c r="A23" t="s">
        <v>11731</v>
      </c>
      <c r="B23">
        <v>0</v>
      </c>
    </row>
    <row r="24" spans="1:2">
      <c r="A24" t="s">
        <v>11732</v>
      </c>
      <c r="B24">
        <v>0</v>
      </c>
    </row>
    <row r="25" spans="1:2">
      <c r="A25" t="s">
        <v>11733</v>
      </c>
      <c r="B25">
        <v>0</v>
      </c>
    </row>
    <row r="26" spans="1:2">
      <c r="A26" t="s">
        <v>11734</v>
      </c>
      <c r="B26">
        <v>0</v>
      </c>
    </row>
    <row r="27" spans="1:2">
      <c r="A27" t="s">
        <v>11735</v>
      </c>
      <c r="B27">
        <v>0</v>
      </c>
    </row>
    <row r="28" spans="1:2">
      <c r="A28" t="s">
        <v>11736</v>
      </c>
      <c r="B28">
        <v>162</v>
      </c>
    </row>
    <row r="29" spans="1:2">
      <c r="A29" t="s">
        <v>11737</v>
      </c>
      <c r="B29">
        <v>162</v>
      </c>
    </row>
    <row r="30" spans="1:2">
      <c r="A30" t="s">
        <v>11738</v>
      </c>
      <c r="B30">
        <v>0</v>
      </c>
    </row>
    <row r="31" spans="1:2">
      <c r="A31" t="s">
        <v>11739</v>
      </c>
      <c r="B31">
        <v>162</v>
      </c>
    </row>
    <row r="32" spans="1:1">
      <c r="A32" t="s">
        <v>11740</v>
      </c>
    </row>
    <row r="33" spans="1:1">
      <c r="A33" t="s">
        <v>11729</v>
      </c>
    </row>
    <row r="34" spans="1:2">
      <c r="A34" t="s">
        <v>11730</v>
      </c>
      <c r="B34" t="s">
        <v>11675</v>
      </c>
    </row>
    <row r="35" spans="1:2">
      <c r="A35" t="s">
        <v>11731</v>
      </c>
      <c r="B35">
        <v>21766022</v>
      </c>
    </row>
    <row r="36" spans="1:2">
      <c r="A36" t="s">
        <v>11732</v>
      </c>
      <c r="B36">
        <v>21766122</v>
      </c>
    </row>
    <row r="37" spans="1:2">
      <c r="A37" t="s">
        <v>11733</v>
      </c>
      <c r="B37">
        <v>100</v>
      </c>
    </row>
    <row r="38" spans="1:2">
      <c r="A38" t="s">
        <v>11734</v>
      </c>
      <c r="B38">
        <v>0</v>
      </c>
    </row>
    <row r="39" spans="1:2">
      <c r="A39" t="s">
        <v>11735</v>
      </c>
      <c r="B39">
        <v>0</v>
      </c>
    </row>
    <row r="40" spans="1:2">
      <c r="A40" t="s">
        <v>11736</v>
      </c>
      <c r="B40">
        <v>0</v>
      </c>
    </row>
    <row r="41" spans="1:2">
      <c r="A41" t="s">
        <v>11737</v>
      </c>
      <c r="B41">
        <v>0</v>
      </c>
    </row>
    <row r="42" spans="1:2">
      <c r="A42" t="s">
        <v>11738</v>
      </c>
      <c r="B42">
        <v>0</v>
      </c>
    </row>
    <row r="43" spans="1:2">
      <c r="A43" t="s">
        <v>11739</v>
      </c>
      <c r="B43">
        <v>100</v>
      </c>
    </row>
    <row r="44" spans="1:1">
      <c r="A44" t="s">
        <v>11740</v>
      </c>
    </row>
    <row r="45" spans="1:1">
      <c r="A45" t="s">
        <v>11741</v>
      </c>
    </row>
    <row r="46" spans="1:2">
      <c r="A46" t="s">
        <v>11742</v>
      </c>
      <c r="B46">
        <v>6198513</v>
      </c>
    </row>
    <row r="47" spans="1:1">
      <c r="A47" t="s">
        <v>11743</v>
      </c>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7"/>
  <sheetViews>
    <sheetView topLeftCell="A13" workbookViewId="0">
      <selection activeCell="A26" sqref="$A26:$XFD27"/>
    </sheetView>
  </sheetViews>
  <sheetFormatPr defaultColWidth="9" defaultRowHeight="13.2"/>
  <cols>
    <col min="1" max="1" width="95.0925925925926" customWidth="1"/>
  </cols>
  <sheetData>
    <row r="1" spans="1:1">
      <c r="A1" s="45" t="s">
        <v>11744</v>
      </c>
    </row>
    <row r="2" spans="1:1">
      <c r="A2" s="1" t="s">
        <v>11745</v>
      </c>
    </row>
    <row r="3" spans="1:1">
      <c r="A3" s="1" t="s">
        <v>11746</v>
      </c>
    </row>
    <row r="4" spans="1:1">
      <c r="A4" s="1" t="s">
        <v>11747</v>
      </c>
    </row>
    <row r="5" spans="1:1">
      <c r="A5" s="1" t="s">
        <v>11748</v>
      </c>
    </row>
    <row r="6" spans="1:1">
      <c r="A6" s="1" t="s">
        <v>11749</v>
      </c>
    </row>
    <row r="7" customFormat="1" spans="1:1">
      <c r="A7" s="1" t="s">
        <v>11750</v>
      </c>
    </row>
    <row r="8" customFormat="1" spans="1:1">
      <c r="A8" s="1" t="s">
        <v>11751</v>
      </c>
    </row>
    <row r="9" customFormat="1" spans="1:1">
      <c r="A9" s="1" t="s">
        <v>11752</v>
      </c>
    </row>
    <row r="10" customFormat="1" spans="1:1">
      <c r="A10" s="1" t="s">
        <v>11753</v>
      </c>
    </row>
    <row r="11" customFormat="1" ht="35" customHeight="1" spans="1:1">
      <c r="A11" s="7" t="s">
        <v>11754</v>
      </c>
    </row>
    <row r="12" customFormat="1" ht="35" customHeight="1" spans="1:1">
      <c r="A12" s="7" t="s">
        <v>11755</v>
      </c>
    </row>
    <row r="13" customFormat="1" ht="55" customHeight="1" spans="1:1">
      <c r="A13" s="7" t="s">
        <v>11756</v>
      </c>
    </row>
    <row r="14" customFormat="1" ht="35" customHeight="1" spans="1:1">
      <c r="A14" s="7" t="s">
        <v>11757</v>
      </c>
    </row>
    <row r="15" spans="1:1">
      <c r="A15" s="45" t="s">
        <v>11758</v>
      </c>
    </row>
    <row r="16" spans="1:1">
      <c r="A16" s="1" t="s">
        <v>11759</v>
      </c>
    </row>
    <row r="17" spans="1:1">
      <c r="A17" s="1" t="s">
        <v>11760</v>
      </c>
    </row>
    <row r="18" spans="1:1">
      <c r="A18" s="1" t="s">
        <v>11761</v>
      </c>
    </row>
    <row r="19" spans="1:1">
      <c r="A19" s="1" t="s">
        <v>11762</v>
      </c>
    </row>
    <row r="20" spans="1:1">
      <c r="A20" s="1" t="s">
        <v>11763</v>
      </c>
    </row>
    <row r="21" spans="1:1">
      <c r="A21" s="1" t="s">
        <v>11764</v>
      </c>
    </row>
    <row r="22" spans="1:1">
      <c r="A22" s="1" t="s">
        <v>11765</v>
      </c>
    </row>
    <row r="23" spans="1:1">
      <c r="A23" s="1" t="s">
        <v>11766</v>
      </c>
    </row>
    <row r="24" spans="1:1">
      <c r="A24" s="1" t="s">
        <v>11767</v>
      </c>
    </row>
    <row r="25" spans="1:1">
      <c r="A25" s="45" t="s">
        <v>11768</v>
      </c>
    </row>
    <row r="26" spans="1:1">
      <c r="A26" s="1" t="s">
        <v>11769</v>
      </c>
    </row>
    <row r="27" spans="1:1">
      <c r="A27" s="1" t="s">
        <v>11770</v>
      </c>
    </row>
  </sheetData>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2:D19"/>
  <sheetViews>
    <sheetView workbookViewId="0">
      <selection activeCell="D18" sqref="D18"/>
    </sheetView>
  </sheetViews>
  <sheetFormatPr defaultColWidth="9" defaultRowHeight="13.2" outlineLevelCol="3"/>
  <cols>
    <col min="1" max="1" width="17.3611111111111" customWidth="1"/>
    <col min="2" max="2" width="16.8148148148148" customWidth="1"/>
    <col min="3" max="3" width="19.7222222222222" customWidth="1"/>
  </cols>
  <sheetData>
    <row r="2" spans="1:2">
      <c r="A2">
        <v>1</v>
      </c>
      <c r="B2" s="1" t="s">
        <v>11771</v>
      </c>
    </row>
    <row r="3" spans="1:2">
      <c r="A3">
        <v>2</v>
      </c>
      <c r="B3" s="1" t="s">
        <v>11772</v>
      </c>
    </row>
    <row r="4" spans="1:2">
      <c r="A4">
        <v>3</v>
      </c>
      <c r="B4" s="1" t="s">
        <v>11773</v>
      </c>
    </row>
    <row r="5" spans="1:2">
      <c r="A5">
        <v>4</v>
      </c>
      <c r="B5" s="1" t="s">
        <v>11774</v>
      </c>
    </row>
    <row r="15" spans="3:4">
      <c r="C15" s="1" t="s">
        <v>11775</v>
      </c>
      <c r="D15">
        <v>12289837</v>
      </c>
    </row>
    <row r="16" spans="3:4">
      <c r="C16" s="1" t="s">
        <v>11776</v>
      </c>
      <c r="D16">
        <v>12290081</v>
      </c>
    </row>
    <row r="17" spans="3:4">
      <c r="C17" s="1" t="s">
        <v>11777</v>
      </c>
      <c r="D17">
        <f>-(D16-D15)</f>
        <v>-244</v>
      </c>
    </row>
    <row r="18" spans="3:4">
      <c r="C18" s="1" t="s">
        <v>11778</v>
      </c>
      <c r="D18">
        <f>Production!E20*1000</f>
        <v>121212000</v>
      </c>
    </row>
    <row r="19" spans="3:4">
      <c r="C19" s="1" t="s">
        <v>11779</v>
      </c>
      <c r="D19">
        <f>D17-D18</f>
        <v>-121212244</v>
      </c>
    </row>
  </sheetData>
  <pageMargins left="0.7" right="0.7"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0"/>
  <sheetViews>
    <sheetView workbookViewId="0">
      <selection activeCell="C22" sqref="C22"/>
    </sheetView>
  </sheetViews>
  <sheetFormatPr defaultColWidth="9" defaultRowHeight="13.2" outlineLevelCol="1"/>
  <cols>
    <col min="1" max="1" width="44.6296296296296" customWidth="1"/>
  </cols>
  <sheetData>
    <row r="1" spans="1:2">
      <c r="A1" s="1" t="s">
        <v>11780</v>
      </c>
      <c r="B1" s="1" t="s">
        <v>11781</v>
      </c>
    </row>
    <row r="2" spans="2:2">
      <c r="B2" s="1" t="s">
        <v>11782</v>
      </c>
    </row>
    <row r="3" spans="2:2">
      <c r="B3" s="1" t="s">
        <v>11783</v>
      </c>
    </row>
    <row r="6" spans="1:2">
      <c r="A6" s="1" t="s">
        <v>11784</v>
      </c>
      <c r="B6" s="1" t="s">
        <v>11781</v>
      </c>
    </row>
    <row r="7" spans="2:2">
      <c r="B7" s="1" t="s">
        <v>11782</v>
      </c>
    </row>
    <row r="8" spans="2:2">
      <c r="B8" s="1" t="s">
        <v>11785</v>
      </c>
    </row>
    <row r="9" spans="2:2">
      <c r="B9" s="1" t="s">
        <v>11786</v>
      </c>
    </row>
    <row r="11" spans="1:2">
      <c r="A11" s="1" t="s">
        <v>11787</v>
      </c>
      <c r="B11" s="1" t="s">
        <v>11788</v>
      </c>
    </row>
    <row r="12" spans="2:2">
      <c r="B12" s="1" t="s">
        <v>11789</v>
      </c>
    </row>
    <row r="13" spans="2:2">
      <c r="B13" s="1" t="s">
        <v>11790</v>
      </c>
    </row>
    <row r="14" customFormat="1"/>
    <row r="15" spans="1:2">
      <c r="A15" s="1" t="s">
        <v>11791</v>
      </c>
      <c r="B15" s="1" t="s">
        <v>11788</v>
      </c>
    </row>
    <row r="16" spans="2:2">
      <c r="B16" s="1" t="s">
        <v>11792</v>
      </c>
    </row>
    <row r="17" spans="2:2">
      <c r="B17" s="1" t="s">
        <v>11793</v>
      </c>
    </row>
    <row r="19" spans="1:1">
      <c r="A19" s="45" t="s">
        <v>11794</v>
      </c>
    </row>
    <row r="20" spans="1:2">
      <c r="A20" s="1">
        <v>1</v>
      </c>
      <c r="B20" s="1" t="s">
        <v>11795</v>
      </c>
    </row>
  </sheetData>
  <pageMargins left="0.7" right="0.7"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O1446"/>
  <sheetViews>
    <sheetView zoomScale="85" zoomScaleNormal="85" topLeftCell="A7" workbookViewId="0">
      <selection activeCell="A6" sqref="A6:A30"/>
    </sheetView>
  </sheetViews>
  <sheetFormatPr defaultColWidth="13.7222222222222" defaultRowHeight="13.2"/>
  <cols>
    <col min="1" max="1" width="18.8148148148148" style="13" customWidth="1"/>
    <col min="2" max="2" width="16.5462962962963" style="14" customWidth="1"/>
    <col min="3" max="3" width="16" style="14" customWidth="1"/>
    <col min="4" max="4" width="15.4537037037037" style="14" customWidth="1"/>
    <col min="5" max="5" width="16.1759259259259" style="224" customWidth="1"/>
    <col min="6" max="6" width="14.5462962962963" style="224" customWidth="1"/>
    <col min="7" max="7" width="13.7222222222222" style="224" customWidth="1"/>
    <col min="8" max="15" width="13.7222222222222" style="225" customWidth="1"/>
    <col min="16" max="16384" width="13.7222222222222" style="226"/>
  </cols>
  <sheetData>
    <row r="1" s="219" customFormat="1" ht="29.25" customHeight="1" spans="1:9">
      <c r="A1" s="227" t="s">
        <v>11796</v>
      </c>
      <c r="B1" s="228">
        <f ca="1">Scratch!$B$2</f>
        <v>44274</v>
      </c>
      <c r="C1" s="229" t="s">
        <v>11797</v>
      </c>
      <c r="D1" s="230">
        <f>Scratch!G1</f>
        <v>86400</v>
      </c>
      <c r="E1" s="231" t="s">
        <v>11798</v>
      </c>
      <c r="I1" s="239" t="s">
        <v>11799</v>
      </c>
    </row>
    <row r="2" s="219" customFormat="1" ht="21.75" customHeight="1" spans="1:5">
      <c r="A2" s="227" t="s">
        <v>11800</v>
      </c>
      <c r="B2" s="228" t="e">
        <f ca="1">Scratch!$C$2</f>
        <v>#VALUE!</v>
      </c>
      <c r="C2" s="229" t="s">
        <v>11801</v>
      </c>
      <c r="D2" s="220" t="str">
        <f>INDEX(Scratch!A2:A4,Scratch!A1)</f>
        <v>Average</v>
      </c>
      <c r="E2" s="232"/>
    </row>
    <row r="3" s="220" customFormat="1" ht="30.75" customHeight="1" spans="1:5">
      <c r="A3" s="233" t="s">
        <v>11802</v>
      </c>
      <c r="B3" s="234" t="s">
        <v>11803</v>
      </c>
      <c r="C3" s="235"/>
      <c r="D3" s="236"/>
      <c r="E3" s="237" t="s">
        <v>11804</v>
      </c>
    </row>
    <row r="4" s="221" customFormat="1" ht="20.25" customHeight="1" spans="1:9">
      <c r="A4" s="8" t="s">
        <v>11805</v>
      </c>
      <c r="B4" s="9" t="s">
        <v>11806</v>
      </c>
      <c r="C4" s="9" t="s">
        <v>11807</v>
      </c>
      <c r="D4" s="9" t="s">
        <v>11808</v>
      </c>
      <c r="E4" s="9" t="s">
        <v>11809</v>
      </c>
      <c r="F4" s="9" t="s">
        <v>11810</v>
      </c>
      <c r="G4" s="9" t="s">
        <v>11811</v>
      </c>
      <c r="H4" s="9" t="s">
        <v>11812</v>
      </c>
      <c r="I4" s="9" t="s">
        <v>11813</v>
      </c>
    </row>
    <row r="5" s="222" customFormat="1" ht="33" customHeight="1" spans="1:15">
      <c r="A5" s="10"/>
      <c r="B5" s="11" t="s">
        <v>11814</v>
      </c>
      <c r="C5" s="11" t="s">
        <v>11815</v>
      </c>
      <c r="D5" s="11" t="s">
        <v>11816</v>
      </c>
      <c r="E5" s="12" t="s">
        <v>11817</v>
      </c>
      <c r="F5" s="12" t="s">
        <v>11818</v>
      </c>
      <c r="G5" s="12" t="s">
        <v>11819</v>
      </c>
      <c r="H5" s="12" t="s">
        <v>11820</v>
      </c>
      <c r="I5" s="12" t="s">
        <v>11821</v>
      </c>
      <c r="J5" s="12"/>
      <c r="K5" s="12"/>
      <c r="L5" s="12"/>
      <c r="M5" s="12"/>
      <c r="N5" s="12"/>
      <c r="O5" s="12"/>
    </row>
    <row r="6" s="223" customFormat="1" spans="1:15">
      <c r="A6" s="13">
        <v>44228</v>
      </c>
      <c r="B6" s="14">
        <v>877.572906070285</v>
      </c>
      <c r="C6" s="14">
        <v>2948.25658874512</v>
      </c>
      <c r="D6" s="14">
        <v>256204.218749991</v>
      </c>
      <c r="E6" s="14">
        <v>0</v>
      </c>
      <c r="F6" s="14">
        <v>2945.92849985759</v>
      </c>
      <c r="G6" s="14">
        <v>0</v>
      </c>
      <c r="H6" s="14">
        <v>0</v>
      </c>
      <c r="I6" s="14">
        <v>0</v>
      </c>
      <c r="J6" s="14"/>
      <c r="K6" s="14"/>
      <c r="L6" s="14"/>
      <c r="M6" s="14"/>
      <c r="N6" s="14"/>
      <c r="O6" s="14"/>
    </row>
    <row r="7" s="223" customFormat="1" spans="1:15">
      <c r="A7" s="13">
        <v>44229</v>
      </c>
      <c r="B7" s="14">
        <v>854.113372590807</v>
      </c>
      <c r="C7" s="14">
        <v>2944.36191677517</v>
      </c>
      <c r="D7" s="14">
        <v>256204.218749991</v>
      </c>
      <c r="E7" s="14">
        <v>0</v>
      </c>
      <c r="F7" s="14">
        <v>2941.99296875</v>
      </c>
      <c r="G7" s="14">
        <v>0</v>
      </c>
      <c r="H7" s="14">
        <v>0</v>
      </c>
      <c r="I7" s="14">
        <v>0</v>
      </c>
      <c r="J7" s="14"/>
      <c r="K7" s="14"/>
      <c r="L7" s="14"/>
      <c r="M7" s="14"/>
      <c r="N7" s="14"/>
      <c r="O7" s="14"/>
    </row>
    <row r="8" s="223" customFormat="1" spans="1:15">
      <c r="A8" s="13">
        <v>44230</v>
      </c>
      <c r="B8" s="14">
        <v>910.332450654775</v>
      </c>
      <c r="C8" s="14">
        <v>2946.54169548881</v>
      </c>
      <c r="D8" s="14">
        <v>256204.218749991</v>
      </c>
      <c r="E8" s="14">
        <v>0</v>
      </c>
      <c r="F8" s="14">
        <v>2944.10471293131</v>
      </c>
      <c r="G8" s="14">
        <v>0</v>
      </c>
      <c r="H8" s="14">
        <v>0</v>
      </c>
      <c r="I8" s="14">
        <v>0</v>
      </c>
      <c r="J8" s="14"/>
      <c r="K8" s="14"/>
      <c r="L8" s="14"/>
      <c r="M8" s="14"/>
      <c r="N8" s="14"/>
      <c r="O8" s="14"/>
    </row>
    <row r="9" s="223" customFormat="1" spans="1:15">
      <c r="A9" s="13">
        <v>44231</v>
      </c>
      <c r="B9" s="14">
        <v>912.247859149508</v>
      </c>
      <c r="C9" s="14">
        <v>2948.19856499565</v>
      </c>
      <c r="D9" s="14">
        <v>256204.218749991</v>
      </c>
      <c r="E9" s="14">
        <v>0</v>
      </c>
      <c r="F9" s="14">
        <v>2945.75492299398</v>
      </c>
      <c r="G9" s="14">
        <v>0</v>
      </c>
      <c r="H9" s="14">
        <v>0</v>
      </c>
      <c r="I9" s="14">
        <v>0</v>
      </c>
      <c r="J9" s="14"/>
      <c r="K9" s="14"/>
      <c r="L9" s="14"/>
      <c r="M9" s="14"/>
      <c r="N9" s="14"/>
      <c r="O9" s="14"/>
    </row>
    <row r="10" s="223" customFormat="1" spans="1:15">
      <c r="A10" s="13">
        <v>44232</v>
      </c>
      <c r="B10" s="14">
        <v>271.681907325321</v>
      </c>
      <c r="C10" s="14">
        <v>2947.52890692816</v>
      </c>
      <c r="D10" s="14">
        <v>257350.792567273</v>
      </c>
      <c r="E10" s="14">
        <v>3386.77954296536</v>
      </c>
      <c r="F10" s="14">
        <v>2945.13031700982</v>
      </c>
      <c r="G10" s="14">
        <v>0</v>
      </c>
      <c r="H10" s="14">
        <v>0</v>
      </c>
      <c r="I10" s="14">
        <v>0</v>
      </c>
      <c r="J10" s="14"/>
      <c r="K10" s="14"/>
      <c r="L10" s="14"/>
      <c r="M10" s="14"/>
      <c r="N10" s="14"/>
      <c r="O10" s="14"/>
    </row>
    <row r="11" s="223" customFormat="1" spans="1:15">
      <c r="A11" s="13">
        <v>44233</v>
      </c>
      <c r="B11" s="14">
        <v>0</v>
      </c>
      <c r="C11" s="14">
        <v>2947.40356089274</v>
      </c>
      <c r="D11" s="14">
        <v>262090.261447483</v>
      </c>
      <c r="E11" s="14">
        <v>4999.81988355848</v>
      </c>
      <c r="F11" s="14">
        <v>2945.0367199368</v>
      </c>
      <c r="G11" s="14">
        <v>0</v>
      </c>
      <c r="H11" s="14">
        <v>0</v>
      </c>
      <c r="I11" s="14">
        <v>0</v>
      </c>
      <c r="J11" s="14"/>
      <c r="K11" s="14"/>
      <c r="L11" s="14"/>
      <c r="M11" s="14"/>
      <c r="N11" s="14"/>
      <c r="O11" s="14"/>
    </row>
    <row r="12" s="223" customFormat="1" spans="1:15">
      <c r="A12" s="13">
        <v>44234</v>
      </c>
      <c r="B12" s="14">
        <v>0</v>
      </c>
      <c r="C12" s="14">
        <v>2742.28483903673</v>
      </c>
      <c r="D12" s="14">
        <v>264644.54561631</v>
      </c>
      <c r="E12" s="14">
        <v>54.3868232727051</v>
      </c>
      <c r="F12" s="14">
        <v>2740.36706339518</v>
      </c>
      <c r="G12" s="14">
        <v>0</v>
      </c>
      <c r="H12" s="14">
        <v>0</v>
      </c>
      <c r="I12" s="14">
        <v>0</v>
      </c>
      <c r="J12" s="14"/>
      <c r="K12" s="14"/>
      <c r="L12" s="14"/>
      <c r="M12" s="14"/>
      <c r="N12" s="14"/>
      <c r="O12" s="14"/>
    </row>
    <row r="13" s="223" customFormat="1" spans="1:15">
      <c r="A13" s="13">
        <v>44235</v>
      </c>
      <c r="B13" s="14">
        <v>0</v>
      </c>
      <c r="C13" s="14">
        <v>2527.82852715386</v>
      </c>
      <c r="D13" s="14">
        <v>264644.84374999</v>
      </c>
      <c r="E13" s="14">
        <v>0</v>
      </c>
      <c r="F13" s="14">
        <v>2526.55788726806</v>
      </c>
      <c r="G13" s="14">
        <v>0</v>
      </c>
      <c r="H13" s="14">
        <v>0</v>
      </c>
      <c r="I13" s="14">
        <v>0</v>
      </c>
      <c r="J13" s="14"/>
      <c r="K13" s="14"/>
      <c r="L13" s="14"/>
      <c r="M13" s="14"/>
      <c r="N13" s="14"/>
      <c r="O13" s="14"/>
    </row>
    <row r="14" s="223" customFormat="1" spans="1:15">
      <c r="A14" s="13">
        <v>44236</v>
      </c>
      <c r="B14" s="14">
        <v>0</v>
      </c>
      <c r="C14" s="14">
        <v>2527.12652248806</v>
      </c>
      <c r="D14" s="14">
        <v>264644.84374999</v>
      </c>
      <c r="E14" s="14">
        <v>0</v>
      </c>
      <c r="F14" s="14">
        <v>2525.79811299642</v>
      </c>
      <c r="G14" s="14">
        <v>0</v>
      </c>
      <c r="H14" s="14">
        <v>0</v>
      </c>
      <c r="I14" s="14">
        <v>0</v>
      </c>
      <c r="J14" s="14"/>
      <c r="K14" s="14"/>
      <c r="L14" s="14"/>
      <c r="M14" s="14"/>
      <c r="N14" s="14"/>
      <c r="O14" s="14"/>
    </row>
    <row r="15" s="223" customFormat="1" spans="1:15">
      <c r="A15" s="13">
        <v>44237</v>
      </c>
      <c r="B15" s="14">
        <v>0</v>
      </c>
      <c r="C15" s="14">
        <v>2529.46612175836</v>
      </c>
      <c r="D15" s="14">
        <v>265700.904730903</v>
      </c>
      <c r="E15" s="14">
        <v>3249.98758816189</v>
      </c>
      <c r="F15" s="14">
        <v>2528.18075544569</v>
      </c>
      <c r="G15" s="14">
        <v>0</v>
      </c>
      <c r="H15" s="14">
        <v>0</v>
      </c>
      <c r="I15" s="14">
        <v>0</v>
      </c>
      <c r="J15" s="14"/>
      <c r="K15" s="14"/>
      <c r="L15" s="14"/>
      <c r="M15" s="14"/>
      <c r="N15" s="14"/>
      <c r="O15" s="14"/>
    </row>
    <row r="16" s="223" customFormat="1" spans="1:15">
      <c r="A16" s="13">
        <v>44238</v>
      </c>
      <c r="B16" s="17">
        <v>0</v>
      </c>
      <c r="C16" s="17">
        <v>2528.81673990885</v>
      </c>
      <c r="D16" s="17">
        <v>269871.416948775</v>
      </c>
      <c r="E16" s="17">
        <v>2713.84121042887</v>
      </c>
      <c r="F16" s="17">
        <v>2527.4678700765</v>
      </c>
      <c r="G16" s="17">
        <v>0</v>
      </c>
      <c r="H16" s="17">
        <v>0</v>
      </c>
      <c r="I16" s="17">
        <v>0</v>
      </c>
      <c r="J16" s="14"/>
      <c r="K16" s="14"/>
      <c r="L16" s="14"/>
      <c r="M16" s="14"/>
      <c r="N16" s="14"/>
      <c r="O16" s="14"/>
    </row>
    <row r="17" s="223" customFormat="1" spans="1:15">
      <c r="A17" s="13">
        <v>44239</v>
      </c>
      <c r="B17" s="14">
        <v>0</v>
      </c>
      <c r="C17" s="14">
        <v>2527.22468753391</v>
      </c>
      <c r="D17" s="14">
        <v>270607.34374999</v>
      </c>
      <c r="E17" s="14">
        <v>0</v>
      </c>
      <c r="F17" s="14">
        <v>2525.99346839057</v>
      </c>
      <c r="G17" s="14">
        <v>0</v>
      </c>
      <c r="H17" s="14">
        <v>0</v>
      </c>
      <c r="I17" s="14">
        <v>0</v>
      </c>
      <c r="J17" s="14"/>
      <c r="K17" s="14"/>
      <c r="L17" s="14"/>
      <c r="M17" s="14"/>
      <c r="N17" s="14"/>
      <c r="O17" s="14"/>
    </row>
    <row r="18" s="223" customFormat="1" spans="1:15">
      <c r="A18" s="13">
        <v>44240</v>
      </c>
      <c r="B18" s="14">
        <v>132.405083759791</v>
      </c>
      <c r="C18" s="14">
        <v>2525.62214898003</v>
      </c>
      <c r="D18" s="14">
        <v>270607.34374999</v>
      </c>
      <c r="E18" s="14">
        <v>0</v>
      </c>
      <c r="F18" s="14">
        <v>2524.36624671088</v>
      </c>
      <c r="G18" s="14">
        <v>0</v>
      </c>
      <c r="H18" s="14">
        <v>0</v>
      </c>
      <c r="I18" s="14">
        <v>0</v>
      </c>
      <c r="J18" s="14"/>
      <c r="K18" s="14"/>
      <c r="L18" s="14"/>
      <c r="M18" s="14"/>
      <c r="N18" s="14"/>
      <c r="O18" s="14"/>
    </row>
    <row r="19" s="223" customFormat="1" spans="1:15">
      <c r="A19" s="13">
        <v>44241</v>
      </c>
      <c r="B19" s="14">
        <v>756.599253673024</v>
      </c>
      <c r="C19" s="14">
        <v>2675.48439008925</v>
      </c>
      <c r="D19" s="14">
        <v>270607.34374999</v>
      </c>
      <c r="E19" s="14">
        <v>0</v>
      </c>
      <c r="F19" s="14">
        <v>2673.7817006429</v>
      </c>
      <c r="G19" s="14">
        <v>0</v>
      </c>
      <c r="H19" s="14">
        <v>0</v>
      </c>
      <c r="I19" s="14">
        <v>0</v>
      </c>
      <c r="J19" s="14"/>
      <c r="K19" s="14"/>
      <c r="L19" s="14"/>
      <c r="M19" s="14"/>
      <c r="N19" s="14"/>
      <c r="O19" s="14"/>
    </row>
    <row r="20" s="223" customFormat="1" spans="1:15">
      <c r="A20" s="13">
        <v>44242</v>
      </c>
      <c r="B20" s="14">
        <v>320.399831420183</v>
      </c>
      <c r="C20" s="14">
        <v>2787.71111501058</v>
      </c>
      <c r="D20" s="14">
        <v>270607.34374999</v>
      </c>
      <c r="E20" s="14">
        <v>0</v>
      </c>
      <c r="F20" s="14">
        <v>2785.60662519667</v>
      </c>
      <c r="G20" s="14">
        <v>0</v>
      </c>
      <c r="H20" s="14">
        <v>0</v>
      </c>
      <c r="I20" s="14">
        <v>0</v>
      </c>
      <c r="J20" s="14"/>
      <c r="K20" s="14"/>
      <c r="L20" s="14"/>
      <c r="M20" s="14"/>
      <c r="N20" s="14"/>
      <c r="O20" s="14"/>
    </row>
    <row r="21" s="223" customFormat="1" spans="1:15">
      <c r="A21" s="13">
        <v>44243</v>
      </c>
      <c r="B21" s="14">
        <v>494.071891233656</v>
      </c>
      <c r="C21" s="14">
        <v>2786.27292836507</v>
      </c>
      <c r="D21" s="14">
        <v>270607.34374999</v>
      </c>
      <c r="E21" s="14">
        <v>0</v>
      </c>
      <c r="F21" s="14">
        <v>2784.22095218235</v>
      </c>
      <c r="G21" s="14">
        <v>0</v>
      </c>
      <c r="H21" s="14">
        <v>0</v>
      </c>
      <c r="I21" s="14">
        <v>0</v>
      </c>
      <c r="J21" s="14"/>
      <c r="K21" s="14"/>
      <c r="L21" s="14"/>
      <c r="M21" s="14"/>
      <c r="N21" s="14"/>
      <c r="O21" s="14"/>
    </row>
    <row r="22" s="223" customFormat="1" spans="1:15">
      <c r="A22" s="13">
        <v>44244</v>
      </c>
      <c r="B22" s="14">
        <v>745.201320987277</v>
      </c>
      <c r="C22" s="14">
        <v>2787.21889326307</v>
      </c>
      <c r="D22" s="14">
        <v>270607.34374999</v>
      </c>
      <c r="E22" s="14">
        <v>0</v>
      </c>
      <c r="F22" s="14">
        <v>2784.99463907878</v>
      </c>
      <c r="G22" s="14">
        <v>0</v>
      </c>
      <c r="H22" s="14">
        <v>0</v>
      </c>
      <c r="I22" s="14">
        <v>0</v>
      </c>
      <c r="J22" s="14"/>
      <c r="K22" s="14"/>
      <c r="L22" s="14"/>
      <c r="M22" s="14"/>
      <c r="N22" s="14"/>
      <c r="O22" s="14"/>
    </row>
    <row r="23" s="223" customFormat="1" spans="1:15">
      <c r="A23" s="13">
        <v>44245</v>
      </c>
      <c r="B23" s="14">
        <v>659.151948536767</v>
      </c>
      <c r="C23" s="14">
        <v>2789.60518425835</v>
      </c>
      <c r="D23" s="14">
        <v>270607.34374999</v>
      </c>
      <c r="E23" s="14">
        <v>0</v>
      </c>
      <c r="F23" s="14">
        <v>2787.44753485786</v>
      </c>
      <c r="G23" s="14">
        <v>0</v>
      </c>
      <c r="H23" s="14">
        <v>0</v>
      </c>
      <c r="I23" s="14">
        <v>0</v>
      </c>
      <c r="J23" s="14"/>
      <c r="K23" s="14"/>
      <c r="L23" s="14"/>
      <c r="M23" s="14"/>
      <c r="N23" s="14"/>
      <c r="O23" s="14"/>
    </row>
    <row r="24" s="223" customFormat="1" spans="1:15">
      <c r="A24" s="13">
        <v>44246</v>
      </c>
      <c r="B24" s="14">
        <v>0</v>
      </c>
      <c r="C24" s="14">
        <v>2887.23042178684</v>
      </c>
      <c r="D24" s="14">
        <v>270607.34374999</v>
      </c>
      <c r="E24" s="14">
        <v>0</v>
      </c>
      <c r="F24" s="14">
        <v>2884.83710310194</v>
      </c>
      <c r="G24" s="14">
        <v>0</v>
      </c>
      <c r="H24" s="14">
        <v>0</v>
      </c>
      <c r="I24" s="14">
        <v>0</v>
      </c>
      <c r="J24" s="14"/>
      <c r="K24" s="14"/>
      <c r="L24" s="14"/>
      <c r="M24" s="14"/>
      <c r="N24" s="14"/>
      <c r="O24" s="14"/>
    </row>
    <row r="25" s="223" customFormat="1" spans="1:15">
      <c r="A25" s="13">
        <v>44247</v>
      </c>
      <c r="B25" s="14">
        <v>86.3165517184469</v>
      </c>
      <c r="C25" s="14">
        <v>2948.65551283095</v>
      </c>
      <c r="D25" s="14">
        <v>270607.34374999</v>
      </c>
      <c r="E25" s="14">
        <v>0</v>
      </c>
      <c r="F25" s="14">
        <v>2946.4042807685</v>
      </c>
      <c r="G25" s="14">
        <v>0</v>
      </c>
      <c r="H25" s="14">
        <v>0</v>
      </c>
      <c r="I25" s="14">
        <v>0</v>
      </c>
      <c r="J25" s="14"/>
      <c r="K25" s="14"/>
      <c r="L25" s="14"/>
      <c r="M25" s="14"/>
      <c r="N25" s="14"/>
      <c r="O25" s="14"/>
    </row>
    <row r="26" s="223" customFormat="1" spans="1:15">
      <c r="A26" s="13">
        <v>44248</v>
      </c>
      <c r="B26" s="17">
        <v>279.268629024491</v>
      </c>
      <c r="C26" s="17">
        <v>2946.59643775092</v>
      </c>
      <c r="D26" s="17">
        <v>270607.34374999</v>
      </c>
      <c r="E26" s="17">
        <v>0</v>
      </c>
      <c r="F26" s="17">
        <v>2944.46093309191</v>
      </c>
      <c r="G26" s="17">
        <v>0</v>
      </c>
      <c r="H26" s="17">
        <v>0</v>
      </c>
      <c r="I26" s="17">
        <v>0</v>
      </c>
      <c r="J26" s="14"/>
      <c r="K26" s="14"/>
      <c r="L26" s="14"/>
      <c r="M26" s="14"/>
      <c r="N26" s="14"/>
      <c r="O26" s="14"/>
    </row>
    <row r="27" s="223" customFormat="1" spans="1:15">
      <c r="A27" s="13">
        <v>44249</v>
      </c>
      <c r="B27" s="14">
        <v>636.535995441013</v>
      </c>
      <c r="C27" s="14">
        <v>2946.56333262125</v>
      </c>
      <c r="D27" s="14">
        <v>270607.34374999</v>
      </c>
      <c r="E27" s="14">
        <v>0</v>
      </c>
      <c r="F27" s="14">
        <v>2944.22143266466</v>
      </c>
      <c r="G27" s="14">
        <v>0</v>
      </c>
      <c r="H27" s="14">
        <v>0</v>
      </c>
      <c r="I27" s="14">
        <v>0</v>
      </c>
      <c r="J27" s="14"/>
      <c r="K27" s="14"/>
      <c r="L27" s="14"/>
      <c r="M27" s="14"/>
      <c r="N27" s="14"/>
      <c r="O27" s="14"/>
    </row>
    <row r="28" s="223" customFormat="1" spans="1:15">
      <c r="A28" s="13">
        <v>44250</v>
      </c>
      <c r="B28" s="14">
        <v>0</v>
      </c>
      <c r="C28" s="14">
        <v>2945.56103854709</v>
      </c>
      <c r="D28" s="14">
        <v>270664.106206593</v>
      </c>
      <c r="E28" s="14">
        <v>532.484899070528</v>
      </c>
      <c r="F28" s="14">
        <v>2942.81193186442</v>
      </c>
      <c r="G28" s="14">
        <v>0</v>
      </c>
      <c r="H28" s="14">
        <v>0</v>
      </c>
      <c r="I28" s="14">
        <v>0</v>
      </c>
      <c r="J28" s="14"/>
      <c r="K28" s="14"/>
      <c r="L28" s="14"/>
      <c r="M28" s="14"/>
      <c r="N28" s="14"/>
      <c r="O28" s="14"/>
    </row>
    <row r="29" s="223" customFormat="1" spans="1:15">
      <c r="A29" s="13">
        <v>44251</v>
      </c>
      <c r="B29" s="14">
        <v>0</v>
      </c>
      <c r="C29" s="14">
        <v>2946.33680487739</v>
      </c>
      <c r="D29" s="14">
        <v>272135.718250858</v>
      </c>
      <c r="E29" s="14">
        <v>1372.34088906447</v>
      </c>
      <c r="F29" s="14">
        <v>2943.42062750922</v>
      </c>
      <c r="G29" s="14">
        <v>0</v>
      </c>
      <c r="H29" s="14">
        <v>0</v>
      </c>
      <c r="I29" s="14">
        <v>0</v>
      </c>
      <c r="J29" s="14"/>
      <c r="K29" s="14"/>
      <c r="L29" s="14"/>
      <c r="M29" s="14"/>
      <c r="N29" s="14"/>
      <c r="O29" s="14"/>
    </row>
    <row r="30" s="223" customFormat="1" spans="1:15">
      <c r="A30" s="13">
        <v>44252</v>
      </c>
      <c r="B30" s="14">
        <v>0</v>
      </c>
      <c r="C30" s="14">
        <v>2946.86577334934</v>
      </c>
      <c r="D30" s="14">
        <v>272512.34374999</v>
      </c>
      <c r="E30" s="14">
        <v>0</v>
      </c>
      <c r="F30" s="14">
        <v>2943.91553209093</v>
      </c>
      <c r="G30" s="14">
        <v>0</v>
      </c>
      <c r="H30" s="14">
        <v>0</v>
      </c>
      <c r="I30" s="14">
        <v>0</v>
      </c>
      <c r="J30" s="14"/>
      <c r="K30" s="14"/>
      <c r="L30" s="14"/>
      <c r="M30" s="14"/>
      <c r="N30" s="14"/>
      <c r="O30" s="14"/>
    </row>
    <row r="31" s="223" customFormat="1" spans="1:15">
      <c r="A31" s="13"/>
      <c r="B31" s="14"/>
      <c r="C31" s="14"/>
      <c r="D31" s="14"/>
      <c r="E31" s="14"/>
      <c r="F31" s="14"/>
      <c r="G31" s="14"/>
      <c r="H31" s="14"/>
      <c r="I31" s="14"/>
      <c r="J31" s="14"/>
      <c r="K31" s="14"/>
      <c r="L31" s="14"/>
      <c r="M31" s="14"/>
      <c r="N31" s="14"/>
      <c r="O31" s="14"/>
    </row>
    <row r="32" s="223" customFormat="1" spans="1:15">
      <c r="A32" s="13"/>
      <c r="B32" s="14"/>
      <c r="C32" s="14"/>
      <c r="D32" s="14"/>
      <c r="E32" s="14"/>
      <c r="F32" s="14"/>
      <c r="G32" s="14"/>
      <c r="H32" s="14"/>
      <c r="I32" s="14"/>
      <c r="J32" s="14"/>
      <c r="K32" s="14"/>
      <c r="L32" s="14"/>
      <c r="M32" s="14"/>
      <c r="N32" s="14"/>
      <c r="O32" s="14"/>
    </row>
    <row r="33" s="223" customFormat="1" spans="1:15">
      <c r="A33" s="15"/>
      <c r="B33" s="14"/>
      <c r="C33" s="14"/>
      <c r="D33" s="14"/>
      <c r="E33" s="14"/>
      <c r="F33" s="14"/>
      <c r="G33" s="14"/>
      <c r="H33" s="14"/>
      <c r="I33" s="14"/>
      <c r="J33" s="14"/>
      <c r="K33" s="14"/>
      <c r="L33" s="14"/>
      <c r="M33" s="14"/>
      <c r="N33" s="14"/>
      <c r="O33" s="14"/>
    </row>
    <row r="34" s="223" customFormat="1" spans="1:15">
      <c r="A34" s="15"/>
      <c r="B34" s="14"/>
      <c r="C34" s="14"/>
      <c r="D34" s="14"/>
      <c r="E34" s="14"/>
      <c r="F34" s="14"/>
      <c r="G34" s="14"/>
      <c r="H34" s="14"/>
      <c r="I34" s="14"/>
      <c r="J34" s="14"/>
      <c r="K34" s="14"/>
      <c r="L34" s="14"/>
      <c r="M34" s="14"/>
      <c r="N34" s="14"/>
      <c r="O34" s="14"/>
    </row>
    <row r="35" s="223" customFormat="1" spans="1:15">
      <c r="A35" s="13"/>
      <c r="B35" s="14"/>
      <c r="C35" s="14"/>
      <c r="D35" s="14"/>
      <c r="E35" s="14"/>
      <c r="F35" s="14"/>
      <c r="G35" s="14"/>
      <c r="H35" s="14"/>
      <c r="I35" s="14"/>
      <c r="J35" s="14"/>
      <c r="K35" s="14"/>
      <c r="L35" s="14"/>
      <c r="M35" s="14"/>
      <c r="N35" s="14"/>
      <c r="O35" s="14"/>
    </row>
    <row r="36" s="223" customFormat="1" spans="1:15">
      <c r="A36" s="16"/>
      <c r="B36" s="17"/>
      <c r="C36" s="17"/>
      <c r="D36" s="17"/>
      <c r="E36" s="17"/>
      <c r="F36" s="17"/>
      <c r="G36" s="17"/>
      <c r="H36" s="17"/>
      <c r="I36" s="17"/>
      <c r="J36" s="14"/>
      <c r="K36" s="14"/>
      <c r="L36" s="14"/>
      <c r="M36" s="14"/>
      <c r="N36" s="14"/>
      <c r="O36" s="14"/>
    </row>
    <row r="37" s="223" customFormat="1" spans="1:15">
      <c r="A37" s="18"/>
      <c r="B37" s="14"/>
      <c r="C37" s="14"/>
      <c r="D37" s="14"/>
      <c r="E37" s="14"/>
      <c r="F37" s="14"/>
      <c r="G37" s="14"/>
      <c r="H37" s="14"/>
      <c r="I37" s="14"/>
      <c r="J37" s="14"/>
      <c r="K37" s="14"/>
      <c r="L37" s="14"/>
      <c r="M37" s="14"/>
      <c r="N37" s="14"/>
      <c r="O37" s="14"/>
    </row>
    <row r="38" s="223" customFormat="1" spans="1:15">
      <c r="A38" s="13"/>
      <c r="B38" s="14"/>
      <c r="C38" s="14"/>
      <c r="D38" s="14"/>
      <c r="E38" s="14"/>
      <c r="F38" s="14"/>
      <c r="G38" s="14"/>
      <c r="H38" s="14"/>
      <c r="I38" s="14"/>
      <c r="J38" s="14"/>
      <c r="K38" s="14"/>
      <c r="L38" s="14"/>
      <c r="M38" s="14"/>
      <c r="N38" s="14"/>
      <c r="O38" s="14"/>
    </row>
    <row r="39" s="223" customFormat="1" spans="1:15">
      <c r="A39" s="13"/>
      <c r="B39" s="14"/>
      <c r="C39" s="14"/>
      <c r="D39" s="14"/>
      <c r="E39" s="14"/>
      <c r="F39" s="14"/>
      <c r="G39" s="14"/>
      <c r="H39" s="14"/>
      <c r="I39" s="14"/>
      <c r="J39" s="14"/>
      <c r="K39" s="14"/>
      <c r="L39" s="14"/>
      <c r="M39" s="14"/>
      <c r="N39" s="14"/>
      <c r="O39" s="14"/>
    </row>
    <row r="40" s="223" customFormat="1" spans="1:15">
      <c r="A40" s="13"/>
      <c r="B40" s="14"/>
      <c r="C40" s="14"/>
      <c r="D40" s="14"/>
      <c r="E40" s="14"/>
      <c r="F40" s="14"/>
      <c r="G40" s="14"/>
      <c r="H40" s="14"/>
      <c r="I40" s="14"/>
      <c r="J40" s="14"/>
      <c r="K40" s="14"/>
      <c r="L40" s="14"/>
      <c r="M40" s="14"/>
      <c r="N40" s="14"/>
      <c r="O40" s="14"/>
    </row>
    <row r="41" s="223" customFormat="1" spans="1:15">
      <c r="A41" s="13"/>
      <c r="B41" s="14"/>
      <c r="C41" s="14"/>
      <c r="D41" s="14"/>
      <c r="E41" s="14"/>
      <c r="F41" s="14"/>
      <c r="G41" s="14"/>
      <c r="H41" s="14"/>
      <c r="I41" s="14"/>
      <c r="J41" s="14"/>
      <c r="K41" s="14"/>
      <c r="L41" s="14"/>
      <c r="M41" s="14"/>
      <c r="N41" s="14"/>
      <c r="O41" s="14"/>
    </row>
    <row r="42" s="223" customFormat="1" spans="1:15">
      <c r="A42" s="13"/>
      <c r="B42" s="14"/>
      <c r="C42" s="14"/>
      <c r="D42" s="14"/>
      <c r="E42" s="14"/>
      <c r="F42" s="14"/>
      <c r="G42" s="14"/>
      <c r="H42" s="14"/>
      <c r="I42" s="14"/>
      <c r="J42" s="14"/>
      <c r="K42" s="14"/>
      <c r="L42" s="14"/>
      <c r="M42" s="14"/>
      <c r="N42" s="14"/>
      <c r="O42" s="14"/>
    </row>
    <row r="43" s="223" customFormat="1" spans="1:15">
      <c r="A43" s="13"/>
      <c r="B43" s="14"/>
      <c r="C43" s="14"/>
      <c r="D43" s="14"/>
      <c r="E43" s="14"/>
      <c r="F43" s="14"/>
      <c r="G43" s="14"/>
      <c r="H43" s="14"/>
      <c r="I43" s="14"/>
      <c r="J43" s="14"/>
      <c r="K43" s="14"/>
      <c r="L43" s="14"/>
      <c r="M43" s="14"/>
      <c r="N43" s="14"/>
      <c r="O43" s="14"/>
    </row>
    <row r="44" s="223" customFormat="1" spans="1:15">
      <c r="A44" s="13"/>
      <c r="B44" s="14"/>
      <c r="C44" s="14"/>
      <c r="D44" s="14"/>
      <c r="E44" s="14"/>
      <c r="F44" s="14"/>
      <c r="G44" s="14"/>
      <c r="H44" s="14"/>
      <c r="I44" s="14"/>
      <c r="J44" s="14"/>
      <c r="K44" s="14"/>
      <c r="L44" s="14"/>
      <c r="M44" s="14"/>
      <c r="N44" s="14"/>
      <c r="O44" s="14"/>
    </row>
    <row r="45" s="223" customFormat="1" spans="1:15">
      <c r="A45" s="13"/>
      <c r="B45" s="14"/>
      <c r="C45" s="14"/>
      <c r="D45" s="14"/>
      <c r="E45" s="14"/>
      <c r="F45" s="14"/>
      <c r="G45" s="14"/>
      <c r="H45" s="14"/>
      <c r="I45" s="14"/>
      <c r="J45" s="14"/>
      <c r="K45" s="14"/>
      <c r="L45" s="14"/>
      <c r="M45" s="14"/>
      <c r="N45" s="14"/>
      <c r="O45" s="14"/>
    </row>
    <row r="46" s="223" customFormat="1" spans="1:15">
      <c r="A46" s="13"/>
      <c r="B46" s="14"/>
      <c r="C46" s="14"/>
      <c r="D46" s="14"/>
      <c r="E46" s="14"/>
      <c r="F46" s="14"/>
      <c r="G46" s="14"/>
      <c r="H46" s="14"/>
      <c r="I46" s="14"/>
      <c r="J46" s="14"/>
      <c r="K46" s="14"/>
      <c r="L46" s="14"/>
      <c r="M46" s="14"/>
      <c r="N46" s="14"/>
      <c r="O46" s="14"/>
    </row>
    <row r="47" s="223" customFormat="1" spans="1:15">
      <c r="A47" s="13"/>
      <c r="B47" s="14"/>
      <c r="C47" s="14"/>
      <c r="D47" s="14"/>
      <c r="E47" s="14"/>
      <c r="F47" s="14"/>
      <c r="G47" s="14"/>
      <c r="H47" s="14"/>
      <c r="I47" s="14"/>
      <c r="J47" s="14"/>
      <c r="K47" s="14"/>
      <c r="L47" s="14"/>
      <c r="M47" s="14"/>
      <c r="N47" s="14"/>
      <c r="O47" s="14"/>
    </row>
    <row r="48" s="223" customFormat="1" spans="1:15">
      <c r="A48" s="13"/>
      <c r="B48" s="14"/>
      <c r="C48" s="14"/>
      <c r="D48" s="14"/>
      <c r="E48" s="14"/>
      <c r="F48" s="14"/>
      <c r="G48" s="14"/>
      <c r="H48" s="14"/>
      <c r="I48" s="14"/>
      <c r="J48" s="14"/>
      <c r="K48" s="14"/>
      <c r="L48" s="14"/>
      <c r="M48" s="14"/>
      <c r="N48" s="14"/>
      <c r="O48" s="14"/>
    </row>
    <row r="49" s="223" customFormat="1" spans="1:15">
      <c r="A49" s="13"/>
      <c r="B49" s="14"/>
      <c r="C49" s="14"/>
      <c r="D49" s="14"/>
      <c r="E49" s="14"/>
      <c r="F49" s="238"/>
      <c r="G49" s="14"/>
      <c r="H49" s="14"/>
      <c r="I49" s="14"/>
      <c r="J49" s="14"/>
      <c r="K49" s="14"/>
      <c r="L49" s="14"/>
      <c r="M49" s="14"/>
      <c r="N49" s="14"/>
      <c r="O49" s="14"/>
    </row>
    <row r="50" s="223" customFormat="1" spans="1:15">
      <c r="A50" s="13"/>
      <c r="B50" s="14"/>
      <c r="C50" s="14"/>
      <c r="D50" s="14"/>
      <c r="E50" s="14"/>
      <c r="F50" s="238"/>
      <c r="G50" s="14"/>
      <c r="H50" s="14"/>
      <c r="I50" s="14"/>
      <c r="J50" s="14"/>
      <c r="K50" s="14"/>
      <c r="L50" s="14"/>
      <c r="M50" s="14"/>
      <c r="N50" s="14"/>
      <c r="O50" s="14"/>
    </row>
    <row r="51" s="223" customFormat="1" spans="1:15">
      <c r="A51" s="13"/>
      <c r="B51" s="14"/>
      <c r="C51" s="14"/>
      <c r="D51" s="14"/>
      <c r="E51" s="14"/>
      <c r="F51" s="238"/>
      <c r="G51" s="14"/>
      <c r="H51" s="14"/>
      <c r="I51" s="14"/>
      <c r="J51" s="14"/>
      <c r="K51" s="14"/>
      <c r="L51" s="14"/>
      <c r="M51" s="14"/>
      <c r="N51" s="14"/>
      <c r="O51" s="14"/>
    </row>
    <row r="52" s="223" customFormat="1" spans="1:15">
      <c r="A52" s="13"/>
      <c r="B52" s="14"/>
      <c r="C52" s="14"/>
      <c r="D52" s="14"/>
      <c r="E52" s="238"/>
      <c r="F52" s="238"/>
      <c r="G52" s="14"/>
      <c r="H52" s="14"/>
      <c r="I52" s="14"/>
      <c r="J52" s="14"/>
      <c r="K52" s="14"/>
      <c r="L52" s="14"/>
      <c r="M52" s="14"/>
      <c r="N52" s="14"/>
      <c r="O52" s="14"/>
    </row>
    <row r="53" s="223" customFormat="1" spans="1:15">
      <c r="A53" s="13"/>
      <c r="B53" s="14"/>
      <c r="C53" s="14"/>
      <c r="D53" s="14"/>
      <c r="E53" s="14"/>
      <c r="F53" s="14"/>
      <c r="G53" s="14"/>
      <c r="H53" s="14"/>
      <c r="I53" s="14"/>
      <c r="J53" s="14"/>
      <c r="K53" s="14"/>
      <c r="L53" s="14"/>
      <c r="M53" s="14"/>
      <c r="N53" s="14"/>
      <c r="O53" s="14"/>
    </row>
    <row r="54" s="223" customFormat="1" spans="1:15">
      <c r="A54" s="13"/>
      <c r="B54" s="14"/>
      <c r="C54" s="14"/>
      <c r="D54" s="14"/>
      <c r="E54" s="14"/>
      <c r="F54" s="14"/>
      <c r="G54" s="14"/>
      <c r="H54" s="14"/>
      <c r="I54" s="14"/>
      <c r="J54" s="14"/>
      <c r="K54" s="14"/>
      <c r="L54" s="14"/>
      <c r="M54" s="14"/>
      <c r="N54" s="14"/>
      <c r="O54" s="14"/>
    </row>
    <row r="55" s="223" customFormat="1" spans="1:15">
      <c r="A55" s="13"/>
      <c r="B55" s="14"/>
      <c r="C55" s="14"/>
      <c r="D55" s="14"/>
      <c r="E55" s="14"/>
      <c r="F55" s="14"/>
      <c r="G55" s="14"/>
      <c r="H55" s="14"/>
      <c r="I55" s="14"/>
      <c r="J55" s="14"/>
      <c r="K55" s="14"/>
      <c r="L55" s="14"/>
      <c r="M55" s="14"/>
      <c r="N55" s="14"/>
      <c r="O55" s="14"/>
    </row>
    <row r="56" s="223" customFormat="1" spans="1:15">
      <c r="A56" s="13"/>
      <c r="B56" s="14"/>
      <c r="C56" s="14"/>
      <c r="D56" s="14"/>
      <c r="E56" s="14"/>
      <c r="F56" s="14"/>
      <c r="G56" s="14"/>
      <c r="H56" s="14"/>
      <c r="I56" s="14"/>
      <c r="J56" s="14"/>
      <c r="K56" s="14"/>
      <c r="L56" s="14"/>
      <c r="M56" s="14"/>
      <c r="N56" s="14"/>
      <c r="O56" s="14"/>
    </row>
    <row r="57" s="223" customFormat="1" spans="1:15">
      <c r="A57" s="13"/>
      <c r="B57" s="14"/>
      <c r="C57" s="14"/>
      <c r="D57" s="14"/>
      <c r="E57" s="14"/>
      <c r="F57" s="14"/>
      <c r="G57" s="14"/>
      <c r="H57" s="14"/>
      <c r="I57" s="14"/>
      <c r="J57" s="14"/>
      <c r="K57" s="14"/>
      <c r="L57" s="14"/>
      <c r="M57" s="14"/>
      <c r="N57" s="14"/>
      <c r="O57" s="14"/>
    </row>
    <row r="58" s="223" customFormat="1" spans="1:15">
      <c r="A58" s="13"/>
      <c r="B58" s="14"/>
      <c r="C58" s="14"/>
      <c r="D58" s="14"/>
      <c r="E58" s="14"/>
      <c r="F58" s="14"/>
      <c r="G58" s="14"/>
      <c r="H58" s="14"/>
      <c r="I58" s="14"/>
      <c r="J58" s="14"/>
      <c r="K58" s="14"/>
      <c r="L58" s="14"/>
      <c r="M58" s="14"/>
      <c r="N58" s="14"/>
      <c r="O58" s="14"/>
    </row>
    <row r="59" s="223" customFormat="1" spans="1:15">
      <c r="A59" s="13"/>
      <c r="B59" s="14"/>
      <c r="C59" s="14"/>
      <c r="D59" s="14"/>
      <c r="E59" s="14"/>
      <c r="F59" s="14"/>
      <c r="G59" s="14"/>
      <c r="H59" s="14"/>
      <c r="I59" s="14"/>
      <c r="J59" s="14"/>
      <c r="K59" s="14"/>
      <c r="L59" s="14"/>
      <c r="M59" s="14"/>
      <c r="N59" s="14"/>
      <c r="O59" s="14"/>
    </row>
    <row r="60" s="223" customFormat="1" spans="1:15">
      <c r="A60" s="13"/>
      <c r="B60" s="14"/>
      <c r="C60" s="14"/>
      <c r="D60" s="14"/>
      <c r="E60" s="14"/>
      <c r="F60" s="14"/>
      <c r="G60" s="14"/>
      <c r="H60" s="14"/>
      <c r="I60" s="14"/>
      <c r="J60" s="14"/>
      <c r="K60" s="14"/>
      <c r="L60" s="14"/>
      <c r="M60" s="14"/>
      <c r="N60" s="14"/>
      <c r="O60" s="14"/>
    </row>
    <row r="61" s="223" customFormat="1" spans="1:15">
      <c r="A61" s="13"/>
      <c r="B61" s="14"/>
      <c r="C61" s="14"/>
      <c r="D61" s="14"/>
      <c r="E61" s="14"/>
      <c r="F61" s="14"/>
      <c r="G61" s="14"/>
      <c r="H61" s="14"/>
      <c r="I61" s="14"/>
      <c r="J61" s="14"/>
      <c r="K61" s="14"/>
      <c r="L61" s="14"/>
      <c r="M61" s="14"/>
      <c r="N61" s="14"/>
      <c r="O61" s="14"/>
    </row>
    <row r="62" s="223" customFormat="1" spans="1:15">
      <c r="A62" s="13"/>
      <c r="B62" s="14"/>
      <c r="C62" s="14"/>
      <c r="D62" s="14"/>
      <c r="E62" s="14"/>
      <c r="F62" s="14"/>
      <c r="G62" s="14"/>
      <c r="H62" s="14"/>
      <c r="I62" s="14"/>
      <c r="J62" s="14"/>
      <c r="K62" s="14"/>
      <c r="L62" s="14"/>
      <c r="M62" s="14"/>
      <c r="N62" s="14"/>
      <c r="O62" s="14"/>
    </row>
    <row r="63" s="223" customFormat="1" spans="1:15">
      <c r="A63" s="13"/>
      <c r="B63" s="14"/>
      <c r="C63" s="14"/>
      <c r="D63" s="14"/>
      <c r="E63" s="14"/>
      <c r="F63" s="14"/>
      <c r="G63" s="14"/>
      <c r="H63" s="14"/>
      <c r="I63" s="14"/>
      <c r="J63" s="14"/>
      <c r="K63" s="14"/>
      <c r="L63" s="14"/>
      <c r="M63" s="14"/>
      <c r="N63" s="14"/>
      <c r="O63" s="14"/>
    </row>
    <row r="64" s="223" customFormat="1" spans="1:15">
      <c r="A64" s="13"/>
      <c r="B64" s="14"/>
      <c r="C64" s="14"/>
      <c r="D64" s="14"/>
      <c r="E64" s="14"/>
      <c r="F64" s="14"/>
      <c r="G64" s="14"/>
      <c r="H64" s="14"/>
      <c r="I64" s="14"/>
      <c r="J64" s="14"/>
      <c r="K64" s="14"/>
      <c r="L64" s="14"/>
      <c r="M64" s="14"/>
      <c r="N64" s="14"/>
      <c r="O64" s="14"/>
    </row>
    <row r="65" s="223" customFormat="1" spans="1:15">
      <c r="A65" s="13"/>
      <c r="B65" s="14"/>
      <c r="C65" s="14"/>
      <c r="D65" s="14"/>
      <c r="E65" s="14"/>
      <c r="F65" s="14"/>
      <c r="G65" s="14"/>
      <c r="H65" s="14"/>
      <c r="I65" s="14"/>
      <c r="J65" s="14"/>
      <c r="K65" s="14"/>
      <c r="L65" s="14"/>
      <c r="M65" s="14"/>
      <c r="N65" s="14"/>
      <c r="O65" s="14"/>
    </row>
    <row r="66" s="223" customFormat="1" spans="1:15">
      <c r="A66" s="13"/>
      <c r="B66" s="14"/>
      <c r="C66" s="14"/>
      <c r="D66" s="14"/>
      <c r="E66" s="14"/>
      <c r="F66" s="14"/>
      <c r="G66" s="14"/>
      <c r="H66" s="14"/>
      <c r="I66" s="14"/>
      <c r="J66" s="14"/>
      <c r="K66" s="14"/>
      <c r="L66" s="14"/>
      <c r="M66" s="14"/>
      <c r="N66" s="14"/>
      <c r="O66" s="14"/>
    </row>
    <row r="67" s="223" customFormat="1" spans="1:15">
      <c r="A67" s="13"/>
      <c r="B67" s="14"/>
      <c r="C67" s="14"/>
      <c r="D67" s="14"/>
      <c r="E67" s="14"/>
      <c r="F67" s="14"/>
      <c r="G67" s="14"/>
      <c r="H67" s="14"/>
      <c r="I67" s="14"/>
      <c r="J67" s="14"/>
      <c r="K67" s="14"/>
      <c r="L67" s="14"/>
      <c r="M67" s="14"/>
      <c r="N67" s="14"/>
      <c r="O67" s="14"/>
    </row>
    <row r="68" s="223" customFormat="1" spans="1:15">
      <c r="A68" s="13"/>
      <c r="B68" s="14"/>
      <c r="C68" s="14"/>
      <c r="D68" s="14"/>
      <c r="E68" s="14"/>
      <c r="F68" s="14"/>
      <c r="G68" s="14"/>
      <c r="H68" s="14"/>
      <c r="I68" s="14"/>
      <c r="J68" s="14"/>
      <c r="K68" s="14"/>
      <c r="L68" s="14"/>
      <c r="M68" s="14"/>
      <c r="N68" s="14"/>
      <c r="O68" s="14"/>
    </row>
    <row r="69" s="223" customFormat="1" spans="1:15">
      <c r="A69" s="13"/>
      <c r="B69" s="14"/>
      <c r="C69" s="14"/>
      <c r="D69" s="14"/>
      <c r="E69" s="14"/>
      <c r="F69" s="14"/>
      <c r="G69" s="14"/>
      <c r="H69" s="14"/>
      <c r="I69" s="14"/>
      <c r="J69" s="14"/>
      <c r="K69" s="14"/>
      <c r="L69" s="14"/>
      <c r="M69" s="14"/>
      <c r="N69" s="14"/>
      <c r="O69" s="14"/>
    </row>
    <row r="465" spans="5:5">
      <c r="E465" s="14"/>
    </row>
    <row r="1446" spans="5:5">
      <c r="E1446" s="240"/>
    </row>
  </sheetData>
  <customSheetViews>
    <customSheetView guid="{3590B4C8-3408-4C22-A182-96D6E61B41FC}">
      <selection activeCell="B43" sqref="B43"/>
      <pageMargins left="0.75" right="0.75" top="1" bottom="1" header="0.5" footer="0.5"/>
      <pageSetup paperSize="1" orientation="landscape" horizontalDpi="300" verticalDpi="300"/>
      <headerFooter alignWithMargins="0">
        <oddHeader>&amp;C&amp;A</oddHeader>
        <oddFooter>&amp;CPage &amp;P</oddFooter>
      </headerFooter>
    </customSheetView>
    <customSheetView guid="{031350E9-2A5A-48A9-8BCD-85E50999C522}">
      <selection activeCell="C15" sqref="C15"/>
      <pageMargins left="0.75" right="0.75" top="1" bottom="1" header="0.5" footer="0.5"/>
      <pageSetup paperSize="1" orientation="landscape" horizontalDpi="300" verticalDpi="300"/>
      <headerFooter alignWithMargins="0">
        <oddHeader>&amp;C&amp;A</oddHeader>
        <oddFooter>&amp;CPage &amp;P</oddFooter>
      </headerFooter>
    </customSheetView>
    <customSheetView guid="{8BDDDDA7-D938-494A-80FC-9A81AD854C12}">
      <selection activeCell="B43" sqref="B43"/>
      <pageMargins left="0.75" right="0.75" top="1" bottom="1" header="0.5" footer="0.5"/>
      <pageSetup paperSize="1" orientation="landscape" horizontalDpi="300" verticalDpi="300"/>
      <headerFooter alignWithMargins="0">
        <oddHeader>&amp;C&amp;A</oddHeader>
        <oddFooter>&amp;CPage &amp;P</oddFooter>
      </headerFooter>
    </customSheetView>
  </customSheetViews>
  <pageMargins left="0.75" right="0.75" top="1" bottom="1" header="0.5" footer="0.5"/>
  <pageSetup paperSize="1" orientation="landscape" horizontalDpi="300" verticalDpi="300"/>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4" name="Button 2" r:id="rId3">
              <controlPr print="0" defaultSize="0">
                <anchor moveWithCells="1" sizeWithCells="1">
                  <from>
                    <xdr:col>3</xdr:col>
                    <xdr:colOff>19050</xdr:colOff>
                    <xdr:row>2</xdr:row>
                    <xdr:rowOff>88900</xdr:rowOff>
                  </from>
                  <to>
                    <xdr:col>3</xdr:col>
                    <xdr:colOff>889000</xdr:colOff>
                    <xdr:row>2</xdr:row>
                    <xdr:rowOff>342900</xdr:rowOff>
                  </to>
                </anchor>
              </controlPr>
            </control>
          </mc:Choice>
        </mc:AlternateContent>
        <mc:AlternateContent xmlns:mc="http://schemas.openxmlformats.org/markup-compatibility/2006">
          <mc:Choice Requires="x14">
            <control shapeId="3075" name="Drop Down 3" r:id="rId4">
              <controlPr defaultSize="0">
                <anchor moveWithCells="1">
                  <from>
                    <xdr:col>3</xdr:col>
                    <xdr:colOff>12700</xdr:colOff>
                    <xdr:row>1</xdr:row>
                    <xdr:rowOff>76200</xdr:rowOff>
                  </from>
                  <to>
                    <xdr:col>3</xdr:col>
                    <xdr:colOff>908050</xdr:colOff>
                    <xdr:row>2</xdr:row>
                    <xdr:rowOff>12700</xdr:rowOff>
                  </to>
                </anchor>
              </controlPr>
            </control>
          </mc:Choice>
        </mc:AlternateContent>
        <mc:AlternateContent xmlns:mc="http://schemas.openxmlformats.org/markup-compatibility/2006">
          <mc:Choice Requires="x14">
            <control shapeId="3078" name="Drop Down 6" r:id="rId5">
              <controlPr defaultSize="0">
                <anchor moveWithCells="1">
                  <from>
                    <xdr:col>0</xdr:col>
                    <xdr:colOff>762000</xdr:colOff>
                    <xdr:row>0</xdr:row>
                    <xdr:rowOff>190500</xdr:rowOff>
                  </from>
                  <to>
                    <xdr:col>1</xdr:col>
                    <xdr:colOff>342900</xdr:colOff>
                    <xdr:row>1</xdr:row>
                    <xdr:rowOff>31750</xdr:rowOff>
                  </to>
                </anchor>
              </controlPr>
            </control>
          </mc:Choice>
        </mc:AlternateContent>
        <mc:AlternateContent xmlns:mc="http://schemas.openxmlformats.org/markup-compatibility/2006">
          <mc:Choice Requires="x14">
            <control shapeId="3079" name="Drop Down 7" r:id="rId6">
              <controlPr defaultSize="0">
                <anchor moveWithCells="1">
                  <from>
                    <xdr:col>1</xdr:col>
                    <xdr:colOff>342900</xdr:colOff>
                    <xdr:row>0</xdr:row>
                    <xdr:rowOff>190500</xdr:rowOff>
                  </from>
                  <to>
                    <xdr:col>1</xdr:col>
                    <xdr:colOff>869950</xdr:colOff>
                    <xdr:row>1</xdr:row>
                    <xdr:rowOff>31750</xdr:rowOff>
                  </to>
                </anchor>
              </controlPr>
            </control>
          </mc:Choice>
        </mc:AlternateContent>
        <mc:AlternateContent xmlns:mc="http://schemas.openxmlformats.org/markup-compatibility/2006">
          <mc:Choice Requires="x14">
            <control shapeId="3082" name="Drop Down 10" r:id="rId7">
              <controlPr defaultSize="0">
                <anchor moveWithCells="1">
                  <from>
                    <xdr:col>0</xdr:col>
                    <xdr:colOff>762000</xdr:colOff>
                    <xdr:row>1</xdr:row>
                    <xdr:rowOff>57150</xdr:rowOff>
                  </from>
                  <to>
                    <xdr:col>1</xdr:col>
                    <xdr:colOff>342900</xdr:colOff>
                    <xdr:row>1</xdr:row>
                    <xdr:rowOff>266700</xdr:rowOff>
                  </to>
                </anchor>
              </controlPr>
            </control>
          </mc:Choice>
        </mc:AlternateContent>
        <mc:AlternateContent xmlns:mc="http://schemas.openxmlformats.org/markup-compatibility/2006">
          <mc:Choice Requires="x14">
            <control shapeId="3083" name="Drop Down 11" r:id="rId8">
              <controlPr defaultSize="0">
                <anchor moveWithCells="1">
                  <from>
                    <xdr:col>1</xdr:col>
                    <xdr:colOff>342900</xdr:colOff>
                    <xdr:row>1</xdr:row>
                    <xdr:rowOff>57150</xdr:rowOff>
                  </from>
                  <to>
                    <xdr:col>1</xdr:col>
                    <xdr:colOff>857250</xdr:colOff>
                    <xdr:row>1</xdr:row>
                    <xdr:rowOff>266700</xdr:rowOff>
                  </to>
                </anchor>
              </controlPr>
            </control>
          </mc:Choice>
        </mc:AlternateContent>
        <mc:AlternateContent xmlns:mc="http://schemas.openxmlformats.org/markup-compatibility/2006">
          <mc:Choice Requires="x14">
            <control shapeId="3084" name="Drop Down 12" r:id="rId9">
              <controlPr defaultSize="0">
                <anchor moveWithCells="1">
                  <from>
                    <xdr:col>3</xdr:col>
                    <xdr:colOff>12700</xdr:colOff>
                    <xdr:row>0</xdr:row>
                    <xdr:rowOff>190500</xdr:rowOff>
                  </from>
                  <to>
                    <xdr:col>3</xdr:col>
                    <xdr:colOff>908050</xdr:colOff>
                    <xdr:row>1</xdr:row>
                    <xdr:rowOff>31750</xdr:rowOff>
                  </to>
                </anchor>
              </controlPr>
            </control>
          </mc:Choice>
        </mc:AlternateContent>
        <mc:AlternateContent xmlns:mc="http://schemas.openxmlformats.org/markup-compatibility/2006">
          <mc:Choice Requires="x14">
            <control shapeId="3085" name="MinConf" r:id="rId10">
              <controlPr defaultSize="0">
                <anchor moveWithCells="1">
                  <from>
                    <xdr:col>0</xdr:col>
                    <xdr:colOff>1193800</xdr:colOff>
                    <xdr:row>2</xdr:row>
                    <xdr:rowOff>171450</xdr:rowOff>
                  </from>
                  <to>
                    <xdr:col>1</xdr:col>
                    <xdr:colOff>457200</xdr:colOff>
                    <xdr:row>2</xdr:row>
                    <xdr:rowOff>381000</xdr:rowOff>
                  </to>
                </anchor>
              </controlPr>
            </control>
          </mc:Choice>
        </mc:AlternateContent>
        <mc:AlternateContent xmlns:mc="http://schemas.openxmlformats.org/markup-compatibility/2006">
          <mc:Choice Requires="x14">
            <control shapeId="3087" name="NullData" r:id="rId11">
              <controlPr defaultSize="0">
                <anchor moveWithCells="1">
                  <from>
                    <xdr:col>2</xdr:col>
                    <xdr:colOff>38100</xdr:colOff>
                    <xdr:row>2</xdr:row>
                    <xdr:rowOff>184150</xdr:rowOff>
                  </from>
                  <to>
                    <xdr:col>2</xdr:col>
                    <xdr:colOff>800100</xdr:colOff>
                    <xdr:row>3</xdr:row>
                    <xdr:rowOff>0</xdr:rowOff>
                  </to>
                </anchor>
              </controlPr>
            </control>
          </mc:Choice>
        </mc:AlternateContent>
        <mc:AlternateContent xmlns:mc="http://schemas.openxmlformats.org/markup-compatibility/2006">
          <mc:Choice Requires="x14">
            <control shapeId="3088" name="SendTo" r:id="rId12">
              <controlPr defaultSize="0">
                <anchor moveWithCells="1">
                  <from>
                    <xdr:col>4</xdr:col>
                    <xdr:colOff>50800</xdr:colOff>
                    <xdr:row>1</xdr:row>
                    <xdr:rowOff>38100</xdr:rowOff>
                  </from>
                  <to>
                    <xdr:col>4</xdr:col>
                    <xdr:colOff>1009650</xdr:colOff>
                    <xdr:row>1</xdr:row>
                    <xdr:rowOff>241300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2"/>
  <sheetViews>
    <sheetView workbookViewId="0">
      <selection activeCell="A2" sqref="A2"/>
    </sheetView>
  </sheetViews>
  <sheetFormatPr defaultColWidth="9" defaultRowHeight="13.2" outlineLevelRow="1"/>
  <sheetData>
    <row r="2" spans="1:1">
      <c r="A2" s="45"/>
    </row>
  </sheetData>
  <pageMargins left="0.7" right="0.7"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fitToPage="1"/>
  </sheetPr>
  <dimension ref="A1:X158"/>
  <sheetViews>
    <sheetView zoomScale="85" zoomScaleNormal="85" topLeftCell="R11" workbookViewId="0">
      <selection activeCell="Y18" sqref="Y18:AE19"/>
    </sheetView>
  </sheetViews>
  <sheetFormatPr defaultColWidth="9.17592592592593" defaultRowHeight="13.2"/>
  <cols>
    <col min="1" max="1" width="11.5462962962963" style="33" hidden="1" customWidth="1"/>
    <col min="2" max="2" width="23.1759259259259" style="33" customWidth="1"/>
    <col min="3" max="3" width="18.5462962962963" style="33" customWidth="1"/>
    <col min="4" max="4" width="18.4537037037037" style="33" customWidth="1"/>
    <col min="5" max="5" width="16" style="33" customWidth="1"/>
    <col min="6" max="6" width="11.5462962962963" style="33" customWidth="1"/>
    <col min="7" max="7" width="20.8148148148148" style="33" customWidth="1"/>
    <col min="8" max="8" width="10.8148148148148" style="33" customWidth="1"/>
    <col min="9" max="9" width="16.2685185185185" style="33" customWidth="1"/>
    <col min="10" max="10" width="13.7222222222222" style="33" customWidth="1"/>
    <col min="11" max="11" width="16.5462962962963" style="33" customWidth="1"/>
    <col min="12" max="12" width="11.5462962962963" style="33" customWidth="1"/>
    <col min="13" max="13" width="16.8148148148148" style="33" customWidth="1"/>
    <col min="14" max="14" width="19.4537037037037" style="33" customWidth="1"/>
    <col min="15" max="15" width="2.5462962962963" style="33" customWidth="1"/>
    <col min="16" max="16" width="13.4537037037037" style="33" customWidth="1"/>
    <col min="17" max="17" width="2.5462962962963" style="33" customWidth="1"/>
    <col min="18" max="19" width="18.7222222222222" style="33" customWidth="1"/>
    <col min="20" max="20" width="18" style="33" customWidth="1"/>
    <col min="21" max="21" width="14.4537037037037" style="33" customWidth="1"/>
    <col min="22" max="22" width="22" style="33" customWidth="1"/>
    <col min="23" max="23" width="15" style="33" customWidth="1"/>
    <col min="24" max="24" width="16" style="33" customWidth="1"/>
    <col min="25" max="16384" width="9.17592592592593" style="33"/>
  </cols>
  <sheetData>
    <row r="1" ht="0.65" customHeight="1" spans="1:24">
      <c r="A1" s="38">
        <v>32</v>
      </c>
      <c r="B1" s="39" t="s">
        <v>11669</v>
      </c>
      <c r="C1" s="40" t="str">
        <f>$C$17&amp;" "&amp;C18</f>
        <v>SHELL LIGHT DISTILLATE (ULSS)</v>
      </c>
      <c r="D1" s="40" t="str">
        <f>$C$17&amp;" "&amp;D18</f>
        <v>SHELL DHT FEED</v>
      </c>
      <c r="E1" s="40" t="str">
        <f>E18</f>
        <v>ULSD TO SHELL</v>
      </c>
      <c r="F1" s="41"/>
      <c r="G1" s="41" t="str">
        <f>+G18</f>
        <v>#2 ULSD - Shell to Suncor</v>
      </c>
      <c r="H1" s="41"/>
      <c r="I1" s="41"/>
      <c r="J1" s="41"/>
      <c r="K1" s="41" t="str">
        <f>+K18</f>
        <v>HFO to Nova 
Nova Meter</v>
      </c>
      <c r="L1" s="41"/>
      <c r="M1" s="41" t="s">
        <v>11822</v>
      </c>
      <c r="N1" s="41" t="s">
        <v>11823</v>
      </c>
      <c r="O1" s="41"/>
      <c r="P1" s="41" t="s">
        <v>11824</v>
      </c>
      <c r="Q1" s="41"/>
      <c r="R1" s="41" t="s">
        <v>11825</v>
      </c>
      <c r="S1" s="41" t="s">
        <v>11826</v>
      </c>
      <c r="T1" s="41" t="s">
        <v>11827</v>
      </c>
      <c r="U1" s="41" t="s">
        <v>11828</v>
      </c>
      <c r="V1" s="41"/>
      <c r="W1" s="41" t="s">
        <v>11829</v>
      </c>
      <c r="X1" s="40"/>
    </row>
    <row r="2" ht="12" customHeight="1" spans="2:24">
      <c r="B2" s="42" t="s">
        <v>11830</v>
      </c>
      <c r="C2" s="43">
        <f ca="1">TODAY()</f>
        <v>44298</v>
      </c>
      <c r="D2" s="44"/>
      <c r="E2"/>
      <c r="G2" s="45"/>
      <c r="H2" s="46"/>
      <c r="I2" s="138"/>
      <c r="J2"/>
      <c r="K2" s="45"/>
      <c r="L2"/>
      <c r="M2"/>
      <c r="N2" s="45"/>
      <c r="O2"/>
      <c r="P2" s="45"/>
      <c r="Q2"/>
      <c r="R2" s="160"/>
      <c r="S2" s="161"/>
      <c r="T2"/>
      <c r="U2" s="45"/>
      <c r="V2" s="45"/>
      <c r="W2" s="162"/>
      <c r="X2"/>
    </row>
    <row r="3" ht="12" customHeight="1" spans="1:24">
      <c r="A3"/>
      <c r="B3" s="47"/>
      <c r="C3" s="48"/>
      <c r="D3" s="49"/>
      <c r="E3" s="50"/>
      <c r="F3" s="47"/>
      <c r="G3" s="1"/>
      <c r="H3" s="51"/>
      <c r="I3" s="139"/>
      <c r="J3" s="72"/>
      <c r="K3" s="140"/>
      <c r="L3"/>
      <c r="M3"/>
      <c r="O3"/>
      <c r="P3" s="139"/>
      <c r="Q3"/>
      <c r="R3" s="139"/>
      <c r="T3" s="163"/>
      <c r="U3" s="164"/>
      <c r="V3" s="164"/>
      <c r="W3"/>
      <c r="X3" s="50"/>
    </row>
    <row r="4" ht="12" customHeight="1" spans="1:24">
      <c r="A4"/>
      <c r="B4" s="52" t="s">
        <v>11831</v>
      </c>
      <c r="C4" s="48"/>
      <c r="D4" s="49"/>
      <c r="E4" s="50"/>
      <c r="F4" s="47"/>
      <c r="G4" s="1"/>
      <c r="H4" s="51"/>
      <c r="I4" s="139"/>
      <c r="J4" s="72"/>
      <c r="K4" s="140"/>
      <c r="L4"/>
      <c r="M4"/>
      <c r="N4"/>
      <c r="O4"/>
      <c r="P4" s="139"/>
      <c r="Q4"/>
      <c r="R4" s="139"/>
      <c r="T4" s="165"/>
      <c r="U4" s="164"/>
      <c r="V4" s="164"/>
      <c r="W4"/>
      <c r="X4" s="50"/>
    </row>
    <row r="5" s="33" customFormat="1" ht="12" customHeight="1" spans="1:24">
      <c r="A5" s="1"/>
      <c r="B5" s="53" t="s">
        <v>11670</v>
      </c>
      <c r="C5" s="54" t="s">
        <v>11832</v>
      </c>
      <c r="D5" s="55" t="s">
        <v>11833</v>
      </c>
      <c r="E5" s="56" t="s">
        <v>11833</v>
      </c>
      <c r="F5" s="57"/>
      <c r="G5" s="54" t="s">
        <v>11832</v>
      </c>
      <c r="H5" s="57"/>
      <c r="I5" s="141" t="s">
        <v>11834</v>
      </c>
      <c r="J5" s="141" t="s">
        <v>11834</v>
      </c>
      <c r="K5" s="141" t="s">
        <v>11834</v>
      </c>
      <c r="L5" s="57"/>
      <c r="M5" s="56" t="s">
        <v>11835</v>
      </c>
      <c r="N5" s="142" t="s">
        <v>11836</v>
      </c>
      <c r="O5" s="57"/>
      <c r="P5" s="56" t="s">
        <v>11837</v>
      </c>
      <c r="Q5" s="57"/>
      <c r="R5" s="56" t="s">
        <v>11838</v>
      </c>
      <c r="S5" s="56" t="s">
        <v>11839</v>
      </c>
      <c r="T5" s="142" t="s">
        <v>11840</v>
      </c>
      <c r="U5" s="166" t="s">
        <v>11841</v>
      </c>
      <c r="V5" s="166" t="s">
        <v>11842</v>
      </c>
      <c r="W5" s="142" t="s">
        <v>11840</v>
      </c>
      <c r="X5" s="142" t="s">
        <v>11843</v>
      </c>
    </row>
    <row r="6" s="33" customFormat="1" ht="12" customHeight="1" spans="1:24">
      <c r="A6" s="1"/>
      <c r="B6" s="53" t="s">
        <v>11671</v>
      </c>
      <c r="C6" s="54" t="s">
        <v>11844</v>
      </c>
      <c r="D6" s="54" t="s">
        <v>11844</v>
      </c>
      <c r="E6" s="54" t="s">
        <v>11845</v>
      </c>
      <c r="F6" s="57"/>
      <c r="G6" s="54" t="s">
        <v>11844</v>
      </c>
      <c r="H6" s="57"/>
      <c r="I6" s="56" t="s">
        <v>11846</v>
      </c>
      <c r="J6" s="57"/>
      <c r="K6" s="55" t="s">
        <v>11847</v>
      </c>
      <c r="L6" s="57"/>
      <c r="M6" s="56" t="s">
        <v>11848</v>
      </c>
      <c r="N6" s="56" t="s">
        <v>11849</v>
      </c>
      <c r="O6" s="57"/>
      <c r="P6" s="56" t="s">
        <v>11848</v>
      </c>
      <c r="Q6" s="57"/>
      <c r="R6" s="56" t="s">
        <v>11848</v>
      </c>
      <c r="S6" s="56" t="s">
        <v>11850</v>
      </c>
      <c r="T6" s="142" t="s">
        <v>11851</v>
      </c>
      <c r="U6" s="167" t="s">
        <v>11852</v>
      </c>
      <c r="V6" s="66" t="s">
        <v>11853</v>
      </c>
      <c r="W6" s="56" t="s">
        <v>11848</v>
      </c>
      <c r="X6" s="54"/>
    </row>
    <row r="7" ht="12" customHeight="1" spans="1:24">
      <c r="A7"/>
      <c r="B7" s="53" t="s">
        <v>11854</v>
      </c>
      <c r="C7" s="58">
        <v>100700</v>
      </c>
      <c r="D7" s="58">
        <v>102265</v>
      </c>
      <c r="E7" s="58">
        <v>100678</v>
      </c>
      <c r="F7" s="59"/>
      <c r="G7" s="58">
        <v>100678</v>
      </c>
      <c r="H7" s="59"/>
      <c r="I7" s="58">
        <v>100678</v>
      </c>
      <c r="J7" s="59"/>
      <c r="K7" s="58">
        <v>100144</v>
      </c>
      <c r="L7" s="59"/>
      <c r="M7" s="58">
        <v>100153</v>
      </c>
      <c r="N7" s="58">
        <v>102253</v>
      </c>
      <c r="O7" s="59"/>
      <c r="P7" s="58">
        <v>102254</v>
      </c>
      <c r="Q7" s="59"/>
      <c r="R7" s="58">
        <v>100153</v>
      </c>
      <c r="S7" s="58">
        <v>100110</v>
      </c>
      <c r="T7" s="168">
        <v>102256</v>
      </c>
      <c r="U7" s="169">
        <v>100130</v>
      </c>
      <c r="V7" s="58">
        <v>100130</v>
      </c>
      <c r="W7" s="168">
        <v>102256</v>
      </c>
      <c r="X7" s="168">
        <v>100450</v>
      </c>
    </row>
    <row r="8" ht="12" customHeight="1" spans="1:24">
      <c r="A8"/>
      <c r="B8" s="53" t="s">
        <v>11677</v>
      </c>
      <c r="C8" s="54" t="s">
        <v>11678</v>
      </c>
      <c r="D8" s="54" t="s">
        <v>11678</v>
      </c>
      <c r="E8" s="54" t="s">
        <v>11678</v>
      </c>
      <c r="F8" s="57"/>
      <c r="G8" s="54" t="s">
        <v>11678</v>
      </c>
      <c r="H8" s="57"/>
      <c r="I8" s="60" t="s">
        <v>11855</v>
      </c>
      <c r="J8" s="57"/>
      <c r="K8" s="60" t="s">
        <v>11855</v>
      </c>
      <c r="L8" s="57"/>
      <c r="M8" s="60" t="s">
        <v>11855</v>
      </c>
      <c r="N8" s="60" t="s">
        <v>11855</v>
      </c>
      <c r="O8" s="57"/>
      <c r="P8" s="60" t="s">
        <v>11855</v>
      </c>
      <c r="Q8" s="57"/>
      <c r="R8" s="60" t="s">
        <v>11855</v>
      </c>
      <c r="S8" s="60" t="s">
        <v>11855</v>
      </c>
      <c r="T8" s="60" t="s">
        <v>11855</v>
      </c>
      <c r="U8" s="60" t="s">
        <v>11855</v>
      </c>
      <c r="V8" s="60" t="s">
        <v>11855</v>
      </c>
      <c r="W8" s="56" t="s">
        <v>11855</v>
      </c>
      <c r="X8" s="54" t="s">
        <v>11856</v>
      </c>
    </row>
    <row r="9" ht="12" customHeight="1" spans="1:24">
      <c r="A9"/>
      <c r="B9" s="53" t="s">
        <v>11679</v>
      </c>
      <c r="C9" s="54" t="s">
        <v>11857</v>
      </c>
      <c r="D9" s="54" t="s">
        <v>11857</v>
      </c>
      <c r="E9" s="60">
        <v>5025380</v>
      </c>
      <c r="F9" s="61"/>
      <c r="G9" s="54" t="s">
        <v>11857</v>
      </c>
      <c r="H9" s="61"/>
      <c r="I9" s="143" t="s">
        <v>11857</v>
      </c>
      <c r="J9" s="61"/>
      <c r="K9" s="143">
        <v>3126373</v>
      </c>
      <c r="L9" s="61"/>
      <c r="M9" s="54" t="s">
        <v>11857</v>
      </c>
      <c r="N9" s="54" t="s">
        <v>11857</v>
      </c>
      <c r="O9" s="61"/>
      <c r="P9" s="54" t="s">
        <v>11857</v>
      </c>
      <c r="Q9" s="61"/>
      <c r="R9" s="54" t="s">
        <v>11857</v>
      </c>
      <c r="S9" s="54" t="s">
        <v>11857</v>
      </c>
      <c r="T9" s="54" t="s">
        <v>11857</v>
      </c>
      <c r="U9" s="66">
        <v>5045001</v>
      </c>
      <c r="V9" s="66">
        <v>5045001</v>
      </c>
      <c r="W9" s="54" t="s">
        <v>11857</v>
      </c>
      <c r="X9" s="60"/>
    </row>
    <row r="10" s="34" customFormat="1" ht="32.25" customHeight="1" spans="1:24">
      <c r="A10" s="4"/>
      <c r="B10" s="62" t="s">
        <v>11680</v>
      </c>
      <c r="C10" s="63" t="s">
        <v>11858</v>
      </c>
      <c r="D10" s="63" t="s">
        <v>11858</v>
      </c>
      <c r="E10" s="63" t="s">
        <v>11858</v>
      </c>
      <c r="F10" s="64"/>
      <c r="G10" s="63" t="s">
        <v>11858</v>
      </c>
      <c r="H10" s="64"/>
      <c r="I10" s="63" t="s">
        <v>11859</v>
      </c>
      <c r="J10" s="64"/>
      <c r="K10" s="143" t="s">
        <v>11860</v>
      </c>
      <c r="L10" s="64"/>
      <c r="M10" s="144" t="s">
        <v>11861</v>
      </c>
      <c r="N10" s="144" t="s">
        <v>11861</v>
      </c>
      <c r="O10" s="64"/>
      <c r="P10" s="144" t="s">
        <v>11861</v>
      </c>
      <c r="Q10" s="64"/>
      <c r="R10" s="144" t="s">
        <v>11861</v>
      </c>
      <c r="S10" s="144" t="s">
        <v>11861</v>
      </c>
      <c r="T10" s="144" t="s">
        <v>11861</v>
      </c>
      <c r="U10" s="144" t="s">
        <v>11861</v>
      </c>
      <c r="V10" s="170" t="s">
        <v>11861</v>
      </c>
      <c r="W10" s="171" t="s">
        <v>11861</v>
      </c>
      <c r="X10" s="63" t="s">
        <v>11862</v>
      </c>
    </row>
    <row r="11" spans="1:24">
      <c r="A11"/>
      <c r="B11" s="53" t="s">
        <v>11681</v>
      </c>
      <c r="C11" s="54" t="s">
        <v>11856</v>
      </c>
      <c r="D11" s="54" t="s">
        <v>11856</v>
      </c>
      <c r="E11" s="54" t="s">
        <v>11856</v>
      </c>
      <c r="F11" s="61"/>
      <c r="G11" s="54" t="s">
        <v>11856</v>
      </c>
      <c r="H11" s="61"/>
      <c r="I11" s="56" t="s">
        <v>11855</v>
      </c>
      <c r="J11" s="61"/>
      <c r="K11" s="56" t="s">
        <v>11855</v>
      </c>
      <c r="L11" s="61"/>
      <c r="M11" s="56" t="s">
        <v>11855</v>
      </c>
      <c r="N11" s="56" t="s">
        <v>11855</v>
      </c>
      <c r="O11" s="61"/>
      <c r="P11" s="56" t="s">
        <v>11855</v>
      </c>
      <c r="Q11" s="61"/>
      <c r="R11" s="56" t="s">
        <v>11855</v>
      </c>
      <c r="S11" s="56" t="s">
        <v>11855</v>
      </c>
      <c r="T11" s="56" t="s">
        <v>11855</v>
      </c>
      <c r="U11" s="56" t="s">
        <v>11855</v>
      </c>
      <c r="V11" s="56" t="s">
        <v>11855</v>
      </c>
      <c r="W11" s="56" t="s">
        <v>11855</v>
      </c>
      <c r="X11" s="54" t="s">
        <v>11678</v>
      </c>
    </row>
    <row r="12" s="34" customFormat="1" ht="49.5" customHeight="1" spans="1:24">
      <c r="A12" s="7"/>
      <c r="B12" s="62" t="s">
        <v>11682</v>
      </c>
      <c r="C12" s="65" t="s">
        <v>11863</v>
      </c>
      <c r="D12" s="65" t="s">
        <v>11864</v>
      </c>
      <c r="E12" s="66" t="s">
        <v>11865</v>
      </c>
      <c r="F12" s="67"/>
      <c r="G12" s="65" t="s">
        <v>11863</v>
      </c>
      <c r="H12" s="67"/>
      <c r="I12" s="65" t="s">
        <v>11866</v>
      </c>
      <c r="J12" s="67"/>
      <c r="K12" s="66" t="s">
        <v>11867</v>
      </c>
      <c r="L12" s="67"/>
      <c r="M12" s="65" t="s">
        <v>11863</v>
      </c>
      <c r="N12" s="65" t="s">
        <v>11863</v>
      </c>
      <c r="O12" s="67"/>
      <c r="P12" s="65" t="s">
        <v>11863</v>
      </c>
      <c r="Q12" s="67"/>
      <c r="R12" s="65" t="s">
        <v>11863</v>
      </c>
      <c r="S12" s="65" t="s">
        <v>11863</v>
      </c>
      <c r="T12" s="65" t="s">
        <v>11863</v>
      </c>
      <c r="U12" s="66" t="s">
        <v>11867</v>
      </c>
      <c r="V12" s="66" t="s">
        <v>11867</v>
      </c>
      <c r="W12" s="66" t="s">
        <v>11863</v>
      </c>
      <c r="X12" s="66" t="s">
        <v>11868</v>
      </c>
    </row>
    <row r="13" ht="12" customHeight="1" spans="1:24">
      <c r="A13"/>
      <c r="B13" s="53" t="s">
        <v>11869</v>
      </c>
      <c r="C13" s="54" t="s">
        <v>11678</v>
      </c>
      <c r="D13" s="54" t="s">
        <v>11678</v>
      </c>
      <c r="E13" s="54" t="s">
        <v>11678</v>
      </c>
      <c r="F13" s="61"/>
      <c r="G13" s="54" t="s">
        <v>11678</v>
      </c>
      <c r="H13" s="61"/>
      <c r="I13" s="54" t="s">
        <v>11856</v>
      </c>
      <c r="J13" s="61"/>
      <c r="K13" s="54" t="s">
        <v>11856</v>
      </c>
      <c r="L13" s="61"/>
      <c r="M13" s="54" t="s">
        <v>11856</v>
      </c>
      <c r="N13" s="54" t="s">
        <v>11856</v>
      </c>
      <c r="O13" s="61"/>
      <c r="P13" s="54" t="s">
        <v>11856</v>
      </c>
      <c r="Q13" s="61"/>
      <c r="R13" s="54" t="s">
        <v>11856</v>
      </c>
      <c r="S13" s="54" t="s">
        <v>11856</v>
      </c>
      <c r="T13" s="54" t="s">
        <v>11856</v>
      </c>
      <c r="U13" s="54" t="s">
        <v>11856</v>
      </c>
      <c r="V13" s="54" t="s">
        <v>11856</v>
      </c>
      <c r="W13" s="54" t="s">
        <v>11856</v>
      </c>
      <c r="X13" s="54"/>
    </row>
    <row r="14" s="35" customFormat="1" ht="12" customHeight="1" spans="2:24">
      <c r="B14" s="68" t="s">
        <v>11685</v>
      </c>
      <c r="C14" s="69">
        <v>6500768056</v>
      </c>
      <c r="D14" s="69">
        <v>6500768056</v>
      </c>
      <c r="E14" s="68"/>
      <c r="F14" s="70"/>
      <c r="G14" s="69">
        <v>6500768056</v>
      </c>
      <c r="H14" s="70"/>
      <c r="I14" s="69"/>
      <c r="J14" s="145"/>
      <c r="K14" s="71"/>
      <c r="L14" s="70"/>
      <c r="M14" s="68"/>
      <c r="N14" s="69">
        <v>6500768074</v>
      </c>
      <c r="O14" s="70"/>
      <c r="P14" s="68"/>
      <c r="Q14" s="70"/>
      <c r="R14" s="172"/>
      <c r="S14" s="68"/>
      <c r="T14" s="69"/>
      <c r="U14" s="68"/>
      <c r="V14" s="68"/>
      <c r="W14" s="71"/>
      <c r="X14" s="71"/>
    </row>
    <row r="15" s="35" customFormat="1" ht="12" customHeight="1" spans="2:24">
      <c r="B15" s="68" t="s">
        <v>11686</v>
      </c>
      <c r="C15" s="71">
        <v>40</v>
      </c>
      <c r="D15" s="71">
        <v>80</v>
      </c>
      <c r="E15" s="68"/>
      <c r="F15" s="70"/>
      <c r="G15" s="71">
        <v>20</v>
      </c>
      <c r="H15" s="70"/>
      <c r="I15" s="71"/>
      <c r="J15" s="145"/>
      <c r="K15" s="71"/>
      <c r="L15" s="70"/>
      <c r="M15" s="68"/>
      <c r="N15" s="69">
        <v>10</v>
      </c>
      <c r="O15" s="70"/>
      <c r="P15" s="68"/>
      <c r="Q15" s="70"/>
      <c r="R15" s="68"/>
      <c r="S15" s="68"/>
      <c r="T15" s="71">
        <v>10</v>
      </c>
      <c r="U15" s="68"/>
      <c r="V15" s="68"/>
      <c r="W15" s="71">
        <v>10</v>
      </c>
      <c r="X15" s="71">
        <v>20</v>
      </c>
    </row>
    <row r="16" ht="12" customHeight="1" spans="1:24">
      <c r="A16"/>
      <c r="B16"/>
      <c r="C16" s="72"/>
      <c r="D16" s="73"/>
      <c r="E16" s="50"/>
      <c r="G16" s="74"/>
      <c r="H16" s="51"/>
      <c r="I16" s="139"/>
      <c r="J16" s="72"/>
      <c r="K16" s="146"/>
      <c r="L16"/>
      <c r="M16"/>
      <c r="N16"/>
      <c r="O16"/>
      <c r="P16" s="139"/>
      <c r="Q16"/>
      <c r="R16" s="139"/>
      <c r="T16"/>
      <c r="U16"/>
      <c r="V16"/>
      <c r="X16" s="50"/>
    </row>
    <row r="17" ht="12" customHeight="1" spans="1:24">
      <c r="A17"/>
      <c r="B17" s="263" t="s">
        <v>11687</v>
      </c>
      <c r="C17" s="265" t="s">
        <v>11678</v>
      </c>
      <c r="D17" s="77"/>
      <c r="E17" s="78"/>
      <c r="F17" s="265" t="s">
        <v>11855</v>
      </c>
      <c r="G17" s="77"/>
      <c r="H17" s="77"/>
      <c r="I17" s="77"/>
      <c r="J17" s="77"/>
      <c r="K17" s="77"/>
      <c r="L17" s="77"/>
      <c r="M17" s="77"/>
      <c r="N17" s="77"/>
      <c r="O17" s="77"/>
      <c r="P17" s="77"/>
      <c r="Q17" s="77"/>
      <c r="R17" s="77"/>
      <c r="S17" s="77"/>
      <c r="T17" s="77"/>
      <c r="U17" s="77"/>
      <c r="V17" s="77"/>
      <c r="W17" s="78"/>
      <c r="X17" s="173"/>
    </row>
    <row r="18" s="34" customFormat="1" ht="40.5" customHeight="1" spans="1:24">
      <c r="A18" s="79" t="s">
        <v>11688</v>
      </c>
      <c r="B18" s="263" t="s">
        <v>11689</v>
      </c>
      <c r="C18" s="80" t="s">
        <v>11870</v>
      </c>
      <c r="D18" s="81" t="s">
        <v>11871</v>
      </c>
      <c r="E18" s="82" t="s">
        <v>11872</v>
      </c>
      <c r="F18" s="80"/>
      <c r="G18" s="81" t="s">
        <v>11873</v>
      </c>
      <c r="H18" s="81"/>
      <c r="I18" s="147" t="s">
        <v>11874</v>
      </c>
      <c r="J18" s="147" t="s">
        <v>11875</v>
      </c>
      <c r="K18" s="147" t="s">
        <v>11876</v>
      </c>
      <c r="L18" s="147" t="s">
        <v>11877</v>
      </c>
      <c r="M18" s="148" t="s">
        <v>11878</v>
      </c>
      <c r="N18" s="148" t="s">
        <v>11879</v>
      </c>
      <c r="O18" s="148"/>
      <c r="P18" s="148" t="s">
        <v>11880</v>
      </c>
      <c r="Q18" s="148"/>
      <c r="R18" s="148" t="s">
        <v>11881</v>
      </c>
      <c r="S18" s="148" t="s">
        <v>11882</v>
      </c>
      <c r="T18" s="148" t="s">
        <v>11883</v>
      </c>
      <c r="U18" s="174" t="s">
        <v>11884</v>
      </c>
      <c r="V18" s="174" t="s">
        <v>11884</v>
      </c>
      <c r="W18" s="175" t="s">
        <v>11885</v>
      </c>
      <c r="X18" s="176" t="s">
        <v>11886</v>
      </c>
    </row>
    <row r="19" ht="12" customHeight="1" spans="1:24">
      <c r="A19" s="79"/>
      <c r="B19" s="263" t="s">
        <v>11696</v>
      </c>
      <c r="C19" s="83">
        <f>ROUND(+C53,3)</f>
        <v>6808.326</v>
      </c>
      <c r="D19" s="84">
        <f>ROUND(+D53,3)</f>
        <v>67036.508</v>
      </c>
      <c r="E19" s="85">
        <f>ROUND(+E53,3)</f>
        <v>16309.642</v>
      </c>
      <c r="F19" s="83">
        <f ca="1" t="shared" ref="F19:X19" si="0">ROUND(+F53,3)</f>
        <v>0</v>
      </c>
      <c r="G19" s="84">
        <f t="shared" si="0"/>
        <v>250</v>
      </c>
      <c r="H19" s="84">
        <f t="shared" si="0"/>
        <v>250</v>
      </c>
      <c r="I19" s="149">
        <f t="shared" si="0"/>
        <v>0</v>
      </c>
      <c r="J19" s="149">
        <f t="shared" si="0"/>
        <v>0</v>
      </c>
      <c r="K19" s="149">
        <f ca="1" t="shared" si="0"/>
        <v>0</v>
      </c>
      <c r="L19" s="149">
        <f t="shared" si="0"/>
        <v>0</v>
      </c>
      <c r="M19" s="84">
        <f t="shared" si="0"/>
        <v>0</v>
      </c>
      <c r="N19" s="84">
        <f t="shared" si="0"/>
        <v>0</v>
      </c>
      <c r="O19" s="84"/>
      <c r="P19" s="84">
        <f t="shared" si="0"/>
        <v>0</v>
      </c>
      <c r="Q19" s="84"/>
      <c r="R19" s="84">
        <f t="shared" si="0"/>
        <v>0</v>
      </c>
      <c r="S19" s="84">
        <f t="shared" si="0"/>
        <v>0</v>
      </c>
      <c r="T19" s="84">
        <f t="shared" si="0"/>
        <v>0</v>
      </c>
      <c r="U19" s="149">
        <f t="shared" si="0"/>
        <v>0</v>
      </c>
      <c r="V19" s="149">
        <f t="shared" si="0"/>
        <v>0</v>
      </c>
      <c r="W19" s="177">
        <f t="shared" si="0"/>
        <v>0</v>
      </c>
      <c r="X19" s="178">
        <f t="shared" si="0"/>
        <v>0</v>
      </c>
    </row>
    <row r="20" s="36" customFormat="1" ht="12" customHeight="1" spans="1:24">
      <c r="A20" s="86">
        <f>IF(DAY(B20)&lt;$A$1,$A$1-1,"NA")</f>
        <v>31</v>
      </c>
      <c r="B20" s="87">
        <f>+'Extract Data'!A6</f>
        <v>44228</v>
      </c>
      <c r="C20" s="88">
        <f>ROUND(+'Extract Data'!B7,3)</f>
        <v>854.113</v>
      </c>
      <c r="D20" s="89">
        <f>ROUND(+'Extract Data'!C7,3)</f>
        <v>2944.362</v>
      </c>
      <c r="E20" s="90">
        <f>ROUND('Extract Data'!E7,3)</f>
        <v>0</v>
      </c>
      <c r="F20" s="91">
        <f>+'Extract Data'!H7</f>
        <v>0</v>
      </c>
      <c r="G20" s="92"/>
      <c r="H20" s="93">
        <f>+G20-F20</f>
        <v>0</v>
      </c>
      <c r="I20" s="93"/>
      <c r="J20" s="92"/>
      <c r="K20" s="94"/>
      <c r="L20" s="93">
        <f>+K20-J20</f>
        <v>0</v>
      </c>
      <c r="M20" s="94"/>
      <c r="N20" s="94"/>
      <c r="O20" s="94"/>
      <c r="P20" s="94"/>
      <c r="Q20" s="94"/>
      <c r="R20" s="94"/>
      <c r="S20" s="179"/>
      <c r="T20" s="180"/>
      <c r="U20" s="180"/>
      <c r="V20" s="180"/>
      <c r="W20" s="181"/>
      <c r="X20" s="182"/>
    </row>
    <row r="21" s="36" customFormat="1" ht="12" customHeight="1" spans="1:24">
      <c r="A21" s="86">
        <f t="shared" ref="A21:A48" si="1">IF(DAY(B21)&lt;$A$1,$A$1-1,"NA")</f>
        <v>31</v>
      </c>
      <c r="B21" s="87">
        <f>+'Extract Data'!A7</f>
        <v>44229</v>
      </c>
      <c r="C21" s="91">
        <f>ROUND(+'Extract Data'!B8,3)</f>
        <v>910.332</v>
      </c>
      <c r="D21" s="94">
        <f>ROUND(+'Extract Data'!C8,3)</f>
        <v>2946.542</v>
      </c>
      <c r="E21" s="90">
        <f>ROUND('Extract Data'!E8,3)</f>
        <v>0</v>
      </c>
      <c r="F21" s="91">
        <f>+'Extract Data'!H8</f>
        <v>0</v>
      </c>
      <c r="G21" s="92"/>
      <c r="H21" s="93">
        <f>+G21-F21</f>
        <v>0</v>
      </c>
      <c r="I21" s="93"/>
      <c r="J21" s="92"/>
      <c r="K21" s="94"/>
      <c r="L21" s="93">
        <f>+K21-J21</f>
        <v>0</v>
      </c>
      <c r="M21" s="94"/>
      <c r="N21" s="94"/>
      <c r="O21" s="94"/>
      <c r="P21" s="94"/>
      <c r="Q21" s="94"/>
      <c r="R21" s="94"/>
      <c r="S21" s="179"/>
      <c r="T21" s="180"/>
      <c r="U21" s="180"/>
      <c r="V21" s="180"/>
      <c r="W21" s="181"/>
      <c r="X21" s="182"/>
    </row>
    <row r="22" s="36" customFormat="1" ht="12" customHeight="1" spans="1:24">
      <c r="A22" s="86">
        <f t="shared" si="1"/>
        <v>31</v>
      </c>
      <c r="B22" s="87">
        <f>+'Extract Data'!A8</f>
        <v>44230</v>
      </c>
      <c r="C22" s="91">
        <f>ROUND(+'Extract Data'!B9,3)</f>
        <v>912.248</v>
      </c>
      <c r="D22" s="94">
        <f>ROUND(+'Extract Data'!C9,3)</f>
        <v>2948.199</v>
      </c>
      <c r="E22" s="90">
        <f>ROUND('Extract Data'!E9,3)</f>
        <v>0</v>
      </c>
      <c r="F22" s="91">
        <f>+'Extract Data'!H9</f>
        <v>0</v>
      </c>
      <c r="G22" s="92"/>
      <c r="H22" s="93">
        <f t="shared" ref="H22:H49" si="2">+G22-F22</f>
        <v>0</v>
      </c>
      <c r="I22" s="93"/>
      <c r="J22" s="92"/>
      <c r="K22" s="94"/>
      <c r="L22" s="93">
        <f t="shared" ref="L22:L49" si="3">+K22-J22</f>
        <v>0</v>
      </c>
      <c r="M22" s="94"/>
      <c r="N22" s="94"/>
      <c r="O22" s="94"/>
      <c r="P22" s="94"/>
      <c r="Q22" s="94"/>
      <c r="R22" s="94"/>
      <c r="S22" s="179"/>
      <c r="T22" s="180"/>
      <c r="U22" s="180"/>
      <c r="V22" s="180"/>
      <c r="W22" s="181"/>
      <c r="X22" s="182"/>
    </row>
    <row r="23" s="36" customFormat="1" ht="12" customHeight="1" spans="1:24">
      <c r="A23" s="86">
        <f t="shared" si="1"/>
        <v>31</v>
      </c>
      <c r="B23" s="87">
        <f>+'Extract Data'!A9</f>
        <v>44231</v>
      </c>
      <c r="C23" s="91">
        <f>ROUND(+'Extract Data'!B10,3)</f>
        <v>271.682</v>
      </c>
      <c r="D23" s="94">
        <f>ROUND(+'Extract Data'!C10,3)</f>
        <v>2947.529</v>
      </c>
      <c r="E23" s="90">
        <f>ROUND('Extract Data'!E10,3)</f>
        <v>3386.78</v>
      </c>
      <c r="F23" s="91">
        <f>+'Extract Data'!H10</f>
        <v>0</v>
      </c>
      <c r="G23" s="92"/>
      <c r="H23" s="93">
        <f t="shared" si="2"/>
        <v>0</v>
      </c>
      <c r="I23" s="93"/>
      <c r="J23" s="92"/>
      <c r="K23" s="94"/>
      <c r="L23" s="93">
        <f t="shared" si="3"/>
        <v>0</v>
      </c>
      <c r="M23" s="94"/>
      <c r="N23" s="94"/>
      <c r="O23" s="94"/>
      <c r="P23" s="94"/>
      <c r="Q23" s="94"/>
      <c r="R23" s="94"/>
      <c r="S23" s="179"/>
      <c r="T23" s="180"/>
      <c r="U23" s="180"/>
      <c r="V23" s="180"/>
      <c r="W23" s="181"/>
      <c r="X23" s="182"/>
    </row>
    <row r="24" s="36" customFormat="1" ht="12" customHeight="1" spans="1:24">
      <c r="A24" s="86">
        <f t="shared" si="1"/>
        <v>31</v>
      </c>
      <c r="B24" s="87">
        <f>+'Extract Data'!A10</f>
        <v>44232</v>
      </c>
      <c r="C24" s="91">
        <f>ROUND(+'Extract Data'!B11,3)</f>
        <v>0</v>
      </c>
      <c r="D24" s="94">
        <f>ROUND(+'Extract Data'!C11,3)</f>
        <v>2947.404</v>
      </c>
      <c r="E24" s="90">
        <f>ROUND('Extract Data'!E11,3)</f>
        <v>4999.82</v>
      </c>
      <c r="F24" s="91">
        <f>+'Extract Data'!H11</f>
        <v>0</v>
      </c>
      <c r="G24" s="92"/>
      <c r="H24" s="93">
        <f t="shared" si="2"/>
        <v>0</v>
      </c>
      <c r="I24" s="93"/>
      <c r="J24" s="92"/>
      <c r="K24" s="94"/>
      <c r="L24" s="93">
        <f t="shared" si="3"/>
        <v>0</v>
      </c>
      <c r="M24" s="94"/>
      <c r="N24" s="94"/>
      <c r="O24" s="94"/>
      <c r="P24" s="94"/>
      <c r="Q24" s="94"/>
      <c r="R24" s="94"/>
      <c r="S24" s="179"/>
      <c r="T24" s="180"/>
      <c r="U24" s="180"/>
      <c r="V24" s="180"/>
      <c r="W24" s="181"/>
      <c r="X24" s="182"/>
    </row>
    <row r="25" s="36" customFormat="1" ht="12" customHeight="1" spans="1:24">
      <c r="A25" s="86">
        <f t="shared" si="1"/>
        <v>31</v>
      </c>
      <c r="B25" s="95">
        <f>+'Extract Data'!A11</f>
        <v>44233</v>
      </c>
      <c r="C25" s="91">
        <f>ROUND(+'Extract Data'!B12,3)</f>
        <v>0</v>
      </c>
      <c r="D25" s="94">
        <f>ROUND(+'Extract Data'!C12,3)</f>
        <v>2742.285</v>
      </c>
      <c r="E25" s="90">
        <f>ROUND('Extract Data'!E12,3)</f>
        <v>54.387</v>
      </c>
      <c r="F25" s="91">
        <f>+'Extract Data'!H12</f>
        <v>0</v>
      </c>
      <c r="G25" s="92"/>
      <c r="H25" s="93">
        <f t="shared" si="2"/>
        <v>0</v>
      </c>
      <c r="I25" s="93"/>
      <c r="J25" s="92"/>
      <c r="K25" s="94"/>
      <c r="L25" s="93">
        <f t="shared" si="3"/>
        <v>0</v>
      </c>
      <c r="M25" s="94"/>
      <c r="N25" s="94"/>
      <c r="O25" s="94"/>
      <c r="P25" s="94"/>
      <c r="Q25" s="94"/>
      <c r="R25" s="94"/>
      <c r="S25" s="179"/>
      <c r="T25" s="180"/>
      <c r="U25" s="180"/>
      <c r="V25" s="180"/>
      <c r="W25" s="181"/>
      <c r="X25" s="182"/>
    </row>
    <row r="26" s="36" customFormat="1" ht="12" customHeight="1" spans="1:24">
      <c r="A26" s="86">
        <f t="shared" si="1"/>
        <v>31</v>
      </c>
      <c r="B26" s="87">
        <f>+'Extract Data'!A12</f>
        <v>44234</v>
      </c>
      <c r="C26" s="91">
        <f>ROUND(+'Extract Data'!B13,3)</f>
        <v>0</v>
      </c>
      <c r="D26" s="94">
        <f>ROUND(+'Extract Data'!C13,3)</f>
        <v>2527.829</v>
      </c>
      <c r="E26" s="90">
        <f>ROUND('Extract Data'!E13,3)</f>
        <v>0</v>
      </c>
      <c r="F26" s="91">
        <f>+'Extract Data'!H13</f>
        <v>0</v>
      </c>
      <c r="G26" s="92"/>
      <c r="H26" s="93">
        <f t="shared" si="2"/>
        <v>0</v>
      </c>
      <c r="I26" s="93"/>
      <c r="J26" s="92"/>
      <c r="K26" s="94"/>
      <c r="L26" s="93">
        <f t="shared" si="3"/>
        <v>0</v>
      </c>
      <c r="M26" s="94"/>
      <c r="N26" s="94"/>
      <c r="O26" s="94"/>
      <c r="P26" s="94"/>
      <c r="Q26" s="94"/>
      <c r="R26" s="94"/>
      <c r="S26" s="179"/>
      <c r="T26" s="180"/>
      <c r="U26" s="180"/>
      <c r="V26" s="180"/>
      <c r="W26" s="181"/>
      <c r="X26" s="182"/>
    </row>
    <row r="27" s="36" customFormat="1" ht="12" customHeight="1" spans="1:24">
      <c r="A27" s="86">
        <f t="shared" si="1"/>
        <v>31</v>
      </c>
      <c r="B27" s="87">
        <f>+'Extract Data'!A13</f>
        <v>44235</v>
      </c>
      <c r="C27" s="91">
        <f>ROUND(+'Extract Data'!B14,3)</f>
        <v>0</v>
      </c>
      <c r="D27" s="94">
        <f>ROUND(+'Extract Data'!C14,3)</f>
        <v>2527.127</v>
      </c>
      <c r="E27" s="90">
        <f>ROUND('Extract Data'!E14,3)</f>
        <v>0</v>
      </c>
      <c r="F27" s="91">
        <v>0</v>
      </c>
      <c r="G27" s="92"/>
      <c r="H27" s="93">
        <f t="shared" si="2"/>
        <v>0</v>
      </c>
      <c r="I27" s="93"/>
      <c r="J27" s="92"/>
      <c r="K27" s="94"/>
      <c r="L27" s="93">
        <f t="shared" si="3"/>
        <v>0</v>
      </c>
      <c r="M27" s="94"/>
      <c r="N27" s="94"/>
      <c r="O27" s="94"/>
      <c r="P27" s="94"/>
      <c r="Q27" s="94"/>
      <c r="R27" s="94"/>
      <c r="S27" s="179"/>
      <c r="T27" s="180"/>
      <c r="U27" s="180"/>
      <c r="V27" s="180"/>
      <c r="W27" s="181"/>
      <c r="X27" s="182"/>
    </row>
    <row r="28" s="36" customFormat="1" ht="12" customHeight="1" spans="1:24">
      <c r="A28" s="86">
        <f t="shared" si="1"/>
        <v>31</v>
      </c>
      <c r="B28" s="87">
        <f>+'Extract Data'!A14</f>
        <v>44236</v>
      </c>
      <c r="C28" s="91">
        <f>ROUND(+'Extract Data'!B15,3)</f>
        <v>0</v>
      </c>
      <c r="D28" s="94">
        <f>ROUND(+'Extract Data'!C15,3)</f>
        <v>2529.466</v>
      </c>
      <c r="E28" s="90">
        <f>ROUND('Extract Data'!E15,3)</f>
        <v>3249.988</v>
      </c>
      <c r="F28" s="91">
        <f>+'Extract Data'!H15</f>
        <v>0</v>
      </c>
      <c r="G28" s="92"/>
      <c r="H28" s="93">
        <f t="shared" si="2"/>
        <v>0</v>
      </c>
      <c r="I28" s="93"/>
      <c r="J28" s="92"/>
      <c r="K28" s="94"/>
      <c r="L28" s="93">
        <f t="shared" si="3"/>
        <v>0</v>
      </c>
      <c r="M28" s="94"/>
      <c r="N28" s="94"/>
      <c r="O28" s="94"/>
      <c r="P28" s="94"/>
      <c r="Q28" s="94"/>
      <c r="R28" s="94"/>
      <c r="S28" s="179"/>
      <c r="T28" s="180"/>
      <c r="U28" s="180"/>
      <c r="V28" s="180"/>
      <c r="W28" s="181"/>
      <c r="X28" s="182"/>
    </row>
    <row r="29" s="36" customFormat="1" ht="12" customHeight="1" spans="1:24">
      <c r="A29" s="86">
        <f t="shared" si="1"/>
        <v>31</v>
      </c>
      <c r="B29" s="87">
        <f>+'Extract Data'!A15</f>
        <v>44237</v>
      </c>
      <c r="C29" s="91">
        <f>ROUND(+'Extract Data'!B16,3)</f>
        <v>0</v>
      </c>
      <c r="D29" s="94">
        <f>ROUND(+'Extract Data'!C16,3)</f>
        <v>2528.817</v>
      </c>
      <c r="E29" s="90">
        <f>ROUND('Extract Data'!E16,3)</f>
        <v>2713.841</v>
      </c>
      <c r="F29" s="91">
        <f>+'Extract Data'!H16</f>
        <v>0</v>
      </c>
      <c r="G29" s="92"/>
      <c r="H29" s="93">
        <f t="shared" si="2"/>
        <v>0</v>
      </c>
      <c r="I29" s="93"/>
      <c r="J29" s="92"/>
      <c r="K29" s="94"/>
      <c r="L29" s="93">
        <f t="shared" si="3"/>
        <v>0</v>
      </c>
      <c r="M29" s="94"/>
      <c r="N29" s="94"/>
      <c r="O29" s="94"/>
      <c r="P29" s="94"/>
      <c r="Q29" s="94"/>
      <c r="R29" s="94"/>
      <c r="S29" s="179"/>
      <c r="T29" s="180"/>
      <c r="U29" s="180"/>
      <c r="V29" s="180"/>
      <c r="W29" s="181"/>
      <c r="X29" s="182"/>
    </row>
    <row r="30" s="36" customFormat="1" ht="12" customHeight="1" spans="1:24">
      <c r="A30" s="86">
        <f t="shared" si="1"/>
        <v>31</v>
      </c>
      <c r="B30" s="87">
        <f>+'Extract Data'!A16</f>
        <v>44238</v>
      </c>
      <c r="C30" s="91">
        <f>ROUND(+'Extract Data'!B17,3)</f>
        <v>0</v>
      </c>
      <c r="D30" s="94">
        <f>ROUND(+'Extract Data'!C17,3)</f>
        <v>2527.225</v>
      </c>
      <c r="E30" s="90">
        <f>ROUND('Extract Data'!E17,3)</f>
        <v>0</v>
      </c>
      <c r="F30" s="91">
        <f>+'Extract Data'!H17</f>
        <v>0</v>
      </c>
      <c r="G30" s="92"/>
      <c r="H30" s="93">
        <f t="shared" si="2"/>
        <v>0</v>
      </c>
      <c r="I30" s="92"/>
      <c r="J30" s="92"/>
      <c r="K30" s="94"/>
      <c r="L30" s="93">
        <f t="shared" si="3"/>
        <v>0</v>
      </c>
      <c r="M30" s="94"/>
      <c r="N30" s="94"/>
      <c r="O30" s="94"/>
      <c r="P30" s="94"/>
      <c r="Q30" s="94"/>
      <c r="R30" s="94"/>
      <c r="S30" s="179"/>
      <c r="T30" s="180"/>
      <c r="U30" s="180"/>
      <c r="V30" s="180"/>
      <c r="W30" s="181"/>
      <c r="X30" s="182"/>
    </row>
    <row r="31" s="36" customFormat="1" ht="12" customHeight="1" spans="1:24">
      <c r="A31" s="86">
        <f t="shared" si="1"/>
        <v>31</v>
      </c>
      <c r="B31" s="87">
        <f>+'Extract Data'!A17</f>
        <v>44239</v>
      </c>
      <c r="C31" s="96">
        <f>ROUND(+'Extract Data'!B18,3)-125</f>
        <v>7.405</v>
      </c>
      <c r="D31" s="94">
        <f>ROUND(+'Extract Data'!C18,3)</f>
        <v>2525.622</v>
      </c>
      <c r="E31" s="90">
        <f>ROUND('Extract Data'!E18,3)</f>
        <v>0</v>
      </c>
      <c r="F31" s="91">
        <f>+'Extract Data'!H18</f>
        <v>0</v>
      </c>
      <c r="G31" s="97">
        <f>125</f>
        <v>125</v>
      </c>
      <c r="H31" s="93">
        <f t="shared" si="2"/>
        <v>125</v>
      </c>
      <c r="I31" s="93"/>
      <c r="J31" s="92"/>
      <c r="K31" s="94"/>
      <c r="L31" s="93">
        <f t="shared" si="3"/>
        <v>0</v>
      </c>
      <c r="M31" s="94"/>
      <c r="N31" s="94"/>
      <c r="O31" s="94"/>
      <c r="P31" s="94"/>
      <c r="Q31" s="94"/>
      <c r="R31" s="94"/>
      <c r="S31" s="179"/>
      <c r="T31" s="180"/>
      <c r="U31" s="180"/>
      <c r="V31" s="180"/>
      <c r="W31" s="181"/>
      <c r="X31" s="182"/>
    </row>
    <row r="32" s="36" customFormat="1" ht="12" customHeight="1" spans="1:24">
      <c r="A32" s="86">
        <f t="shared" si="1"/>
        <v>31</v>
      </c>
      <c r="B32" s="87">
        <f>+'Extract Data'!A18</f>
        <v>44240</v>
      </c>
      <c r="C32" s="91">
        <f>ROUND(+'Extract Data'!B19,3)</f>
        <v>756.599</v>
      </c>
      <c r="D32" s="94">
        <f>ROUND(+'Extract Data'!C19,3)</f>
        <v>2675.484</v>
      </c>
      <c r="E32" s="90">
        <f>ROUND('Extract Data'!E19,3)</f>
        <v>0</v>
      </c>
      <c r="F32" s="91">
        <f>+'Extract Data'!H19</f>
        <v>0</v>
      </c>
      <c r="G32" s="92"/>
      <c r="H32" s="93">
        <f t="shared" si="2"/>
        <v>0</v>
      </c>
      <c r="I32" s="93"/>
      <c r="J32" s="92"/>
      <c r="K32" s="94"/>
      <c r="L32" s="93">
        <f t="shared" si="3"/>
        <v>0</v>
      </c>
      <c r="M32" s="94"/>
      <c r="N32" s="94"/>
      <c r="O32" s="94"/>
      <c r="P32" s="94"/>
      <c r="Q32" s="94"/>
      <c r="R32" s="94"/>
      <c r="S32" s="179"/>
      <c r="T32" s="180"/>
      <c r="U32" s="180"/>
      <c r="V32" s="180"/>
      <c r="W32" s="181"/>
      <c r="X32" s="182"/>
    </row>
    <row r="33" s="37" customFormat="1" ht="12" customHeight="1" spans="1:24">
      <c r="A33" s="86">
        <f t="shared" si="1"/>
        <v>31</v>
      </c>
      <c r="B33" s="95">
        <f>+'Extract Data'!A19</f>
        <v>44241</v>
      </c>
      <c r="C33" s="91">
        <f>ROUND(+'Extract Data'!B20,3)</f>
        <v>320.4</v>
      </c>
      <c r="D33" s="94">
        <f>ROUND(+'Extract Data'!C20,3)</f>
        <v>2787.711</v>
      </c>
      <c r="E33" s="90">
        <f>ROUND('Extract Data'!E20,3)</f>
        <v>0</v>
      </c>
      <c r="F33" s="91">
        <f>+'Extract Data'!H20</f>
        <v>0</v>
      </c>
      <c r="G33" s="92"/>
      <c r="H33" s="93">
        <f t="shared" si="2"/>
        <v>0</v>
      </c>
      <c r="I33" s="93"/>
      <c r="J33" s="92"/>
      <c r="K33" s="94"/>
      <c r="L33" s="93">
        <f t="shared" si="3"/>
        <v>0</v>
      </c>
      <c r="M33" s="94"/>
      <c r="N33" s="94"/>
      <c r="O33" s="94"/>
      <c r="P33" s="94"/>
      <c r="Q33" s="94"/>
      <c r="R33" s="94"/>
      <c r="S33" s="179"/>
      <c r="T33" s="180"/>
      <c r="U33" s="180"/>
      <c r="V33" s="180"/>
      <c r="W33" s="181"/>
      <c r="X33" s="182"/>
    </row>
    <row r="34" s="36" customFormat="1" ht="12" customHeight="1" spans="1:24">
      <c r="A34" s="86">
        <f t="shared" si="1"/>
        <v>31</v>
      </c>
      <c r="B34" s="87">
        <f>+'Extract Data'!A20</f>
        <v>44242</v>
      </c>
      <c r="C34" s="91">
        <f>ROUND(+'Extract Data'!B21,3)</f>
        <v>494.072</v>
      </c>
      <c r="D34" s="94">
        <f>ROUND(+'Extract Data'!C21,3)</f>
        <v>2786.273</v>
      </c>
      <c r="E34" s="90">
        <f>ROUND('Extract Data'!E21,3)</f>
        <v>0</v>
      </c>
      <c r="F34" s="91">
        <f>+'Extract Data'!H21</f>
        <v>0</v>
      </c>
      <c r="G34" s="92"/>
      <c r="H34" s="93">
        <f t="shared" si="2"/>
        <v>0</v>
      </c>
      <c r="I34" s="93"/>
      <c r="J34" s="92"/>
      <c r="K34" s="94"/>
      <c r="L34" s="93">
        <f t="shared" si="3"/>
        <v>0</v>
      </c>
      <c r="M34" s="94"/>
      <c r="N34" s="94"/>
      <c r="O34" s="94"/>
      <c r="P34" s="94"/>
      <c r="Q34" s="94"/>
      <c r="R34" s="94"/>
      <c r="S34" s="179"/>
      <c r="T34" s="180"/>
      <c r="U34" s="180"/>
      <c r="V34" s="180"/>
      <c r="W34" s="181"/>
      <c r="X34" s="182"/>
    </row>
    <row r="35" s="36" customFormat="1" ht="12" customHeight="1" spans="1:24">
      <c r="A35" s="86">
        <f t="shared" si="1"/>
        <v>31</v>
      </c>
      <c r="B35" s="87">
        <f>+'Extract Data'!A21</f>
        <v>44243</v>
      </c>
      <c r="C35" s="91">
        <f>ROUND(+'Extract Data'!B22,3)</f>
        <v>745.201</v>
      </c>
      <c r="D35" s="94">
        <f>ROUND(+'Extract Data'!C22,3)</f>
        <v>2787.219</v>
      </c>
      <c r="E35" s="90">
        <f>ROUND('Extract Data'!E22,3)</f>
        <v>0</v>
      </c>
      <c r="F35" s="91">
        <f>+'Extract Data'!H22</f>
        <v>0</v>
      </c>
      <c r="G35" s="92"/>
      <c r="H35" s="93">
        <f t="shared" si="2"/>
        <v>0</v>
      </c>
      <c r="I35" s="93"/>
      <c r="J35" s="92"/>
      <c r="K35" s="94"/>
      <c r="L35" s="93">
        <f t="shared" si="3"/>
        <v>0</v>
      </c>
      <c r="M35" s="94"/>
      <c r="N35" s="94"/>
      <c r="O35" s="94"/>
      <c r="P35" s="94"/>
      <c r="Q35" s="94"/>
      <c r="R35" s="94"/>
      <c r="S35" s="179"/>
      <c r="T35" s="180"/>
      <c r="U35" s="180"/>
      <c r="V35" s="180"/>
      <c r="W35" s="181"/>
      <c r="X35" s="182"/>
    </row>
    <row r="36" s="36" customFormat="1" ht="12" customHeight="1" spans="1:24">
      <c r="A36" s="98">
        <f t="shared" si="1"/>
        <v>31</v>
      </c>
      <c r="B36" s="87">
        <f>+'Extract Data'!A22</f>
        <v>44244</v>
      </c>
      <c r="C36" s="91">
        <f>ROUND(+'Extract Data'!B23,3)</f>
        <v>659.152</v>
      </c>
      <c r="D36" s="94">
        <f>ROUND(+'Extract Data'!C23,3)</f>
        <v>2789.605</v>
      </c>
      <c r="E36" s="90">
        <f>ROUND('Extract Data'!E23,3)</f>
        <v>0</v>
      </c>
      <c r="F36" s="91">
        <f>+'Extract Data'!H23</f>
        <v>0</v>
      </c>
      <c r="G36" s="92"/>
      <c r="H36" s="93">
        <f t="shared" si="2"/>
        <v>0</v>
      </c>
      <c r="I36" s="93"/>
      <c r="J36" s="92"/>
      <c r="K36" s="94"/>
      <c r="L36" s="93">
        <f t="shared" si="3"/>
        <v>0</v>
      </c>
      <c r="M36" s="94"/>
      <c r="N36" s="94"/>
      <c r="O36" s="94"/>
      <c r="P36" s="94"/>
      <c r="Q36" s="94"/>
      <c r="R36" s="94"/>
      <c r="S36" s="179"/>
      <c r="T36" s="183"/>
      <c r="U36" s="180"/>
      <c r="V36" s="180"/>
      <c r="W36" s="181"/>
      <c r="X36" s="182"/>
    </row>
    <row r="37" s="36" customFormat="1" ht="12" customHeight="1" spans="1:24">
      <c r="A37" s="98">
        <f t="shared" si="1"/>
        <v>31</v>
      </c>
      <c r="B37" s="87">
        <f>+'Extract Data'!A23</f>
        <v>44245</v>
      </c>
      <c r="C37" s="91">
        <f>ROUND(+'Extract Data'!B24,3)</f>
        <v>0</v>
      </c>
      <c r="D37" s="94">
        <f>ROUND(+'Extract Data'!C24,3)</f>
        <v>2887.23</v>
      </c>
      <c r="E37" s="90">
        <f>ROUND('Extract Data'!E24,3)</f>
        <v>0</v>
      </c>
      <c r="F37" s="91">
        <f>+'Extract Data'!H24</f>
        <v>0</v>
      </c>
      <c r="G37" s="92"/>
      <c r="H37" s="93">
        <f t="shared" si="2"/>
        <v>0</v>
      </c>
      <c r="I37" s="93"/>
      <c r="J37" s="92"/>
      <c r="K37" s="94"/>
      <c r="L37" s="93">
        <f t="shared" si="3"/>
        <v>0</v>
      </c>
      <c r="M37" s="94"/>
      <c r="N37" s="94"/>
      <c r="O37" s="94"/>
      <c r="P37" s="94"/>
      <c r="Q37" s="94"/>
      <c r="R37" s="94"/>
      <c r="S37" s="179"/>
      <c r="T37" s="183"/>
      <c r="U37" s="180"/>
      <c r="V37" s="180"/>
      <c r="W37" s="181"/>
      <c r="X37" s="182"/>
    </row>
    <row r="38" s="36" customFormat="1" ht="12" customHeight="1" spans="1:24">
      <c r="A38" s="98">
        <f t="shared" si="1"/>
        <v>31</v>
      </c>
      <c r="B38" s="87">
        <f>+'Extract Data'!A24</f>
        <v>44246</v>
      </c>
      <c r="C38" s="96">
        <f>ROUND(+'Extract Data'!B25,3)-86.317</f>
        <v>0</v>
      </c>
      <c r="D38" s="94">
        <f>ROUND(+'Extract Data'!C25,3)</f>
        <v>2948.656</v>
      </c>
      <c r="E38" s="90">
        <f>ROUND('Extract Data'!E25,3)</f>
        <v>0</v>
      </c>
      <c r="F38" s="91">
        <f>+'Extract Data'!H25</f>
        <v>0</v>
      </c>
      <c r="G38" s="97">
        <f>86.317</f>
        <v>86.317</v>
      </c>
      <c r="H38" s="93">
        <f t="shared" si="2"/>
        <v>86.317</v>
      </c>
      <c r="I38" s="93"/>
      <c r="J38" s="92"/>
      <c r="K38" s="94"/>
      <c r="L38" s="93">
        <f t="shared" si="3"/>
        <v>0</v>
      </c>
      <c r="M38" s="94"/>
      <c r="N38" s="94"/>
      <c r="O38" s="94"/>
      <c r="P38" s="94"/>
      <c r="Q38" s="94"/>
      <c r="R38" s="94"/>
      <c r="S38" s="179"/>
      <c r="T38" s="180"/>
      <c r="U38" s="180"/>
      <c r="V38" s="180"/>
      <c r="W38" s="181"/>
      <c r="X38" s="182"/>
    </row>
    <row r="39" s="36" customFormat="1" ht="12" customHeight="1" spans="1:24">
      <c r="A39" s="98">
        <f t="shared" si="1"/>
        <v>31</v>
      </c>
      <c r="B39" s="87">
        <f>+'Extract Data'!A25</f>
        <v>44247</v>
      </c>
      <c r="C39" s="96">
        <f>ROUND(+'Extract Data'!B26,3)-38.683</f>
        <v>240.586</v>
      </c>
      <c r="D39" s="94">
        <f>ROUND(+'Extract Data'!C26,3)</f>
        <v>2946.596</v>
      </c>
      <c r="E39" s="90">
        <f>ROUND('Extract Data'!E26,3)</f>
        <v>0</v>
      </c>
      <c r="F39" s="91">
        <f>+'Extract Data'!H26</f>
        <v>0</v>
      </c>
      <c r="G39" s="99">
        <f>125-G38</f>
        <v>38.683</v>
      </c>
      <c r="H39" s="93">
        <f t="shared" si="2"/>
        <v>38.683</v>
      </c>
      <c r="I39" s="93"/>
      <c r="J39" s="92"/>
      <c r="K39" s="94"/>
      <c r="L39" s="93">
        <f t="shared" si="3"/>
        <v>0</v>
      </c>
      <c r="M39" s="94"/>
      <c r="N39" s="94"/>
      <c r="O39" s="94"/>
      <c r="P39" s="94"/>
      <c r="Q39" s="94"/>
      <c r="R39" s="94"/>
      <c r="S39" s="179"/>
      <c r="T39" s="180"/>
      <c r="U39" s="180"/>
      <c r="V39" s="180"/>
      <c r="W39" s="181"/>
      <c r="X39" s="182"/>
    </row>
    <row r="40" s="36" customFormat="1" ht="12" customHeight="1" spans="1:24">
      <c r="A40" s="98">
        <f t="shared" si="1"/>
        <v>31</v>
      </c>
      <c r="B40" s="87">
        <f>+'Extract Data'!A26</f>
        <v>44248</v>
      </c>
      <c r="C40" s="91">
        <f>ROUND(+'Extract Data'!B27,3)</f>
        <v>636.536</v>
      </c>
      <c r="D40" s="94">
        <f>ROUND(+'Extract Data'!C27,3)</f>
        <v>2946.563</v>
      </c>
      <c r="E40" s="90">
        <f>ROUND('Extract Data'!E27,3)</f>
        <v>0</v>
      </c>
      <c r="F40" s="91">
        <f>+'Extract Data'!H27</f>
        <v>0</v>
      </c>
      <c r="G40" s="92"/>
      <c r="H40" s="93">
        <f t="shared" si="2"/>
        <v>0</v>
      </c>
      <c r="I40" s="93"/>
      <c r="J40" s="92"/>
      <c r="K40" s="94"/>
      <c r="L40" s="93">
        <f t="shared" si="3"/>
        <v>0</v>
      </c>
      <c r="M40" s="94"/>
      <c r="N40" s="94"/>
      <c r="O40" s="94"/>
      <c r="P40" s="94"/>
      <c r="Q40" s="94"/>
      <c r="R40" s="94"/>
      <c r="S40" s="179"/>
      <c r="T40" s="180"/>
      <c r="U40" s="180"/>
      <c r="V40" s="180"/>
      <c r="W40" s="181"/>
      <c r="X40" s="182"/>
    </row>
    <row r="41" s="36" customFormat="1" ht="12" customHeight="1" spans="1:24">
      <c r="A41" s="98">
        <f t="shared" si="1"/>
        <v>31</v>
      </c>
      <c r="B41" s="87">
        <f>+'Extract Data'!A27</f>
        <v>44249</v>
      </c>
      <c r="C41" s="91">
        <f>ROUND(+'Extract Data'!B28,3)</f>
        <v>0</v>
      </c>
      <c r="D41" s="94">
        <f>ROUND(+'Extract Data'!C28,3)</f>
        <v>2945.561</v>
      </c>
      <c r="E41" s="90">
        <f>ROUND('Extract Data'!E28,3)</f>
        <v>532.485</v>
      </c>
      <c r="F41" s="91">
        <f>+'Extract Data'!H28</f>
        <v>0</v>
      </c>
      <c r="G41" s="92"/>
      <c r="H41" s="93">
        <f t="shared" si="2"/>
        <v>0</v>
      </c>
      <c r="I41" s="93"/>
      <c r="J41" s="92"/>
      <c r="K41" s="94"/>
      <c r="L41" s="93">
        <f t="shared" si="3"/>
        <v>0</v>
      </c>
      <c r="M41" s="94"/>
      <c r="N41" s="94"/>
      <c r="O41" s="94"/>
      <c r="P41" s="94"/>
      <c r="Q41" s="94"/>
      <c r="R41" s="94"/>
      <c r="S41" s="179"/>
      <c r="T41" s="180"/>
      <c r="U41" s="180"/>
      <c r="V41" s="180"/>
      <c r="W41" s="181"/>
      <c r="X41" s="182"/>
    </row>
    <row r="42" s="37" customFormat="1" ht="12" customHeight="1" spans="1:24">
      <c r="A42" s="98">
        <f t="shared" si="1"/>
        <v>31</v>
      </c>
      <c r="B42" s="87">
        <f>+'Extract Data'!A28</f>
        <v>44250</v>
      </c>
      <c r="C42" s="91">
        <f>ROUND(+'Extract Data'!B29,3)</f>
        <v>0</v>
      </c>
      <c r="D42" s="94">
        <f>ROUND(+'Extract Data'!C29,3)</f>
        <v>2946.337</v>
      </c>
      <c r="E42" s="90">
        <f>ROUND('Extract Data'!E29,3)</f>
        <v>1372.341</v>
      </c>
      <c r="F42" s="91">
        <f>+'Extract Data'!H29</f>
        <v>0</v>
      </c>
      <c r="G42" s="92"/>
      <c r="H42" s="93">
        <f t="shared" si="2"/>
        <v>0</v>
      </c>
      <c r="I42" s="93"/>
      <c r="J42" s="92"/>
      <c r="K42" s="94"/>
      <c r="L42" s="93">
        <f t="shared" si="3"/>
        <v>0</v>
      </c>
      <c r="M42" s="94"/>
      <c r="N42" s="94"/>
      <c r="O42" s="94"/>
      <c r="P42" s="94"/>
      <c r="Q42" s="94"/>
      <c r="R42" s="94"/>
      <c r="S42" s="179"/>
      <c r="T42" s="180"/>
      <c r="U42" s="180"/>
      <c r="V42" s="180"/>
      <c r="W42" s="181"/>
      <c r="X42" s="182"/>
    </row>
    <row r="43" s="37" customFormat="1" ht="12" customHeight="1" spans="1:24">
      <c r="A43" s="98">
        <f t="shared" si="1"/>
        <v>31</v>
      </c>
      <c r="B43" s="87">
        <f>+'Extract Data'!A29</f>
        <v>44251</v>
      </c>
      <c r="C43" s="91">
        <f>ROUND(+'Extract Data'!B30,3)</f>
        <v>0</v>
      </c>
      <c r="D43" s="94">
        <f>ROUND(+'Extract Data'!C30,3)</f>
        <v>2946.866</v>
      </c>
      <c r="E43" s="90">
        <f>ROUND('Extract Data'!E30,3)</f>
        <v>0</v>
      </c>
      <c r="F43" s="91">
        <f>+'Extract Data'!H30</f>
        <v>0</v>
      </c>
      <c r="G43" s="92"/>
      <c r="H43" s="93">
        <f t="shared" si="2"/>
        <v>0</v>
      </c>
      <c r="I43" s="93"/>
      <c r="J43" s="92"/>
      <c r="K43" s="94"/>
      <c r="L43" s="93">
        <f t="shared" si="3"/>
        <v>0</v>
      </c>
      <c r="M43" s="94"/>
      <c r="N43" s="94"/>
      <c r="O43" s="94"/>
      <c r="P43" s="94"/>
      <c r="Q43" s="94"/>
      <c r="R43" s="94"/>
      <c r="S43" s="179"/>
      <c r="T43" s="180"/>
      <c r="U43" s="180"/>
      <c r="V43" s="180"/>
      <c r="W43" s="181"/>
      <c r="X43" s="182"/>
    </row>
    <row r="44" s="37" customFormat="1" ht="12" customHeight="1" spans="1:24">
      <c r="A44" s="98">
        <f t="shared" si="1"/>
        <v>31</v>
      </c>
      <c r="B44" s="87">
        <f>+'Extract Data'!A30</f>
        <v>44252</v>
      </c>
      <c r="C44" s="91" t="str">
        <f>IF('Extract Data'!B31="","",ROUND(+'Extract Data'!B31,3))</f>
        <v/>
      </c>
      <c r="D44" s="94" t="str">
        <f>IF('Extract Data'!C31="","",ROUND(+'Extract Data'!C31,3))</f>
        <v/>
      </c>
      <c r="E44" s="90" t="str">
        <f>IF('Extract Data'!E31="","",ROUND('Extract Data'!E31,3))</f>
        <v/>
      </c>
      <c r="F44" s="91">
        <f>+'Extract Data'!H31</f>
        <v>0</v>
      </c>
      <c r="G44" s="92"/>
      <c r="H44" s="93">
        <f t="shared" si="2"/>
        <v>0</v>
      </c>
      <c r="I44" s="150"/>
      <c r="J44" s="92"/>
      <c r="K44" s="94"/>
      <c r="L44" s="93">
        <f t="shared" si="3"/>
        <v>0</v>
      </c>
      <c r="M44" s="94"/>
      <c r="N44" s="94"/>
      <c r="O44" s="94"/>
      <c r="P44" s="94"/>
      <c r="Q44" s="94"/>
      <c r="R44" s="94"/>
      <c r="S44" s="179"/>
      <c r="T44" s="180"/>
      <c r="U44" s="180"/>
      <c r="V44" s="180"/>
      <c r="W44" s="181"/>
      <c r="X44" s="182"/>
    </row>
    <row r="45" s="37" customFormat="1" spans="1:24">
      <c r="A45" s="98">
        <f t="shared" si="1"/>
        <v>31</v>
      </c>
      <c r="B45" s="87">
        <f>+'Extract Data'!A31</f>
        <v>0</v>
      </c>
      <c r="C45" s="91" t="str">
        <f>IF('Extract Data'!B32="","",ROUND(+'Extract Data'!B32,3))</f>
        <v/>
      </c>
      <c r="D45" s="94" t="str">
        <f>IF('Extract Data'!C32="","",ROUND(+'Extract Data'!C32,3))</f>
        <v/>
      </c>
      <c r="E45" s="90" t="str">
        <f>IF('Extract Data'!E32="","",ROUND('Extract Data'!E32,3))</f>
        <v/>
      </c>
      <c r="F45" s="91">
        <v>0</v>
      </c>
      <c r="G45" s="92"/>
      <c r="H45" s="93">
        <f t="shared" si="2"/>
        <v>0</v>
      </c>
      <c r="I45" s="93"/>
      <c r="J45" s="92"/>
      <c r="K45" s="94"/>
      <c r="L45" s="93">
        <f t="shared" si="3"/>
        <v>0</v>
      </c>
      <c r="M45" s="94"/>
      <c r="N45" s="94"/>
      <c r="O45" s="94"/>
      <c r="P45" s="94"/>
      <c r="Q45" s="94"/>
      <c r="R45" s="94"/>
      <c r="S45" s="179"/>
      <c r="T45" s="180"/>
      <c r="U45" s="180"/>
      <c r="V45" s="180"/>
      <c r="W45" s="181"/>
      <c r="X45" s="182"/>
    </row>
    <row r="46" s="37" customFormat="1" ht="12" customHeight="1" spans="1:24">
      <c r="A46" s="98">
        <f t="shared" si="1"/>
        <v>31</v>
      </c>
      <c r="B46" s="87">
        <f>+'Extract Data'!A32</f>
        <v>0</v>
      </c>
      <c r="C46" s="91" t="str">
        <f>IF('Extract Data'!B33="","",ROUND(+'Extract Data'!B33,3))</f>
        <v/>
      </c>
      <c r="D46" s="94" t="str">
        <f>IF('Extract Data'!C33="","",ROUND(+'Extract Data'!C33,3))</f>
        <v/>
      </c>
      <c r="E46" s="90" t="str">
        <f>IF('Extract Data'!E33="","",ROUND('Extract Data'!E33,3))</f>
        <v/>
      </c>
      <c r="F46" s="91">
        <v>0</v>
      </c>
      <c r="G46" s="92"/>
      <c r="H46" s="93">
        <f t="shared" si="2"/>
        <v>0</v>
      </c>
      <c r="I46" s="93"/>
      <c r="J46" s="92"/>
      <c r="K46" s="94"/>
      <c r="L46" s="93">
        <f t="shared" si="3"/>
        <v>0</v>
      </c>
      <c r="M46" s="94"/>
      <c r="N46" s="94"/>
      <c r="O46" s="94"/>
      <c r="P46" s="94"/>
      <c r="Q46" s="94"/>
      <c r="R46" s="94"/>
      <c r="S46" s="179"/>
      <c r="T46" s="180"/>
      <c r="U46" s="180"/>
      <c r="V46" s="180"/>
      <c r="W46" s="181"/>
      <c r="X46" s="182"/>
    </row>
    <row r="47" s="37" customFormat="1" ht="12" customHeight="1" spans="1:24">
      <c r="A47" s="98">
        <f t="shared" si="1"/>
        <v>31</v>
      </c>
      <c r="B47" s="87">
        <f>+'Extract Data'!A33</f>
        <v>0</v>
      </c>
      <c r="C47" s="91" t="str">
        <f>IF('Extract Data'!B34="","",ROUND(+'Extract Data'!B34,3))</f>
        <v/>
      </c>
      <c r="D47" s="94" t="str">
        <f>IF('Extract Data'!C34="","",ROUND(+'Extract Data'!C34,3))</f>
        <v/>
      </c>
      <c r="E47" s="90" t="str">
        <f>IF('Extract Data'!E34="","",ROUND('Extract Data'!E34,3))</f>
        <v/>
      </c>
      <c r="F47" s="91">
        <f>+'Extract Data'!H34</f>
        <v>0</v>
      </c>
      <c r="G47" s="92"/>
      <c r="H47" s="93">
        <f t="shared" si="2"/>
        <v>0</v>
      </c>
      <c r="I47" s="93"/>
      <c r="J47" s="92"/>
      <c r="K47" s="94"/>
      <c r="L47" s="93">
        <f t="shared" si="3"/>
        <v>0</v>
      </c>
      <c r="M47" s="94"/>
      <c r="N47" s="94"/>
      <c r="O47" s="94"/>
      <c r="P47" s="94"/>
      <c r="Q47" s="94"/>
      <c r="R47" s="94"/>
      <c r="S47" s="179"/>
      <c r="T47" s="180"/>
      <c r="U47" s="180"/>
      <c r="V47" s="180"/>
      <c r="W47" s="181"/>
      <c r="X47" s="182"/>
    </row>
    <row r="48" s="37" customFormat="1" ht="12" customHeight="1" spans="1:24">
      <c r="A48" s="98">
        <f t="shared" si="1"/>
        <v>31</v>
      </c>
      <c r="B48" s="87">
        <f>+'Extract Data'!A34</f>
        <v>0</v>
      </c>
      <c r="C48" s="91" t="str">
        <f>IF('Extract Data'!B35="","",ROUND(+'Extract Data'!B35,3))</f>
        <v/>
      </c>
      <c r="D48" s="94" t="str">
        <f>IF('Extract Data'!C35="","",ROUND(+'Extract Data'!C35,3))</f>
        <v/>
      </c>
      <c r="E48" s="90" t="str">
        <f>IF('Extract Data'!E35="","",ROUND('Extract Data'!E35,3))</f>
        <v/>
      </c>
      <c r="F48" s="91">
        <f>+'Extract Data'!H35</f>
        <v>0</v>
      </c>
      <c r="G48" s="92"/>
      <c r="H48" s="93">
        <f t="shared" si="2"/>
        <v>0</v>
      </c>
      <c r="I48" s="93"/>
      <c r="J48" s="92"/>
      <c r="K48" s="94"/>
      <c r="L48" s="93">
        <f t="shared" si="3"/>
        <v>0</v>
      </c>
      <c r="M48" s="94"/>
      <c r="N48" s="94"/>
      <c r="O48" s="94"/>
      <c r="P48" s="94"/>
      <c r="Q48" s="94"/>
      <c r="R48" s="94"/>
      <c r="S48" s="179"/>
      <c r="T48" s="180"/>
      <c r="U48" s="180"/>
      <c r="V48" s="180"/>
      <c r="W48" s="181"/>
      <c r="X48" s="182"/>
    </row>
    <row r="49" s="37" customFormat="1" ht="12" customHeight="1" spans="1:24">
      <c r="A49" s="98">
        <f>IF(DAY(B49)&lt;$A$1,$A$1-1,"NA")</f>
        <v>31</v>
      </c>
      <c r="B49" s="87">
        <f>+'Extract Data'!A35</f>
        <v>0</v>
      </c>
      <c r="C49" s="91" t="str">
        <f>IF('Extract Data'!B36="","",ROUND(+'Extract Data'!B36,3))</f>
        <v/>
      </c>
      <c r="D49" s="94" t="str">
        <f>IF('Extract Data'!C36="","",ROUND(+'Extract Data'!C36,3))</f>
        <v/>
      </c>
      <c r="E49" s="90" t="str">
        <f>IF('Extract Data'!E36="","",ROUND('Extract Data'!E36,3))</f>
        <v/>
      </c>
      <c r="F49" s="91">
        <f>+'Extract Data'!H36</f>
        <v>0</v>
      </c>
      <c r="G49" s="92"/>
      <c r="H49" s="93">
        <f t="shared" si="2"/>
        <v>0</v>
      </c>
      <c r="I49" s="93"/>
      <c r="J49" s="92"/>
      <c r="K49" s="94"/>
      <c r="L49" s="93">
        <f t="shared" si="3"/>
        <v>0</v>
      </c>
      <c r="M49" s="94"/>
      <c r="N49" s="94"/>
      <c r="O49" s="94"/>
      <c r="P49" s="94"/>
      <c r="Q49" s="94"/>
      <c r="R49" s="94"/>
      <c r="S49" s="179"/>
      <c r="T49" s="180"/>
      <c r="U49" s="180"/>
      <c r="V49" s="180"/>
      <c r="W49" s="181"/>
      <c r="X49" s="182"/>
    </row>
    <row r="50" s="37" customFormat="1" ht="12" customHeight="1" spans="1:24">
      <c r="A50" s="98">
        <v>31</v>
      </c>
      <c r="B50" s="87">
        <f>+'Extract Data'!A36</f>
        <v>0</v>
      </c>
      <c r="C50" s="91" t="str">
        <f>IF('Extract Data'!B37="","",ROUND(+'Extract Data'!B37,3))</f>
        <v/>
      </c>
      <c r="D50" s="94" t="str">
        <f>IF('Extract Data'!C37="","",ROUND(+'Extract Data'!C37,3))</f>
        <v/>
      </c>
      <c r="E50" s="90" t="str">
        <f>IF('Extract Data'!E37="","",ROUND('Extract Data'!E37,3))</f>
        <v/>
      </c>
      <c r="F50" s="91">
        <f>+'Extract Data'!H37</f>
        <v>0</v>
      </c>
      <c r="G50" s="92"/>
      <c r="H50" s="93">
        <f t="shared" ref="H50" si="4">+G50-F50</f>
        <v>0</v>
      </c>
      <c r="I50" s="93"/>
      <c r="J50" s="92"/>
      <c r="K50" s="94"/>
      <c r="L50" s="93">
        <f t="shared" ref="L50" si="5">+K50-J50</f>
        <v>0</v>
      </c>
      <c r="M50" s="94"/>
      <c r="N50" s="94"/>
      <c r="O50" s="94"/>
      <c r="P50" s="94"/>
      <c r="Q50" s="94"/>
      <c r="R50" s="94"/>
      <c r="S50" s="179"/>
      <c r="T50" s="180"/>
      <c r="U50" s="180"/>
      <c r="V50" s="180"/>
      <c r="W50" s="181"/>
      <c r="X50" s="182"/>
    </row>
    <row r="51" s="37" customFormat="1" ht="12" customHeight="1" spans="1:24">
      <c r="A51" s="100"/>
      <c r="B51" s="87"/>
      <c r="C51" s="91"/>
      <c r="D51" s="94"/>
      <c r="E51" s="90"/>
      <c r="F51" s="91"/>
      <c r="G51" s="92"/>
      <c r="H51" s="93"/>
      <c r="I51" s="93"/>
      <c r="J51" s="92"/>
      <c r="K51" s="94"/>
      <c r="L51" s="93"/>
      <c r="M51" s="94"/>
      <c r="N51" s="94"/>
      <c r="O51" s="94"/>
      <c r="P51" s="94"/>
      <c r="Q51" s="94"/>
      <c r="R51" s="94"/>
      <c r="S51" s="179"/>
      <c r="T51" s="180"/>
      <c r="U51" s="180"/>
      <c r="V51" s="180"/>
      <c r="W51" s="181"/>
      <c r="X51" s="182"/>
    </row>
    <row r="52" s="37" customFormat="1" ht="12" customHeight="1" spans="1:24">
      <c r="A52" s="100"/>
      <c r="B52" s="87"/>
      <c r="C52" s="91"/>
      <c r="D52" s="94"/>
      <c r="E52" s="90"/>
      <c r="F52" s="91"/>
      <c r="G52" s="92"/>
      <c r="H52" s="93"/>
      <c r="I52" s="93"/>
      <c r="J52" s="92"/>
      <c r="K52" s="94"/>
      <c r="L52" s="93"/>
      <c r="M52" s="94"/>
      <c r="N52" s="94"/>
      <c r="O52" s="94"/>
      <c r="P52" s="94"/>
      <c r="Q52" s="94"/>
      <c r="R52" s="94"/>
      <c r="S52" s="179"/>
      <c r="T52" s="180"/>
      <c r="U52" s="180"/>
      <c r="V52" s="180"/>
      <c r="W52" s="181"/>
      <c r="X52" s="182"/>
    </row>
    <row r="53" ht="12" customHeight="1" spans="1:24">
      <c r="A53"/>
      <c r="B53" s="264" t="s">
        <v>11697</v>
      </c>
      <c r="C53" s="83">
        <f>SUMIF($A$20:$A$50,$A$1-1,C$20:C$50)</f>
        <v>6808.326</v>
      </c>
      <c r="D53" s="84">
        <f>SUMIF($A$20:$A$50,$A$1-1,D$20:D$50)</f>
        <v>67036.508</v>
      </c>
      <c r="E53" s="102">
        <f>SUMIF($A$20:$A$50,$A$1-1,E$20:E$50)</f>
        <v>16309.642</v>
      </c>
      <c r="F53" s="83">
        <f ca="1">SUMIF($A$20:$A$50,$A$1-1,F$20:F$49)</f>
        <v>0</v>
      </c>
      <c r="G53" s="84">
        <f>SUMIF($A$20:$A$50,$A$1-1,G$20:G$50)</f>
        <v>250</v>
      </c>
      <c r="H53" s="84">
        <f>SUMIF($A$20:$A$49,$A$1-1,H$20:H$49)</f>
        <v>250</v>
      </c>
      <c r="I53" s="149">
        <f>SUMIF($A$20:$A$49,$A$1-1,I$20:I$49)</f>
        <v>0</v>
      </c>
      <c r="J53" s="149">
        <f>ROUND(SUMIF($A$20:$A$50,$A$1-1,J$20:J$50),3)</f>
        <v>0</v>
      </c>
      <c r="K53" s="149">
        <f ca="1">ROUND(SUMIF($A$20:$A$50,$A$1-1,K$20:K$49),3)</f>
        <v>0</v>
      </c>
      <c r="L53" s="149">
        <f>ROUND(SUMIF($A$20:$A$49,$A$1-1,L$20:L$50),3)</f>
        <v>0</v>
      </c>
      <c r="M53" s="84">
        <f>SUM(M20:M50)</f>
        <v>0</v>
      </c>
      <c r="N53" s="84">
        <f>SUM(N20:N50)</f>
        <v>0</v>
      </c>
      <c r="O53" s="84"/>
      <c r="P53" s="84">
        <f>SUM(P20:P50)</f>
        <v>0</v>
      </c>
      <c r="Q53" s="84"/>
      <c r="R53" s="84">
        <f>SUM(R20:R50)</f>
        <v>0</v>
      </c>
      <c r="S53" s="84">
        <f>SUM(S20:S50)</f>
        <v>0</v>
      </c>
      <c r="T53" s="149">
        <f>SUMIF($A$20:$A$50,$A$1-1,T$20:T$50)</f>
        <v>0</v>
      </c>
      <c r="U53" s="149">
        <f>SUMIF($A$20:$A$50,$A$1-1,U$20:U$50)</f>
        <v>0</v>
      </c>
      <c r="V53" s="149">
        <f>SUMIF($A$20:$A$50,$A$1-1,V$20:V$50)</f>
        <v>0</v>
      </c>
      <c r="W53" s="177">
        <f>SUM(W20:W50)</f>
        <v>0</v>
      </c>
      <c r="X53" s="178">
        <f>SUMIF($A$20:$A$50,$A$1-1,X$20:X$50)</f>
        <v>0</v>
      </c>
    </row>
    <row r="54" ht="12" customHeight="1" spans="1:24">
      <c r="A54"/>
      <c r="B54" s="264" t="s">
        <v>11887</v>
      </c>
      <c r="C54" s="83"/>
      <c r="D54" s="84"/>
      <c r="E54" s="102"/>
      <c r="F54" s="83"/>
      <c r="G54" s="84"/>
      <c r="H54" s="84"/>
      <c r="I54" s="149"/>
      <c r="J54" s="149"/>
      <c r="K54" s="149"/>
      <c r="L54" s="149"/>
      <c r="M54" s="84"/>
      <c r="N54" s="84"/>
      <c r="O54" s="84"/>
      <c r="P54" s="84"/>
      <c r="Q54" s="84"/>
      <c r="R54" s="84"/>
      <c r="S54" s="84"/>
      <c r="T54" s="149"/>
      <c r="U54" s="149"/>
      <c r="V54" s="149"/>
      <c r="W54" s="177"/>
      <c r="X54" s="178">
        <f>J53*(-1)</f>
        <v>0</v>
      </c>
    </row>
    <row r="55" ht="12" customHeight="1" spans="1:24">
      <c r="A55"/>
      <c r="B55" s="264" t="s">
        <v>11888</v>
      </c>
      <c r="C55" s="103">
        <v>0</v>
      </c>
      <c r="D55" s="104">
        <f>(1.01321158878117-1)*100</f>
        <v>1.32115887811699</v>
      </c>
      <c r="E55" s="105">
        <v>0</v>
      </c>
      <c r="F55" s="103">
        <v>0</v>
      </c>
      <c r="G55" s="106">
        <v>0</v>
      </c>
      <c r="H55" s="106">
        <v>0</v>
      </c>
      <c r="I55" s="151"/>
      <c r="J55" s="151">
        <v>0</v>
      </c>
      <c r="K55" s="151">
        <v>0</v>
      </c>
      <c r="L55" s="151">
        <v>0</v>
      </c>
      <c r="M55" s="106">
        <v>0</v>
      </c>
      <c r="N55" s="106">
        <v>0</v>
      </c>
      <c r="O55" s="106"/>
      <c r="P55" s="106">
        <v>0</v>
      </c>
      <c r="Q55" s="106"/>
      <c r="R55" s="106">
        <v>0</v>
      </c>
      <c r="S55" s="106">
        <v>0</v>
      </c>
      <c r="T55" s="151">
        <v>0</v>
      </c>
      <c r="U55" s="151">
        <v>0</v>
      </c>
      <c r="V55" s="151">
        <v>0</v>
      </c>
      <c r="W55" s="184">
        <v>0</v>
      </c>
      <c r="X55" s="185">
        <v>0</v>
      </c>
    </row>
    <row r="56" ht="12" customHeight="1" spans="1:24">
      <c r="A56"/>
      <c r="B56" s="264" t="s">
        <v>11889</v>
      </c>
      <c r="C56" s="107">
        <f>+C53*C55</f>
        <v>0</v>
      </c>
      <c r="D56" s="108">
        <f>(+D53*D55)/100</f>
        <v>885.658777021607</v>
      </c>
      <c r="E56" s="109">
        <f t="shared" ref="E56:X56" si="6">+E53*E55</f>
        <v>0</v>
      </c>
      <c r="F56" s="107">
        <f ca="1" t="shared" si="6"/>
        <v>0</v>
      </c>
      <c r="G56" s="110">
        <f t="shared" si="6"/>
        <v>0</v>
      </c>
      <c r="H56" s="110">
        <f t="shared" si="6"/>
        <v>0</v>
      </c>
      <c r="I56" s="152"/>
      <c r="J56" s="152">
        <f t="shared" si="6"/>
        <v>0</v>
      </c>
      <c r="K56" s="152">
        <f ca="1" t="shared" si="6"/>
        <v>0</v>
      </c>
      <c r="L56" s="152">
        <f t="shared" si="6"/>
        <v>0</v>
      </c>
      <c r="M56" s="110">
        <f t="shared" si="6"/>
        <v>0</v>
      </c>
      <c r="N56" s="110">
        <f t="shared" si="6"/>
        <v>0</v>
      </c>
      <c r="O56" s="110"/>
      <c r="P56" s="110">
        <f t="shared" si="6"/>
        <v>0</v>
      </c>
      <c r="Q56" s="110"/>
      <c r="R56" s="110">
        <f t="shared" si="6"/>
        <v>0</v>
      </c>
      <c r="S56" s="110">
        <f t="shared" si="6"/>
        <v>0</v>
      </c>
      <c r="T56" s="152">
        <f t="shared" si="6"/>
        <v>0</v>
      </c>
      <c r="U56" s="152">
        <f t="shared" si="6"/>
        <v>0</v>
      </c>
      <c r="V56" s="152">
        <f t="shared" si="6"/>
        <v>0</v>
      </c>
      <c r="W56" s="186">
        <f t="shared" si="6"/>
        <v>0</v>
      </c>
      <c r="X56" s="187">
        <f t="shared" si="6"/>
        <v>0</v>
      </c>
    </row>
    <row r="57" ht="12" customHeight="1" spans="1:24">
      <c r="A57"/>
      <c r="B57" s="264" t="s">
        <v>11890</v>
      </c>
      <c r="C57" s="111">
        <f>+C53+C54</f>
        <v>6808.326</v>
      </c>
      <c r="D57" s="112">
        <f>D53+D56</f>
        <v>67922.1667770216</v>
      </c>
      <c r="E57" s="113">
        <f>+E53*(1+E55)</f>
        <v>16309.642</v>
      </c>
      <c r="F57" s="111">
        <f ca="1" t="shared" ref="F57:P57" si="7">+F53*(1+F55)</f>
        <v>0</v>
      </c>
      <c r="G57" s="112">
        <f t="shared" si="7"/>
        <v>250</v>
      </c>
      <c r="H57" s="112">
        <f t="shared" si="7"/>
        <v>250</v>
      </c>
      <c r="I57" s="153">
        <f>SUMIF($A$20:$A$49,$A$1-1,I$20:I$49)</f>
        <v>0</v>
      </c>
      <c r="J57" s="153">
        <f t="shared" si="7"/>
        <v>0</v>
      </c>
      <c r="K57" s="153">
        <f ca="1" t="shared" si="7"/>
        <v>0</v>
      </c>
      <c r="L57" s="153">
        <f t="shared" si="7"/>
        <v>0</v>
      </c>
      <c r="M57" s="112">
        <f t="shared" si="7"/>
        <v>0</v>
      </c>
      <c r="N57" s="112">
        <f t="shared" si="7"/>
        <v>0</v>
      </c>
      <c r="O57" s="112"/>
      <c r="P57" s="112">
        <f t="shared" si="7"/>
        <v>0</v>
      </c>
      <c r="Q57" s="112"/>
      <c r="R57" s="112">
        <f t="shared" ref="R57:W57" si="8">+R53*(1+R55)</f>
        <v>0</v>
      </c>
      <c r="S57" s="112">
        <f t="shared" si="8"/>
        <v>0</v>
      </c>
      <c r="T57" s="153">
        <f t="shared" si="8"/>
        <v>0</v>
      </c>
      <c r="U57" s="153">
        <f t="shared" si="8"/>
        <v>0</v>
      </c>
      <c r="V57" s="153">
        <f t="shared" si="8"/>
        <v>0</v>
      </c>
      <c r="W57" s="188">
        <f t="shared" si="8"/>
        <v>0</v>
      </c>
      <c r="X57" s="189">
        <f>+X53+X54</f>
        <v>0</v>
      </c>
    </row>
    <row r="58" ht="12" customHeight="1" spans="1:24">
      <c r="A58" s="114"/>
      <c r="B58" s="114"/>
      <c r="C58" s="115"/>
      <c r="D58" s="115"/>
      <c r="E58" s="115"/>
      <c r="F58" s="116"/>
      <c r="G58" s="117"/>
      <c r="H58" s="118"/>
      <c r="I58" s="118"/>
      <c r="J58" s="154"/>
      <c r="K58" s="154"/>
      <c r="L58" s="154"/>
      <c r="T58" s="116"/>
      <c r="U58" s="190"/>
      <c r="V58" s="190"/>
      <c r="X58" s="115"/>
    </row>
    <row r="59" ht="12" customHeight="1" spans="1:24">
      <c r="A59"/>
      <c r="B59" s="264" t="s">
        <v>11891</v>
      </c>
      <c r="C59" s="119" t="s">
        <v>11892</v>
      </c>
      <c r="D59" s="120" t="s">
        <v>11893</v>
      </c>
      <c r="E59" s="121" t="s">
        <v>11894</v>
      </c>
      <c r="F59" s="122"/>
      <c r="G59" s="123" t="s">
        <v>11895</v>
      </c>
      <c r="H59" s="124"/>
      <c r="I59" s="155" t="s">
        <v>11894</v>
      </c>
      <c r="J59" s="120"/>
      <c r="K59" s="120" t="s">
        <v>11894</v>
      </c>
      <c r="L59" s="120"/>
      <c r="M59" s="120" t="s">
        <v>11896</v>
      </c>
      <c r="N59" s="120" t="s">
        <v>11897</v>
      </c>
      <c r="O59" s="120"/>
      <c r="P59" s="120" t="s">
        <v>11824</v>
      </c>
      <c r="Q59" s="120"/>
      <c r="R59" s="120" t="s">
        <v>11898</v>
      </c>
      <c r="S59" s="120" t="s">
        <v>11899</v>
      </c>
      <c r="T59" s="123" t="s">
        <v>11900</v>
      </c>
      <c r="U59" s="123" t="s">
        <v>11900</v>
      </c>
      <c r="V59" s="123" t="s">
        <v>11900</v>
      </c>
      <c r="W59" s="191" t="s">
        <v>11901</v>
      </c>
      <c r="X59" s="192"/>
    </row>
    <row r="60" ht="12" customHeight="1" spans="1:24">
      <c r="A60"/>
      <c r="B60" s="264" t="s">
        <v>11902</v>
      </c>
      <c r="C60" s="125" t="s">
        <v>11678</v>
      </c>
      <c r="D60" s="126" t="s">
        <v>11678</v>
      </c>
      <c r="E60" s="127" t="s">
        <v>11678</v>
      </c>
      <c r="F60" s="128"/>
      <c r="G60" s="129" t="s">
        <v>11855</v>
      </c>
      <c r="H60" s="130"/>
      <c r="I60" s="156" t="s">
        <v>11855</v>
      </c>
      <c r="J60" s="126"/>
      <c r="K60" s="156" t="s">
        <v>11855</v>
      </c>
      <c r="L60" s="126"/>
      <c r="M60" s="126" t="s">
        <v>11855</v>
      </c>
      <c r="N60" s="126" t="s">
        <v>11855</v>
      </c>
      <c r="O60" s="126"/>
      <c r="P60" s="126" t="s">
        <v>11855</v>
      </c>
      <c r="Q60" s="126"/>
      <c r="R60" s="126" t="s">
        <v>11855</v>
      </c>
      <c r="S60" s="126" t="s">
        <v>11855</v>
      </c>
      <c r="T60" s="129" t="s">
        <v>11855</v>
      </c>
      <c r="U60" s="129" t="s">
        <v>11855</v>
      </c>
      <c r="V60" s="129" t="s">
        <v>11855</v>
      </c>
      <c r="W60" s="193" t="s">
        <v>11855</v>
      </c>
      <c r="X60" s="194"/>
    </row>
    <row r="61" ht="12" customHeight="1" spans="1:24">
      <c r="A61"/>
      <c r="B61" s="264" t="s">
        <v>11903</v>
      </c>
      <c r="C61" s="125"/>
      <c r="D61" s="126"/>
      <c r="E61" s="127"/>
      <c r="F61" s="128"/>
      <c r="G61" s="129"/>
      <c r="H61" s="130"/>
      <c r="I61" s="157"/>
      <c r="J61" s="126"/>
      <c r="K61" s="126"/>
      <c r="L61" s="126"/>
      <c r="M61" s="126"/>
      <c r="N61" s="126"/>
      <c r="O61" s="126"/>
      <c r="P61" s="126"/>
      <c r="Q61" s="126"/>
      <c r="R61" s="126"/>
      <c r="S61" s="126"/>
      <c r="T61" s="129"/>
      <c r="U61" s="129"/>
      <c r="V61" s="129"/>
      <c r="W61" s="193"/>
      <c r="X61" s="194"/>
    </row>
    <row r="62" ht="12" customHeight="1" spans="1:24">
      <c r="A62"/>
      <c r="B62" s="264" t="s">
        <v>11904</v>
      </c>
      <c r="C62" s="131"/>
      <c r="D62" s="126"/>
      <c r="E62" s="127"/>
      <c r="F62" s="128"/>
      <c r="G62" s="129"/>
      <c r="H62" s="130"/>
      <c r="I62" s="157"/>
      <c r="J62" s="126"/>
      <c r="K62" s="126"/>
      <c r="L62" s="126"/>
      <c r="M62" s="126">
        <v>0.1589873</v>
      </c>
      <c r="N62" s="126"/>
      <c r="O62" s="126"/>
      <c r="P62" s="126"/>
      <c r="Q62" s="126"/>
      <c r="R62" s="126">
        <v>0.1589873</v>
      </c>
      <c r="S62" s="126"/>
      <c r="T62" s="129"/>
      <c r="U62" s="129"/>
      <c r="V62" s="129"/>
      <c r="W62" s="193"/>
      <c r="X62" s="194"/>
    </row>
    <row r="63" ht="12" customHeight="1" spans="1:24">
      <c r="A63"/>
      <c r="B63" s="264" t="s">
        <v>11905</v>
      </c>
      <c r="C63" s="132" t="s">
        <v>11906</v>
      </c>
      <c r="D63" s="133"/>
      <c r="E63" s="134"/>
      <c r="F63" s="135"/>
      <c r="G63" s="136"/>
      <c r="H63" s="137"/>
      <c r="I63" s="158"/>
      <c r="J63" s="133"/>
      <c r="K63" s="133"/>
      <c r="L63" s="133"/>
      <c r="M63" s="133"/>
      <c r="N63" s="133"/>
      <c r="O63" s="133"/>
      <c r="P63" s="133"/>
      <c r="Q63" s="133"/>
      <c r="R63" s="133"/>
      <c r="S63" s="133"/>
      <c r="T63" s="136"/>
      <c r="U63" s="136"/>
      <c r="V63" s="136"/>
      <c r="W63" s="134"/>
      <c r="X63" s="195"/>
    </row>
    <row r="64" ht="12" customHeight="1" spans="1:24">
      <c r="A64"/>
      <c r="D64"/>
      <c r="E64"/>
      <c r="F64"/>
      <c r="G64"/>
      <c r="H64" s="1"/>
      <c r="I64"/>
      <c r="J64" s="74"/>
      <c r="K64" s="74"/>
      <c r="L64"/>
      <c r="M64" s="159"/>
      <c r="N64" s="159"/>
      <c r="O64" s="159"/>
      <c r="P64" s="159"/>
      <c r="Q64" s="159"/>
      <c r="R64" s="159"/>
      <c r="S64"/>
      <c r="T64"/>
      <c r="U64" s="196"/>
      <c r="V64" s="196"/>
      <c r="W64"/>
      <c r="X64"/>
    </row>
    <row r="65" ht="12" customHeight="1" spans="1:24">
      <c r="A65"/>
      <c r="C65" s="197"/>
      <c r="D65" s="5"/>
      <c r="E65"/>
      <c r="F65" s="198"/>
      <c r="G65" s="199"/>
      <c r="H65" s="1"/>
      <c r="I65"/>
      <c r="J65" s="74"/>
      <c r="K65" s="74"/>
      <c r="L65"/>
      <c r="M65" s="159"/>
      <c r="N65" s="159"/>
      <c r="O65" s="159"/>
      <c r="P65" s="159"/>
      <c r="Q65" s="159"/>
      <c r="R65" s="159"/>
      <c r="S65"/>
      <c r="T65"/>
      <c r="U65" s="196"/>
      <c r="V65" s="196"/>
      <c r="W65"/>
      <c r="X65"/>
    </row>
    <row r="66" ht="12" customHeight="1" spans="1:24">
      <c r="A66"/>
      <c r="B66" s="200"/>
      <c r="C66" s="197"/>
      <c r="H66" s="1"/>
      <c r="I66"/>
      <c r="J66" s="74"/>
      <c r="K66" s="74"/>
      <c r="L66"/>
      <c r="M66" s="159"/>
      <c r="N66" s="159"/>
      <c r="O66" s="159"/>
      <c r="P66" s="159"/>
      <c r="Q66" s="159"/>
      <c r="R66" s="159"/>
      <c r="S66"/>
      <c r="T66"/>
      <c r="U66" s="196"/>
      <c r="V66" s="196"/>
      <c r="W66"/>
      <c r="X66"/>
    </row>
    <row r="67" ht="12" customHeight="1" spans="1:24">
      <c r="A67"/>
      <c r="B67" s="200"/>
      <c r="H67" s="1"/>
      <c r="I67"/>
      <c r="J67" s="74"/>
      <c r="K67" s="74"/>
      <c r="L67"/>
      <c r="M67" s="159"/>
      <c r="N67" s="159"/>
      <c r="O67" s="159"/>
      <c r="P67" s="159"/>
      <c r="Q67" s="159"/>
      <c r="R67" s="159"/>
      <c r="S67"/>
      <c r="T67"/>
      <c r="U67" s="196"/>
      <c r="V67" s="196"/>
      <c r="W67"/>
      <c r="X67"/>
    </row>
    <row r="68" ht="12" customHeight="1" spans="1:24">
      <c r="A68"/>
      <c r="B68" s="200"/>
      <c r="H68" s="1"/>
      <c r="I68"/>
      <c r="J68" s="74"/>
      <c r="K68" s="74"/>
      <c r="L68"/>
      <c r="M68" s="159"/>
      <c r="N68" s="159"/>
      <c r="O68" s="159"/>
      <c r="P68" s="159"/>
      <c r="Q68" s="159"/>
      <c r="R68" s="159"/>
      <c r="S68"/>
      <c r="T68"/>
      <c r="U68" s="196"/>
      <c r="V68" s="196"/>
      <c r="W68"/>
      <c r="X68"/>
    </row>
    <row r="69" ht="12" customHeight="1" spans="1:24">
      <c r="A69"/>
      <c r="B69" s="200"/>
      <c r="H69" s="1"/>
      <c r="I69" s="201"/>
      <c r="J69" s="74"/>
      <c r="K69" s="74"/>
      <c r="L69"/>
      <c r="M69" s="159"/>
      <c r="N69" s="159"/>
      <c r="O69" s="159"/>
      <c r="P69" s="159"/>
      <c r="Q69" s="159"/>
      <c r="R69" s="159"/>
      <c r="S69"/>
      <c r="T69"/>
      <c r="U69" s="196"/>
      <c r="V69" s="196"/>
      <c r="W69"/>
      <c r="X69"/>
    </row>
    <row r="70" ht="12" customHeight="1" spans="1:24">
      <c r="A70"/>
      <c r="B70" s="200"/>
      <c r="H70" s="1"/>
      <c r="I70"/>
      <c r="J70" s="74"/>
      <c r="K70" s="74"/>
      <c r="L70"/>
      <c r="M70" s="159"/>
      <c r="N70" s="159"/>
      <c r="O70" s="159"/>
      <c r="P70" s="159"/>
      <c r="Q70" s="159"/>
      <c r="R70" s="159"/>
      <c r="S70"/>
      <c r="T70"/>
      <c r="U70" s="196"/>
      <c r="V70" s="196"/>
      <c r="W70"/>
      <c r="X70"/>
    </row>
    <row r="71" ht="12" customHeight="1" spans="1:24">
      <c r="A71"/>
      <c r="H71" s="1"/>
      <c r="I71"/>
      <c r="J71" s="74"/>
      <c r="K71" s="74"/>
      <c r="L71"/>
      <c r="M71" s="159"/>
      <c r="N71" s="159"/>
      <c r="O71" s="159"/>
      <c r="P71" s="159"/>
      <c r="Q71" s="159"/>
      <c r="R71" s="159"/>
      <c r="S71"/>
      <c r="T71"/>
      <c r="U71" s="196"/>
      <c r="V71" s="196"/>
      <c r="W71"/>
      <c r="X71"/>
    </row>
    <row r="72" ht="12" customHeight="1" spans="1:24">
      <c r="A72"/>
      <c r="D72" s="201"/>
      <c r="H72" s="1"/>
      <c r="I72" s="205"/>
      <c r="J72" s="202"/>
      <c r="K72" s="202"/>
      <c r="L72" s="74"/>
      <c r="M72" s="74"/>
      <c r="N72" s="206"/>
      <c r="O72"/>
      <c r="P72"/>
      <c r="Q72"/>
      <c r="R72"/>
      <c r="S72"/>
      <c r="T72"/>
      <c r="U72" s="214"/>
      <c r="V72" s="34"/>
      <c r="W72"/>
      <c r="X72" s="205"/>
    </row>
    <row r="73" ht="12" customHeight="1" spans="1:24">
      <c r="A73"/>
      <c r="B73"/>
      <c r="H73" s="1"/>
      <c r="I73" s="207"/>
      <c r="J73" s="207"/>
      <c r="K73" s="208"/>
      <c r="L73" s="74"/>
      <c r="M73" s="74"/>
      <c r="N73" s="202"/>
      <c r="O73"/>
      <c r="P73" s="1"/>
      <c r="Q73"/>
      <c r="R73"/>
      <c r="S73"/>
      <c r="T73" s="1"/>
      <c r="U73"/>
      <c r="V73" s="34"/>
      <c r="W73" s="74"/>
      <c r="X73" s="202"/>
    </row>
    <row r="74" ht="12" customHeight="1" spans="1:24">
      <c r="A74"/>
      <c r="B74"/>
      <c r="H74" s="1"/>
      <c r="I74" s="207"/>
      <c r="J74" s="207"/>
      <c r="K74" s="208"/>
      <c r="L74" s="74"/>
      <c r="M74" s="74"/>
      <c r="N74" s="202"/>
      <c r="O74"/>
      <c r="P74" s="1"/>
      <c r="Q74"/>
      <c r="R74"/>
      <c r="S74"/>
      <c r="T74" s="1"/>
      <c r="U74"/>
      <c r="V74" s="34"/>
      <c r="W74" s="74"/>
      <c r="X74" s="202"/>
    </row>
    <row r="75" ht="12" customHeight="1" spans="1:24">
      <c r="A75"/>
      <c r="B75"/>
      <c r="H75" s="1"/>
      <c r="I75" s="202"/>
      <c r="J75" s="202"/>
      <c r="K75" s="202"/>
      <c r="M75" s="74"/>
      <c r="N75" s="74"/>
      <c r="O75" s="209"/>
      <c r="P75"/>
      <c r="Q75"/>
      <c r="R75"/>
      <c r="T75"/>
      <c r="V75" s="74"/>
      <c r="W75" s="74"/>
      <c r="X75" s="74"/>
    </row>
    <row r="76" spans="1:24">
      <c r="A76"/>
      <c r="B76"/>
      <c r="H76" s="1"/>
      <c r="K76" s="210"/>
      <c r="L76" s="211"/>
      <c r="U76" s="215"/>
      <c r="X76" s="202"/>
    </row>
    <row r="77" spans="1:24">
      <c r="A77" s="1"/>
      <c r="B77" s="1"/>
      <c r="H77" s="1"/>
      <c r="K77" s="212"/>
      <c r="O77" s="34"/>
      <c r="P77" s="34"/>
      <c r="T77" s="34"/>
      <c r="U77" s="216"/>
      <c r="V77" s="34"/>
      <c r="X77" s="74"/>
    </row>
    <row r="78" ht="12" customHeight="1" spans="1:24">
      <c r="A78" s="1"/>
      <c r="B78" s="1"/>
      <c r="H78" s="1"/>
      <c r="K78" s="213"/>
      <c r="L78" s="115"/>
      <c r="Q78" s="115"/>
      <c r="X78" s="202"/>
    </row>
    <row r="79" spans="1:24">
      <c r="A79" s="1"/>
      <c r="B79" s="1"/>
      <c r="H79" s="1"/>
      <c r="J79" s="213"/>
      <c r="S79" s="115"/>
      <c r="U79" s="213"/>
      <c r="X79" s="74"/>
    </row>
    <row r="80" ht="13.8" spans="1:24">
      <c r="A80" s="1"/>
      <c r="B80" s="1"/>
      <c r="C80" s="197"/>
      <c r="D80"/>
      <c r="E80"/>
      <c r="H80" s="1"/>
      <c r="L80" s="115"/>
      <c r="O80" s="115"/>
      <c r="W80" s="74"/>
      <c r="X80" s="202"/>
    </row>
    <row r="81" ht="13.8" spans="1:24">
      <c r="A81" s="1"/>
      <c r="B81" s="1"/>
      <c r="C81" s="197"/>
      <c r="D81"/>
      <c r="E81"/>
      <c r="F81" s="1"/>
      <c r="G81" s="1"/>
      <c r="H81" s="1"/>
      <c r="J81" s="1"/>
      <c r="K81" s="1"/>
      <c r="L81" s="1"/>
      <c r="M81" s="1"/>
      <c r="N81" s="1"/>
      <c r="O81" s="1"/>
      <c r="P81" s="1"/>
      <c r="Q81" s="1"/>
      <c r="R81" s="1"/>
      <c r="S81" s="1"/>
      <c r="T81" s="1"/>
      <c r="U81" s="217"/>
      <c r="V81" s="1"/>
      <c r="W81" s="74"/>
      <c r="X81" s="74"/>
    </row>
    <row r="82" ht="13.8" spans="1:24">
      <c r="A82"/>
      <c r="B82"/>
      <c r="C82" s="197"/>
      <c r="D82"/>
      <c r="E82" s="202"/>
      <c r="F82"/>
      <c r="G82" s="1"/>
      <c r="H82"/>
      <c r="I82"/>
      <c r="J82"/>
      <c r="K82"/>
      <c r="L82"/>
      <c r="M82"/>
      <c r="N82"/>
      <c r="O82"/>
      <c r="P82"/>
      <c r="Q82"/>
      <c r="R82"/>
      <c r="S82"/>
      <c r="T82"/>
      <c r="U82"/>
      <c r="V82"/>
      <c r="W82" s="74"/>
      <c r="X82" s="202"/>
    </row>
    <row r="83" spans="1:24">
      <c r="A83"/>
      <c r="B83"/>
      <c r="C83"/>
      <c r="D83"/>
      <c r="E83" s="74"/>
      <c r="F83"/>
      <c r="G83" s="1"/>
      <c r="H83"/>
      <c r="I83"/>
      <c r="J83"/>
      <c r="K83"/>
      <c r="L83"/>
      <c r="M83"/>
      <c r="N83"/>
      <c r="O83"/>
      <c r="P83"/>
      <c r="Q83"/>
      <c r="R83"/>
      <c r="S83"/>
      <c r="T83"/>
      <c r="U83"/>
      <c r="V83"/>
      <c r="W83" s="74"/>
      <c r="X83" s="74"/>
    </row>
    <row r="84" spans="1:24">
      <c r="A84"/>
      <c r="B84"/>
      <c r="C84"/>
      <c r="D84"/>
      <c r="E84"/>
      <c r="F84"/>
      <c r="G84" s="1"/>
      <c r="H84"/>
      <c r="I84"/>
      <c r="J84"/>
      <c r="K84"/>
      <c r="L84"/>
      <c r="M84"/>
      <c r="N84"/>
      <c r="O84"/>
      <c r="P84"/>
      <c r="Q84"/>
      <c r="R84"/>
      <c r="S84"/>
      <c r="T84"/>
      <c r="U84"/>
      <c r="V84"/>
      <c r="W84" s="74"/>
      <c r="X84"/>
    </row>
    <row r="85" spans="1:24">
      <c r="A85"/>
      <c r="B85"/>
      <c r="C85"/>
      <c r="D85"/>
      <c r="E85"/>
      <c r="F85"/>
      <c r="G85" s="1"/>
      <c r="H85"/>
      <c r="I85"/>
      <c r="J85"/>
      <c r="K85"/>
      <c r="L85"/>
      <c r="M85"/>
      <c r="N85"/>
      <c r="O85"/>
      <c r="P85"/>
      <c r="Q85"/>
      <c r="R85"/>
      <c r="S85"/>
      <c r="T85"/>
      <c r="U85"/>
      <c r="V85"/>
      <c r="W85" s="74"/>
      <c r="X85"/>
    </row>
    <row r="86" spans="1:24">
      <c r="A86"/>
      <c r="B86"/>
      <c r="C86"/>
      <c r="D86"/>
      <c r="E86"/>
      <c r="F86"/>
      <c r="G86" s="1"/>
      <c r="H86"/>
      <c r="I86"/>
      <c r="J86"/>
      <c r="K86"/>
      <c r="L86"/>
      <c r="M86"/>
      <c r="N86"/>
      <c r="O86"/>
      <c r="P86"/>
      <c r="Q86"/>
      <c r="R86"/>
      <c r="S86"/>
      <c r="T86"/>
      <c r="U86"/>
      <c r="V86"/>
      <c r="W86" s="74"/>
      <c r="X86"/>
    </row>
    <row r="87" spans="1:24">
      <c r="A87"/>
      <c r="B87"/>
      <c r="C87"/>
      <c r="D87"/>
      <c r="E87"/>
      <c r="F87"/>
      <c r="G87" s="1"/>
      <c r="H87"/>
      <c r="I87"/>
      <c r="J87"/>
      <c r="K87"/>
      <c r="L87"/>
      <c r="M87"/>
      <c r="N87"/>
      <c r="O87"/>
      <c r="P87"/>
      <c r="Q87"/>
      <c r="R87"/>
      <c r="S87"/>
      <c r="T87"/>
      <c r="U87"/>
      <c r="V87"/>
      <c r="W87" s="74"/>
      <c r="X87"/>
    </row>
    <row r="88" spans="1:24">
      <c r="A88"/>
      <c r="B88"/>
      <c r="C88"/>
      <c r="D88"/>
      <c r="E88"/>
      <c r="F88"/>
      <c r="G88" s="1"/>
      <c r="H88"/>
      <c r="I88"/>
      <c r="J88"/>
      <c r="K88"/>
      <c r="L88"/>
      <c r="M88"/>
      <c r="N88"/>
      <c r="O88"/>
      <c r="P88"/>
      <c r="Q88"/>
      <c r="R88"/>
      <c r="S88"/>
      <c r="T88"/>
      <c r="U88"/>
      <c r="V88"/>
      <c r="W88" s="74"/>
      <c r="X88"/>
    </row>
    <row r="89" spans="1:24">
      <c r="A89"/>
      <c r="B89"/>
      <c r="C89"/>
      <c r="D89"/>
      <c r="E89"/>
      <c r="F89"/>
      <c r="G89" s="1"/>
      <c r="H89"/>
      <c r="I89"/>
      <c r="J89"/>
      <c r="K89"/>
      <c r="L89"/>
      <c r="M89"/>
      <c r="N89"/>
      <c r="O89"/>
      <c r="P89"/>
      <c r="Q89"/>
      <c r="R89"/>
      <c r="S89"/>
      <c r="T89"/>
      <c r="U89"/>
      <c r="V89"/>
      <c r="W89" s="74"/>
      <c r="X89"/>
    </row>
    <row r="90" spans="1:24">
      <c r="A90"/>
      <c r="B90"/>
      <c r="C90"/>
      <c r="D90"/>
      <c r="E90"/>
      <c r="F90"/>
      <c r="G90" s="1"/>
      <c r="H90"/>
      <c r="I90"/>
      <c r="J90"/>
      <c r="K90"/>
      <c r="L90"/>
      <c r="M90"/>
      <c r="N90"/>
      <c r="O90"/>
      <c r="P90"/>
      <c r="Q90"/>
      <c r="R90"/>
      <c r="S90"/>
      <c r="T90"/>
      <c r="U90"/>
      <c r="V90"/>
      <c r="W90" s="74"/>
      <c r="X90"/>
    </row>
    <row r="91" spans="1:24">
      <c r="A91"/>
      <c r="B91"/>
      <c r="C91"/>
      <c r="D91"/>
      <c r="E91"/>
      <c r="F91"/>
      <c r="G91" s="1"/>
      <c r="H91"/>
      <c r="I91"/>
      <c r="J91"/>
      <c r="K91"/>
      <c r="L91"/>
      <c r="M91"/>
      <c r="N91"/>
      <c r="O91"/>
      <c r="P91"/>
      <c r="Q91"/>
      <c r="R91"/>
      <c r="S91"/>
      <c r="T91"/>
      <c r="U91"/>
      <c r="V91"/>
      <c r="W91" s="74"/>
      <c r="X91"/>
    </row>
    <row r="92" spans="1:24">
      <c r="A92"/>
      <c r="B92"/>
      <c r="C92"/>
      <c r="D92"/>
      <c r="E92"/>
      <c r="F92"/>
      <c r="G92" s="1"/>
      <c r="H92"/>
      <c r="I92"/>
      <c r="J92"/>
      <c r="K92"/>
      <c r="L92"/>
      <c r="M92"/>
      <c r="N92"/>
      <c r="O92"/>
      <c r="P92"/>
      <c r="Q92"/>
      <c r="R92"/>
      <c r="S92"/>
      <c r="T92"/>
      <c r="U92"/>
      <c r="V92"/>
      <c r="W92" s="74"/>
      <c r="X92"/>
    </row>
    <row r="93" spans="1:24">
      <c r="A93"/>
      <c r="B93"/>
      <c r="C93"/>
      <c r="D93"/>
      <c r="E93"/>
      <c r="F93"/>
      <c r="G93" s="1"/>
      <c r="H93"/>
      <c r="I93"/>
      <c r="J93"/>
      <c r="K93"/>
      <c r="L93"/>
      <c r="M93"/>
      <c r="N93"/>
      <c r="O93"/>
      <c r="P93"/>
      <c r="Q93"/>
      <c r="R93"/>
      <c r="S93"/>
      <c r="T93"/>
      <c r="U93"/>
      <c r="V93"/>
      <c r="W93" s="74"/>
      <c r="X93"/>
    </row>
    <row r="94" spans="1:24">
      <c r="A94"/>
      <c r="B94"/>
      <c r="C94"/>
      <c r="D94"/>
      <c r="E94"/>
      <c r="F94"/>
      <c r="G94" s="1"/>
      <c r="H94"/>
      <c r="I94"/>
      <c r="J94"/>
      <c r="K94"/>
      <c r="L94"/>
      <c r="M94"/>
      <c r="N94"/>
      <c r="O94"/>
      <c r="P94"/>
      <c r="Q94"/>
      <c r="R94"/>
      <c r="S94"/>
      <c r="T94"/>
      <c r="U94"/>
      <c r="V94"/>
      <c r="W94" s="74"/>
      <c r="X94"/>
    </row>
    <row r="95" spans="1:24">
      <c r="A95"/>
      <c r="B95"/>
      <c r="C95"/>
      <c r="D95"/>
      <c r="E95"/>
      <c r="F95"/>
      <c r="G95" s="1"/>
      <c r="H95"/>
      <c r="I95"/>
      <c r="J95"/>
      <c r="K95"/>
      <c r="L95"/>
      <c r="M95"/>
      <c r="N95"/>
      <c r="O95"/>
      <c r="P95"/>
      <c r="Q95"/>
      <c r="R95"/>
      <c r="S95"/>
      <c r="T95"/>
      <c r="U95"/>
      <c r="V95"/>
      <c r="W95" s="74"/>
      <c r="X95"/>
    </row>
    <row r="96" spans="1:24">
      <c r="A96"/>
      <c r="B96"/>
      <c r="C96"/>
      <c r="D96"/>
      <c r="E96"/>
      <c r="F96"/>
      <c r="G96" s="1"/>
      <c r="H96"/>
      <c r="I96"/>
      <c r="J96"/>
      <c r="K96"/>
      <c r="L96"/>
      <c r="M96"/>
      <c r="N96"/>
      <c r="O96"/>
      <c r="P96"/>
      <c r="Q96"/>
      <c r="R96"/>
      <c r="S96"/>
      <c r="T96"/>
      <c r="U96"/>
      <c r="V96"/>
      <c r="W96" s="74"/>
      <c r="X96"/>
    </row>
    <row r="97" customFormat="1" spans="7:23">
      <c r="G97" s="1"/>
      <c r="W97" s="74"/>
    </row>
    <row r="109" spans="4:4">
      <c r="D109" s="203"/>
    </row>
    <row r="111" spans="4:4">
      <c r="D111" s="204"/>
    </row>
    <row r="112" spans="4:4">
      <c r="D112" s="204"/>
    </row>
    <row r="116" spans="12:12">
      <c r="L116" s="212"/>
    </row>
    <row r="117" spans="12:12">
      <c r="L117" s="212"/>
    </row>
    <row r="155" spans="11:11">
      <c r="K155" s="218"/>
    </row>
    <row r="156" spans="11:11">
      <c r="K156" s="218"/>
    </row>
    <row r="157" spans="11:11">
      <c r="K157" s="218"/>
    </row>
    <row r="158" spans="11:11">
      <c r="K158" s="218"/>
    </row>
  </sheetData>
  <customSheetViews>
    <customSheetView guid="{3590B4C8-3408-4C22-A182-96D6E61B41FC}" scale="85" showPageBreaks="1" fitToPage="1" printArea="1" hiddenRows="1" hiddenColumns="1" topLeftCell="B17">
      <selection activeCell="K69" sqref="K69"/>
      <pageMargins left="0.75" right="0.75" top="0.72" bottom="0.68" header="0.5" footer="0.33"/>
      <pageSetup paperSize="1" orientation="landscape"/>
      <headerFooter alignWithMargins="0">
        <oddHeader>&amp;C&amp;A</oddHeader>
        <oddFooter>&amp;CPage &amp;P</oddFooter>
      </headerFooter>
    </customSheetView>
    <customSheetView guid="{031350E9-2A5A-48A9-8BCD-85E50999C522}" scale="85" fitToPage="1" hiddenRows="1" hiddenColumns="1" topLeftCell="Q23">
      <selection activeCell="AC51" sqref="AC51"/>
      <pageMargins left="0.75" right="0.75" top="0.72" bottom="0.68" header="0.5" footer="0.33"/>
      <pageSetup paperSize="1" orientation="landscape"/>
      <headerFooter alignWithMargins="0">
        <oddHeader>&amp;C&amp;A</oddHeader>
        <oddFooter>&amp;CPage &amp;P</oddFooter>
      </headerFooter>
    </customSheetView>
    <customSheetView guid="{8BDDDDA7-D938-494A-80FC-9A81AD854C12}" scale="85" fitToPage="1" hiddenRows="1" hiddenColumns="1" topLeftCell="B17">
      <selection activeCell="K69" sqref="K69"/>
      <pageMargins left="0.75" right="0.75" top="0.72" bottom="0.68" header="0.5" footer="0.33"/>
      <pageSetup paperSize="1" orientation="landscape"/>
      <headerFooter alignWithMargins="0">
        <oddHeader>&amp;C&amp;A</oddHeader>
        <oddFooter>&amp;CPage &amp;P</oddFooter>
      </headerFooter>
    </customSheetView>
  </customSheetViews>
  <mergeCells count="2">
    <mergeCell ref="C17:E17"/>
    <mergeCell ref="F17:W17"/>
  </mergeCells>
  <hyperlinks>
    <hyperlink ref="C10" r:id="rId4" display="Elpidio.Guillermo-Jr@shell.com"/>
    <hyperlink ref="D10" r:id="rId4" display="Elpidio.Guillermo-Jr@shell.com"/>
    <hyperlink ref="E10" r:id="rId4" display="Elpidio.Guillermo-Jr@shell.com"/>
    <hyperlink ref="G10" r:id="rId4" display="Elpidio.Guillermo-Jr@shell.com"/>
    <hyperlink ref="I10" r:id="rId5" display="guhamel@suncor.com "/>
    <hyperlink ref="X10" r:id="rId6" display="craig.balliant@shell.com"/>
  </hyperlinks>
  <pageMargins left="0.75" right="0.75" top="0.72" bottom="0.68" header="0.5" footer="0.33"/>
  <pageSetup paperSize="1" orientation="landscape"/>
  <headerFooter alignWithMargins="0">
    <oddHeader>&amp;C&amp;A</oddHeader>
    <oddFooter>&amp;CPage &amp;P</oddFooter>
  </headerFooter>
  <ignoredErrors>
    <ignoredError sqref="A21:A22 A24:A30 A32:A48" evalError="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3590B4C8-3408-4C22-A182-96D6E61B41FC}" scale="0" showRowCol="0" outlineSymbols="0" zeroValues="0" state="hidden">
      <pageMargins left="0.75" right="0.75" top="1" bottom="1" header="0.5" footer="0.5"/>
      <printOptions gridLines="1"/>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printOptions gridLines="1"/>
      <headerFooter alignWithMargins="0">
        <oddHeader>&amp;C&amp;A</oddHeader>
        <oddFooter>&amp;CPage &amp;P</oddFooter>
      </headerFooter>
    </customSheetView>
    <customSheetView guid="{8BDDDDA7-D938-494A-80FC-9A81AD854C12}" scale="0" showRowCol="0" outlineSymbols="0" zeroValues="0" state="hidden">
      <pageMargins left="0.75" right="0.75" top="1" bottom="1" header="0.5" footer="0.5"/>
      <printOptions gridLines="1"/>
      <headerFooter alignWithMargins="0">
        <oddHeader>&amp;C&amp;A</oddHeader>
        <oddFooter>&amp;CPage &amp;P</oddFooter>
      </headerFooter>
    </customSheetView>
  </customSheetViews>
  <printOptions gridLines="1"/>
  <pageMargins left="0.75" right="0.75" top="1" bottom="1" header="0.5" footer="0.5"/>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42" name="DropDownCollector" r:id="rId3">
              <controlPr defaultSize="0">
                <anchor moveWithCells="1">
                  <from>
                    <xdr:col>34</xdr:col>
                    <xdr:colOff>0</xdr:colOff>
                    <xdr:row>23</xdr:row>
                    <xdr:rowOff>0</xdr:rowOff>
                  </from>
                  <to>
                    <xdr:col>49</xdr:col>
                    <xdr:colOff>0</xdr:colOff>
                    <xdr:row>25</xdr:row>
                    <xdr:rowOff>45720</xdr:rowOff>
                  </to>
                </anchor>
              </controlPr>
            </control>
          </mc:Choice>
        </mc:AlternateContent>
        <mc:AlternateContent xmlns:mc="http://schemas.openxmlformats.org/markup-compatibility/2006">
          <mc:Choice Requires="x14">
            <control shapeId="5130" name="NewTagListButton" r:id="rId4">
              <controlPr defaultSize="0">
                <anchor moveWithCells="1" sizeWithCells="1">
                  <from>
                    <xdr:col>50</xdr:col>
                    <xdr:colOff>0</xdr:colOff>
                    <xdr:row>23</xdr:row>
                    <xdr:rowOff>0</xdr:rowOff>
                  </from>
                  <to>
                    <xdr:col>59</xdr:col>
                    <xdr:colOff>0</xdr:colOff>
                    <xdr:row>26</xdr:row>
                    <xdr:rowOff>0</xdr:rowOff>
                  </to>
                </anchor>
              </controlPr>
            </control>
          </mc:Choice>
        </mc:AlternateContent>
        <mc:AlternateContent xmlns:mc="http://schemas.openxmlformats.org/markup-compatibility/2006">
          <mc:Choice Requires="x14">
            <control shapeId="5135" name="CheckBoxMatchCase" r:id="rId5">
              <controlPr defaultSize="0">
                <anchor moveWithCells="1">
                  <from>
                    <xdr:col>47</xdr:col>
                    <xdr:colOff>0</xdr:colOff>
                    <xdr:row>10</xdr:row>
                    <xdr:rowOff>0</xdr:rowOff>
                  </from>
                  <to>
                    <xdr:col>59</xdr:col>
                    <xdr:colOff>0</xdr:colOff>
                    <xdr:row>13</xdr:row>
                    <xdr:rowOff>7620</xdr:rowOff>
                  </to>
                </anchor>
              </controlPr>
            </control>
          </mc:Choice>
        </mc:AlternateContent>
        <mc:AlternateContent xmlns:mc="http://schemas.openxmlformats.org/markup-compatibility/2006">
          <mc:Choice Requires="x14">
            <control shapeId="5137" name="CheckBoxFindWhole" r:id="rId6">
              <controlPr defaultSize="0">
                <anchor moveWithCells="1">
                  <from>
                    <xdr:col>33</xdr:col>
                    <xdr:colOff>0</xdr:colOff>
                    <xdr:row>10</xdr:row>
                    <xdr:rowOff>0</xdr:rowOff>
                  </from>
                  <to>
                    <xdr:col>46</xdr:col>
                    <xdr:colOff>0</xdr:colOff>
                    <xdr:row>13</xdr:row>
                    <xdr:rowOff>7620</xdr:rowOff>
                  </to>
                </anchor>
              </controlPr>
            </control>
          </mc:Choice>
        </mc:AlternateContent>
        <mc:AlternateContent xmlns:mc="http://schemas.openxmlformats.org/markup-compatibility/2006">
          <mc:Choice Requires="x14">
            <control shapeId="5126" name="FindButton" r:id="rId7">
              <controlPr defaultSize="0">
                <anchor moveWithCells="1" sizeWithCells="1">
                  <from>
                    <xdr:col>35</xdr:col>
                    <xdr:colOff>0</xdr:colOff>
                    <xdr:row>14</xdr:row>
                    <xdr:rowOff>0</xdr:rowOff>
                  </from>
                  <to>
                    <xdr:col>44</xdr:col>
                    <xdr:colOff>0</xdr:colOff>
                    <xdr:row>17</xdr:row>
                    <xdr:rowOff>0</xdr:rowOff>
                  </to>
                </anchor>
              </controlPr>
            </control>
          </mc:Choice>
        </mc:AlternateContent>
        <mc:AlternateContent xmlns:mc="http://schemas.openxmlformats.org/markup-compatibility/2006">
          <mc:Choice Requires="x14">
            <control shapeId="5132" name="FindNextButton" r:id="rId8">
              <controlPr defaultSize="0">
                <anchor moveWithCells="1" sizeWithCells="1">
                  <from>
                    <xdr:col>49</xdr:col>
                    <xdr:colOff>0</xdr:colOff>
                    <xdr:row>14</xdr:row>
                    <xdr:rowOff>0</xdr:rowOff>
                  </from>
                  <to>
                    <xdr:col>58</xdr:col>
                    <xdr:colOff>0</xdr:colOff>
                    <xdr:row>17</xdr:row>
                    <xdr:rowOff>0</xdr:rowOff>
                  </to>
                </anchor>
              </controlPr>
            </control>
          </mc:Choice>
        </mc:AlternateContent>
        <mc:AlternateContent xmlns:mc="http://schemas.openxmlformats.org/markup-compatibility/2006">
          <mc:Choice Requires="x14">
            <control shapeId="5124" name="TagListBox" r:id="rId9">
              <controlPr defaultSize="0">
                <anchor moveWithCells="1">
                  <from>
                    <xdr:col>63</xdr:col>
                    <xdr:colOff>0</xdr:colOff>
                    <xdr:row>7</xdr:row>
                    <xdr:rowOff>0</xdr:rowOff>
                  </from>
                  <to>
                    <xdr:col>93</xdr:col>
                    <xdr:colOff>0</xdr:colOff>
                    <xdr:row>37</xdr:row>
                    <xdr:rowOff>7620</xdr:rowOff>
                  </to>
                </anchor>
              </controlPr>
            </control>
          </mc:Choice>
        </mc:AlternateContent>
        <mc:AlternateContent xmlns:mc="http://schemas.openxmlformats.org/markup-compatibility/2006">
          <mc:Choice Requires="x14">
            <control shapeId="5122" name="OKButton" r:id="rId10">
              <controlPr defaultSize="0">
                <anchor moveWithCells="1" sizeWithCells="1">
                  <from>
                    <xdr:col>34</xdr:col>
                    <xdr:colOff>0</xdr:colOff>
                    <xdr:row>45</xdr:row>
                    <xdr:rowOff>0</xdr:rowOff>
                  </from>
                  <to>
                    <xdr:col>43</xdr:col>
                    <xdr:colOff>0</xdr:colOff>
                    <xdr:row>48</xdr:row>
                    <xdr:rowOff>0</xdr:rowOff>
                  </to>
                </anchor>
              </controlPr>
            </control>
          </mc:Choice>
        </mc:AlternateContent>
        <mc:AlternateContent xmlns:mc="http://schemas.openxmlformats.org/markup-compatibility/2006">
          <mc:Choice Requires="x14">
            <control shapeId="5123" name="CancelButton" r:id="rId11">
              <controlPr defaultSize="0">
                <anchor moveWithCells="1" sizeWithCells="1">
                  <from>
                    <xdr:col>34</xdr:col>
                    <xdr:colOff>0</xdr:colOff>
                    <xdr:row>49</xdr:row>
                    <xdr:rowOff>0</xdr:rowOff>
                  </from>
                  <to>
                    <xdr:col>43</xdr:col>
                    <xdr:colOff>0</xdr:colOff>
                    <xdr:row>52</xdr:row>
                    <xdr:rowOff>0</xdr:rowOff>
                  </to>
                </anchor>
              </controlPr>
            </control>
          </mc:Choice>
        </mc:AlternateContent>
        <mc:AlternateContent xmlns:mc="http://schemas.openxmlformats.org/markup-compatibility/2006">
          <mc:Choice Requires="x14">
            <control shapeId="5134" name="Label 14" r:id="rId12">
              <controlPr defaultSize="0">
                <anchor moveWithCells="1">
                  <from>
                    <xdr:col>63</xdr:col>
                    <xdr:colOff>0</xdr:colOff>
                    <xdr:row>38</xdr:row>
                    <xdr:rowOff>0</xdr:rowOff>
                  </from>
                  <to>
                    <xdr:col>74</xdr:col>
                    <xdr:colOff>0</xdr:colOff>
                    <xdr:row>40</xdr:row>
                    <xdr:rowOff>30480</xdr:rowOff>
                  </to>
                </anchor>
              </controlPr>
            </control>
          </mc:Choice>
        </mc:AlternateContent>
        <mc:AlternateContent xmlns:mc="http://schemas.openxmlformats.org/markup-compatibility/2006">
          <mc:Choice Requires="x14">
            <control shapeId="5138" name="Group Box 18" r:id="rId13">
              <controlPr defaultSize="0">
                <anchor moveWithCells="1">
                  <from>
                    <xdr:col>32</xdr:col>
                    <xdr:colOff>0</xdr:colOff>
                    <xdr:row>5</xdr:row>
                    <xdr:rowOff>0</xdr:rowOff>
                  </from>
                  <to>
                    <xdr:col>61</xdr:col>
                    <xdr:colOff>0</xdr:colOff>
                    <xdr:row>19</xdr:row>
                    <xdr:rowOff>0</xdr:rowOff>
                  </to>
                </anchor>
              </controlPr>
            </control>
          </mc:Choice>
        </mc:AlternateContent>
        <mc:AlternateContent xmlns:mc="http://schemas.openxmlformats.org/markup-compatibility/2006">
          <mc:Choice Requires="x14">
            <control shapeId="5140" name="Label 20" r:id="rId14">
              <controlPr defaultSize="0">
                <anchor moveWithCells="1">
                  <from>
                    <xdr:col>63</xdr:col>
                    <xdr:colOff>0</xdr:colOff>
                    <xdr:row>44</xdr:row>
                    <xdr:rowOff>0</xdr:rowOff>
                  </from>
                  <to>
                    <xdr:col>75</xdr:col>
                    <xdr:colOff>0</xdr:colOff>
                    <xdr:row>46</xdr:row>
                    <xdr:rowOff>30480</xdr:rowOff>
                  </to>
                </anchor>
              </controlPr>
            </control>
          </mc:Choice>
        </mc:AlternateContent>
        <mc:AlternateContent xmlns:mc="http://schemas.openxmlformats.org/markup-compatibility/2006">
          <mc:Choice Requires="x14">
            <control shapeId="5144" name="Label 24" r:id="rId15">
              <controlPr defaultSize="0">
                <anchor moveWithCells="1">
                  <from>
                    <xdr:col>48</xdr:col>
                    <xdr:colOff>0</xdr:colOff>
                    <xdr:row>43</xdr:row>
                    <xdr:rowOff>0</xdr:rowOff>
                  </from>
                  <to>
                    <xdr:col>61</xdr:col>
                    <xdr:colOff>0</xdr:colOff>
                    <xdr:row>45</xdr:row>
                    <xdr:rowOff>30480</xdr:rowOff>
                  </to>
                </anchor>
              </controlPr>
            </control>
          </mc:Choice>
        </mc:AlternateContent>
        <mc:AlternateContent xmlns:mc="http://schemas.openxmlformats.org/markup-compatibility/2006">
          <mc:Choice Requires="x14">
            <control shapeId="5147" name="CopyOption" r:id="rId16">
              <controlPr defaultSize="0">
                <anchor moveWithCells="1" sizeWithCells="1">
                  <from>
                    <xdr:col>47</xdr:col>
                    <xdr:colOff>0</xdr:colOff>
                    <xdr:row>50</xdr:row>
                    <xdr:rowOff>0</xdr:rowOff>
                  </from>
                  <to>
                    <xdr:col>61</xdr:col>
                    <xdr:colOff>0</xdr:colOff>
                    <xdr:row>53</xdr:row>
                    <xdr:rowOff>0</xdr:rowOff>
                  </to>
                </anchor>
              </controlPr>
            </control>
          </mc:Choice>
        </mc:AlternateContent>
        <mc:AlternateContent xmlns:mc="http://schemas.openxmlformats.org/markup-compatibility/2006">
          <mc:Choice Requires="x14">
            <control shapeId="5150" name="FilterButton" r:id="rId17">
              <controlPr defaultSize="0">
                <anchor moveWithCells="1" sizeWithCells="1">
                  <from>
                    <xdr:col>50</xdr:col>
                    <xdr:colOff>0</xdr:colOff>
                    <xdr:row>37</xdr:row>
                    <xdr:rowOff>0</xdr:rowOff>
                  </from>
                  <to>
                    <xdr:col>59</xdr:col>
                    <xdr:colOff>0</xdr:colOff>
                    <xdr:row>40</xdr:row>
                    <xdr:rowOff>0</xdr:rowOff>
                  </to>
                </anchor>
              </controlPr>
            </control>
          </mc:Choice>
        </mc:AlternateContent>
        <mc:AlternateContent xmlns:mc="http://schemas.openxmlformats.org/markup-compatibility/2006">
          <mc:Choice Requires="x14">
            <control shapeId="5151" name="Group Box 31" r:id="rId18">
              <controlPr defaultSize="0">
                <anchor moveWithCells="1">
                  <from>
                    <xdr:col>32</xdr:col>
                    <xdr:colOff>0</xdr:colOff>
                    <xdr:row>21</xdr:row>
                    <xdr:rowOff>0</xdr:rowOff>
                  </from>
                  <to>
                    <xdr:col>61</xdr:col>
                    <xdr:colOff>0</xdr:colOff>
                    <xdr:row>33</xdr:row>
                    <xdr:rowOff>0</xdr:rowOff>
                  </to>
                </anchor>
              </controlPr>
            </control>
          </mc:Choice>
        </mc:AlternateContent>
        <mc:AlternateContent xmlns:mc="http://schemas.openxmlformats.org/markup-compatibility/2006">
          <mc:Choice Requires="x14">
            <control shapeId="5154" name="Label 34" r:id="rId19">
              <controlPr defaultSize="0">
                <anchor moveWithCells="1">
                  <from>
                    <xdr:col>63</xdr:col>
                    <xdr:colOff>0</xdr:colOff>
                    <xdr:row>4</xdr:row>
                    <xdr:rowOff>0</xdr:rowOff>
                  </from>
                  <to>
                    <xdr:col>74</xdr:col>
                    <xdr:colOff>0</xdr:colOff>
                    <xdr:row>6</xdr:row>
                    <xdr:rowOff>30480</xdr:rowOff>
                  </to>
                </anchor>
              </controlPr>
            </control>
          </mc:Choice>
        </mc:AlternateContent>
        <mc:AlternateContent xmlns:mc="http://schemas.openxmlformats.org/markup-compatibility/2006">
          <mc:Choice Requires="x14">
            <control shapeId="5155" name="Group Box 35" r:id="rId20">
              <controlPr defaultSize="0">
                <anchor moveWithCells="1">
                  <from>
                    <xdr:col>32</xdr:col>
                    <xdr:colOff>0</xdr:colOff>
                    <xdr:row>35</xdr:row>
                    <xdr:rowOff>0</xdr:rowOff>
                  </from>
                  <to>
                    <xdr:col>61</xdr:col>
                    <xdr:colOff>0</xdr:colOff>
                    <xdr:row>42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3590B4C8-3408-4C22-A182-96D6E61B41FC}" scale="0" showRowCol="0" outlineSymbols="0" zeroValues="0" state="hidden">
      <pageMargins left="0.75" right="0.75" top="1" bottom="1" header="0.5" footer="0.5"/>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headerFooter alignWithMargins="0">
        <oddHeader>&amp;C&amp;A</oddHeader>
        <oddFooter>&amp;CPage &amp;P</oddFooter>
      </headerFooter>
    </customSheetView>
    <customSheetView guid="{8BDDDDA7-D938-494A-80FC-9A81AD854C12}" scale="0" showRowCol="0" outlineSymbols="0" zeroValues="0" state="hidden">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46" name="Button 2" r:id="rId3">
              <controlPr defaultSize="0">
                <anchor moveWithCells="1" sizeWithCells="1">
                  <from>
                    <xdr:col>46</xdr:col>
                    <xdr:colOff>0</xdr:colOff>
                    <xdr:row>6</xdr:row>
                    <xdr:rowOff>0</xdr:rowOff>
                  </from>
                  <to>
                    <xdr:col>56</xdr:col>
                    <xdr:colOff>0</xdr:colOff>
                    <xdr:row>9</xdr:row>
                    <xdr:rowOff>0</xdr:rowOff>
                  </to>
                </anchor>
              </controlPr>
            </control>
          </mc:Choice>
        </mc:AlternateContent>
        <mc:AlternateContent xmlns:mc="http://schemas.openxmlformats.org/markup-compatibility/2006">
          <mc:Choice Requires="x14">
            <control shapeId="6147" name="Button 3" r:id="rId4">
              <controlPr defaultSize="0">
                <anchor moveWithCells="1" sizeWithCells="1">
                  <from>
                    <xdr:col>46</xdr:col>
                    <xdr:colOff>0</xdr:colOff>
                    <xdr:row>10</xdr:row>
                    <xdr:rowOff>0</xdr:rowOff>
                  </from>
                  <to>
                    <xdr:col>56</xdr:col>
                    <xdr:colOff>0</xdr:colOff>
                    <xdr:row>13</xdr:row>
                    <xdr:rowOff>0</xdr:rowOff>
                  </to>
                </anchor>
              </controlPr>
            </control>
          </mc:Choice>
        </mc:AlternateContent>
        <mc:AlternateContent xmlns:mc="http://schemas.openxmlformats.org/markup-compatibility/2006">
          <mc:Choice Requires="x14">
            <control shapeId="6149" name="Label 5" r:id="rId5">
              <controlPr defaultSize="0">
                <anchor moveWithCells="1">
                  <from>
                    <xdr:col>18</xdr:col>
                    <xdr:colOff>0</xdr:colOff>
                    <xdr:row>10</xdr:row>
                    <xdr:rowOff>0</xdr:rowOff>
                  </from>
                  <to>
                    <xdr:col>27</xdr:col>
                    <xdr:colOff>0</xdr:colOff>
                    <xdr:row>12</xdr:row>
                    <xdr:rowOff>30480</xdr:rowOff>
                  </to>
                </anchor>
              </controlPr>
            </control>
          </mc:Choice>
        </mc:AlternateContent>
        <mc:AlternateContent xmlns:mc="http://schemas.openxmlformats.org/markup-compatibility/2006">
          <mc:Choice Requires="x14">
            <control shapeId="6150" name="Label 6" r:id="rId6">
              <controlPr defaultSize="0">
                <anchor moveWithCells="1">
                  <from>
                    <xdr:col>18</xdr:col>
                    <xdr:colOff>0</xdr:colOff>
                    <xdr:row>7</xdr:row>
                    <xdr:rowOff>0</xdr:rowOff>
                  </from>
                  <to>
                    <xdr:col>27</xdr:col>
                    <xdr:colOff>0</xdr:colOff>
                    <xdr:row>9</xdr:row>
                    <xdr:rowOff>30480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D40"/>
  <sheetViews>
    <sheetView topLeftCell="B1" workbookViewId="0">
      <selection activeCell="A2" sqref="A2"/>
    </sheetView>
  </sheetViews>
  <sheetFormatPr defaultColWidth="9" defaultRowHeight="13.2" outlineLevelCol="3"/>
  <cols>
    <col min="1" max="1" width="16.7222222222222" style="32" customWidth="1"/>
    <col min="2" max="2" width="65.4537037037037" style="32" customWidth="1"/>
    <col min="3" max="3" width="11.7222222222222" style="32" customWidth="1"/>
    <col min="4" max="4" width="47.5462962962963" style="32" customWidth="1"/>
    <col min="5" max="5" width="9.17592592592593" style="32"/>
  </cols>
  <sheetData>
    <row r="1" spans="1:4">
      <c r="A1" s="32" t="s">
        <v>11907</v>
      </c>
      <c r="B1" s="32" t="s">
        <v>11908</v>
      </c>
      <c r="C1" s="32" t="s">
        <v>11909</v>
      </c>
      <c r="D1" s="32" t="s">
        <v>11908</v>
      </c>
    </row>
    <row r="2" spans="1:4">
      <c r="A2" s="32" t="s">
        <v>11910</v>
      </c>
      <c r="B2" s="32" t="s">
        <v>11911</v>
      </c>
      <c r="C2" s="32" t="s">
        <v>11912</v>
      </c>
      <c r="D2" s="32" t="s">
        <v>11913</v>
      </c>
    </row>
    <row r="3" spans="1:4">
      <c r="A3" s="32" t="s">
        <v>11914</v>
      </c>
      <c r="B3" s="32" t="s">
        <v>11915</v>
      </c>
      <c r="C3" s="32" t="s">
        <v>11916</v>
      </c>
      <c r="D3" s="32" t="s">
        <v>11917</v>
      </c>
    </row>
    <row r="4" spans="1:4">
      <c r="A4" s="32" t="s">
        <v>11918</v>
      </c>
      <c r="B4" s="32" t="s">
        <v>11919</v>
      </c>
      <c r="C4" s="32" t="s">
        <v>11920</v>
      </c>
      <c r="D4" s="32" t="s">
        <v>11921</v>
      </c>
    </row>
    <row r="5" spans="1:4">
      <c r="A5" s="32" t="s">
        <v>11922</v>
      </c>
      <c r="B5" s="32" t="s">
        <v>11923</v>
      </c>
      <c r="C5" s="32" t="s">
        <v>11924</v>
      </c>
      <c r="D5" s="32" t="s">
        <v>11925</v>
      </c>
    </row>
    <row r="6" spans="1:4">
      <c r="A6" s="32" t="s">
        <v>5432</v>
      </c>
      <c r="B6" s="32" t="s">
        <v>11926</v>
      </c>
      <c r="C6" s="32" t="s">
        <v>11927</v>
      </c>
      <c r="D6" s="32" t="s">
        <v>11928</v>
      </c>
    </row>
    <row r="7" spans="1:4">
      <c r="A7" s="32" t="s">
        <v>11929</v>
      </c>
      <c r="B7" s="32" t="s">
        <v>11930</v>
      </c>
      <c r="C7" s="32" t="s">
        <v>11931</v>
      </c>
      <c r="D7" s="32" t="s">
        <v>11932</v>
      </c>
    </row>
    <row r="8" spans="1:4">
      <c r="A8" s="32" t="s">
        <v>6516</v>
      </c>
      <c r="B8" s="32" t="s">
        <v>11933</v>
      </c>
      <c r="C8" s="32" t="s">
        <v>11934</v>
      </c>
      <c r="D8" s="32" t="s">
        <v>11935</v>
      </c>
    </row>
    <row r="9" spans="1:4">
      <c r="A9" s="32" t="s">
        <v>11936</v>
      </c>
      <c r="B9" s="32" t="s">
        <v>11937</v>
      </c>
      <c r="C9" s="32" t="s">
        <v>11938</v>
      </c>
      <c r="D9" s="32" t="s">
        <v>11939</v>
      </c>
    </row>
    <row r="10" spans="1:4">
      <c r="A10" s="32" t="s">
        <v>11940</v>
      </c>
      <c r="B10" s="32" t="s">
        <v>11941</v>
      </c>
      <c r="C10" s="32" t="s">
        <v>11942</v>
      </c>
      <c r="D10" s="32" t="s">
        <v>11943</v>
      </c>
    </row>
    <row r="11" spans="1:4">
      <c r="A11" s="32" t="s">
        <v>11944</v>
      </c>
      <c r="B11" s="32" t="s">
        <v>11937</v>
      </c>
      <c r="C11" s="32" t="s">
        <v>11945</v>
      </c>
      <c r="D11" s="32" t="s">
        <v>11946</v>
      </c>
    </row>
    <row r="12" spans="1:4">
      <c r="A12" s="32" t="s">
        <v>11947</v>
      </c>
      <c r="B12" s="32" t="s">
        <v>11937</v>
      </c>
      <c r="C12" s="32" t="s">
        <v>11948</v>
      </c>
      <c r="D12" s="32" t="s">
        <v>11949</v>
      </c>
    </row>
    <row r="13" spans="1:4">
      <c r="A13" s="32" t="s">
        <v>11950</v>
      </c>
      <c r="B13" s="32" t="s">
        <v>11951</v>
      </c>
      <c r="C13" s="32" t="s">
        <v>11952</v>
      </c>
      <c r="D13" s="32" t="s">
        <v>11953</v>
      </c>
    </row>
    <row r="14" spans="1:4">
      <c r="A14" s="32" t="s">
        <v>9601</v>
      </c>
      <c r="B14" s="32" t="s">
        <v>11954</v>
      </c>
      <c r="C14" s="32" t="s">
        <v>11955</v>
      </c>
      <c r="D14" s="32" t="s">
        <v>11956</v>
      </c>
    </row>
    <row r="15" spans="1:4">
      <c r="A15" s="32" t="s">
        <v>11957</v>
      </c>
      <c r="B15" s="32" t="s">
        <v>11958</v>
      </c>
      <c r="C15" s="32" t="s">
        <v>11959</v>
      </c>
      <c r="D15" s="32" t="s">
        <v>11960</v>
      </c>
    </row>
    <row r="16" spans="1:4">
      <c r="A16" s="32" t="s">
        <v>11961</v>
      </c>
      <c r="B16" s="32" t="s">
        <v>11962</v>
      </c>
      <c r="C16" s="32" t="s">
        <v>11963</v>
      </c>
      <c r="D16" s="32" t="s">
        <v>11964</v>
      </c>
    </row>
    <row r="17" spans="1:4">
      <c r="A17" s="32" t="s">
        <v>10336</v>
      </c>
      <c r="B17" s="32" t="s">
        <v>11965</v>
      </c>
      <c r="C17" s="32" t="s">
        <v>11966</v>
      </c>
      <c r="D17" s="32" t="s">
        <v>11967</v>
      </c>
    </row>
    <row r="18" spans="1:4">
      <c r="A18" s="32" t="s">
        <v>11968</v>
      </c>
      <c r="B18" s="32" t="s">
        <v>11962</v>
      </c>
      <c r="C18" s="32" t="s">
        <v>11969</v>
      </c>
      <c r="D18" s="32" t="s">
        <v>11970</v>
      </c>
    </row>
    <row r="19" spans="1:4">
      <c r="A19" s="32" t="s">
        <v>11971</v>
      </c>
      <c r="B19" s="32" t="s">
        <v>11962</v>
      </c>
      <c r="C19" s="32" t="s">
        <v>11972</v>
      </c>
      <c r="D19" s="32" t="s">
        <v>11973</v>
      </c>
    </row>
    <row r="20" spans="1:4">
      <c r="A20" s="32" t="s">
        <v>11974</v>
      </c>
      <c r="B20" s="32" t="s">
        <v>11962</v>
      </c>
      <c r="C20" s="32" t="s">
        <v>11975</v>
      </c>
      <c r="D20" s="32" t="s">
        <v>11976</v>
      </c>
    </row>
    <row r="21" spans="1:4">
      <c r="A21" s="32" t="s">
        <v>11977</v>
      </c>
      <c r="B21" s="32" t="s">
        <v>11978</v>
      </c>
      <c r="C21" s="32" t="s">
        <v>11979</v>
      </c>
      <c r="D21" s="32" t="s">
        <v>11980</v>
      </c>
    </row>
    <row r="22" spans="3:4">
      <c r="C22" s="32" t="s">
        <v>11981</v>
      </c>
      <c r="D22" s="32" t="s">
        <v>11982</v>
      </c>
    </row>
    <row r="23" spans="3:4">
      <c r="C23" s="32" t="s">
        <v>11983</v>
      </c>
      <c r="D23" s="32" t="s">
        <v>11984</v>
      </c>
    </row>
    <row r="24" spans="3:4">
      <c r="C24" s="32" t="s">
        <v>11985</v>
      </c>
      <c r="D24" s="32" t="s">
        <v>11986</v>
      </c>
    </row>
    <row r="25" spans="3:4">
      <c r="C25" s="32" t="s">
        <v>11987</v>
      </c>
      <c r="D25" s="32" t="s">
        <v>11988</v>
      </c>
    </row>
    <row r="26" spans="3:4">
      <c r="C26" s="32" t="s">
        <v>11989</v>
      </c>
      <c r="D26" s="32" t="s">
        <v>11990</v>
      </c>
    </row>
    <row r="27" spans="3:4">
      <c r="C27" s="32" t="s">
        <v>11991</v>
      </c>
      <c r="D27" s="32" t="s">
        <v>11992</v>
      </c>
    </row>
    <row r="28" spans="3:4">
      <c r="C28" s="32" t="s">
        <v>11993</v>
      </c>
      <c r="D28" s="32" t="s">
        <v>11994</v>
      </c>
    </row>
    <row r="29" spans="3:4">
      <c r="C29" s="32" t="s">
        <v>11995</v>
      </c>
      <c r="D29" s="32" t="s">
        <v>11996</v>
      </c>
    </row>
    <row r="30" spans="3:4">
      <c r="C30" s="32" t="s">
        <v>11997</v>
      </c>
      <c r="D30" s="32" t="s">
        <v>11998</v>
      </c>
    </row>
    <row r="31" spans="3:4">
      <c r="C31" s="32" t="s">
        <v>11999</v>
      </c>
      <c r="D31" s="32" t="s">
        <v>12000</v>
      </c>
    </row>
    <row r="32" spans="3:4">
      <c r="C32" s="32" t="s">
        <v>12001</v>
      </c>
      <c r="D32" s="32" t="s">
        <v>12002</v>
      </c>
    </row>
    <row r="33" spans="3:4">
      <c r="C33" s="32" t="s">
        <v>12003</v>
      </c>
      <c r="D33" s="32" t="s">
        <v>12004</v>
      </c>
    </row>
    <row r="34" spans="3:4">
      <c r="C34" s="32" t="s">
        <v>12005</v>
      </c>
      <c r="D34" s="32" t="s">
        <v>12006</v>
      </c>
    </row>
    <row r="35" spans="3:4">
      <c r="C35" s="32" t="s">
        <v>12007</v>
      </c>
      <c r="D35" s="32" t="s">
        <v>12008</v>
      </c>
    </row>
    <row r="36" spans="3:4">
      <c r="C36" s="32" t="s">
        <v>12009</v>
      </c>
      <c r="D36" s="32" t="s">
        <v>12010</v>
      </c>
    </row>
    <row r="37" spans="3:4">
      <c r="C37" s="32" t="s">
        <v>12011</v>
      </c>
      <c r="D37" s="32" t="s">
        <v>12012</v>
      </c>
    </row>
    <row r="38" spans="3:4">
      <c r="C38" s="32" t="s">
        <v>12013</v>
      </c>
      <c r="D38" s="32" t="s">
        <v>12014</v>
      </c>
    </row>
    <row r="39" spans="3:4">
      <c r="C39" s="32" t="s">
        <v>12015</v>
      </c>
      <c r="D39" s="32" t="s">
        <v>12016</v>
      </c>
    </row>
    <row r="40" spans="3:4">
      <c r="C40" s="32" t="s">
        <v>12017</v>
      </c>
      <c r="D40" s="32" t="s">
        <v>12018</v>
      </c>
    </row>
  </sheetData>
  <customSheetViews>
    <customSheetView guid="{3590B4C8-3408-4C22-A182-96D6E61B41FC}" state="hidden" topLeftCell="B1">
      <selection activeCell="A2" sqref="A2"/>
      <pageMargins left="0.75" right="0.75" top="1" bottom="1" header="0.5" footer="0.5"/>
      <headerFooter alignWithMargins="0">
        <oddHeader>&amp;C&amp;A</oddHeader>
        <oddFooter>&amp;CPage &amp;P</oddFooter>
      </headerFooter>
    </customSheetView>
    <customSheetView guid="{031350E9-2A5A-48A9-8BCD-85E50999C522}" state="hidden" topLeftCell="B1">
      <selection activeCell="A2" sqref="A2"/>
      <pageMargins left="0.75" right="0.75" top="1" bottom="1" header="0.5" footer="0.5"/>
      <headerFooter alignWithMargins="0">
        <oddHeader>&amp;C&amp;A</oddHeader>
        <oddFooter>&amp;CPage &amp;P</oddFooter>
      </headerFooter>
    </customSheetView>
    <customSheetView guid="{8BDDDDA7-D938-494A-80FC-9A81AD854C12}" state="hidden" topLeftCell="B1">
      <selection activeCell="A2" sqref="A2"/>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T50"/>
  <sheetViews>
    <sheetView topLeftCell="A7" workbookViewId="0">
      <selection activeCell="L8" sqref="L8:L33"/>
    </sheetView>
  </sheetViews>
  <sheetFormatPr defaultColWidth="9.17592592592593" defaultRowHeight="13.2"/>
  <cols>
    <col min="1" max="3" width="18.1759259259259" customWidth="1"/>
    <col min="4" max="4" width="10.5462962962963" customWidth="1"/>
    <col min="5" max="6" width="9.81481481481481" customWidth="1"/>
    <col min="8" max="8" width="8.5462962962963" customWidth="1"/>
    <col min="10" max="10" width="6.72222222222222" customWidth="1"/>
    <col min="11" max="11" width="90" customWidth="1"/>
    <col min="12" max="12" width="23.4537037037037" customWidth="1"/>
    <col min="15" max="15" width="12.1759259259259" customWidth="1"/>
    <col min="16" max="17" width="9.81481481481481" customWidth="1"/>
  </cols>
  <sheetData>
    <row r="1" spans="1:8">
      <c r="A1" s="5" t="s">
        <v>12019</v>
      </c>
      <c r="B1" s="6"/>
      <c r="C1" s="6"/>
      <c r="D1" s="6"/>
      <c r="E1" s="6"/>
      <c r="F1" s="6"/>
      <c r="G1" s="6"/>
      <c r="H1" s="6"/>
    </row>
    <row r="2" spans="1:8">
      <c r="A2" s="6" t="s">
        <v>12020</v>
      </c>
      <c r="B2" s="6"/>
      <c r="C2" s="6"/>
      <c r="D2" s="6"/>
      <c r="E2" s="6"/>
      <c r="F2" s="6"/>
      <c r="G2" s="6"/>
      <c r="H2" s="6"/>
    </row>
    <row r="3" spans="1:12">
      <c r="A3" s="6" t="s">
        <v>12021</v>
      </c>
      <c r="B3" s="6"/>
      <c r="C3" s="6"/>
      <c r="D3" s="6"/>
      <c r="E3" s="6"/>
      <c r="F3" s="6"/>
      <c r="G3" s="6"/>
      <c r="H3" s="6"/>
      <c r="L3" s="6" t="s">
        <v>12022</v>
      </c>
    </row>
    <row r="4" spans="1:12">
      <c r="A4" s="6" t="s">
        <v>12023</v>
      </c>
      <c r="B4" s="6"/>
      <c r="C4" s="6"/>
      <c r="D4" s="6"/>
      <c r="E4" s="6"/>
      <c r="F4" s="6"/>
      <c r="G4" s="6"/>
      <c r="H4" s="6"/>
      <c r="L4" s="1"/>
    </row>
    <row r="5" s="4" customFormat="1" ht="52.8" spans="1:19">
      <c r="A5" s="7"/>
      <c r="B5" s="7" t="s">
        <v>12024</v>
      </c>
      <c r="C5" s="7" t="s">
        <v>12025</v>
      </c>
      <c r="E5" s="7" t="s">
        <v>12026</v>
      </c>
      <c r="H5" s="7" t="s">
        <v>12027</v>
      </c>
      <c r="L5" s="7"/>
      <c r="M5" s="7" t="s">
        <v>12024</v>
      </c>
      <c r="N5" s="7" t="s">
        <v>12025</v>
      </c>
      <c r="P5" s="7" t="s">
        <v>12026</v>
      </c>
      <c r="S5" s="7" t="s">
        <v>12027</v>
      </c>
    </row>
    <row r="6" spans="1:20">
      <c r="A6" s="8" t="s">
        <v>11805</v>
      </c>
      <c r="B6" s="9" t="s">
        <v>11806</v>
      </c>
      <c r="C6" s="9" t="s">
        <v>11807</v>
      </c>
      <c r="D6" s="9" t="s">
        <v>11808</v>
      </c>
      <c r="E6" s="9" t="s">
        <v>11809</v>
      </c>
      <c r="F6" s="9" t="s">
        <v>11810</v>
      </c>
      <c r="G6" s="9" t="s">
        <v>11811</v>
      </c>
      <c r="H6" s="9" t="s">
        <v>11812</v>
      </c>
      <c r="I6" s="9" t="s">
        <v>11813</v>
      </c>
      <c r="L6" s="8" t="s">
        <v>11805</v>
      </c>
      <c r="M6" s="9" t="s">
        <v>11806</v>
      </c>
      <c r="N6" s="9" t="s">
        <v>11807</v>
      </c>
      <c r="O6" s="9" t="s">
        <v>11808</v>
      </c>
      <c r="P6" s="9" t="s">
        <v>11809</v>
      </c>
      <c r="Q6" s="9" t="s">
        <v>11810</v>
      </c>
      <c r="R6" s="9" t="s">
        <v>11811</v>
      </c>
      <c r="S6" s="9" t="s">
        <v>11812</v>
      </c>
      <c r="T6" s="9" t="s">
        <v>11813</v>
      </c>
    </row>
    <row r="7" ht="33.6" spans="1:20">
      <c r="A7" s="10"/>
      <c r="B7" s="11" t="s">
        <v>11814</v>
      </c>
      <c r="C7" s="11" t="s">
        <v>11815</v>
      </c>
      <c r="D7" s="11" t="s">
        <v>11816</v>
      </c>
      <c r="E7" s="12" t="s">
        <v>11817</v>
      </c>
      <c r="F7" s="12" t="s">
        <v>11818</v>
      </c>
      <c r="G7" s="12" t="s">
        <v>11819</v>
      </c>
      <c r="H7" s="12" t="s">
        <v>11820</v>
      </c>
      <c r="I7" s="12" t="s">
        <v>11821</v>
      </c>
      <c r="L7" s="10"/>
      <c r="M7" s="11" t="s">
        <v>11814</v>
      </c>
      <c r="N7" s="11" t="s">
        <v>11815</v>
      </c>
      <c r="O7" s="11" t="s">
        <v>11816</v>
      </c>
      <c r="P7" s="12" t="s">
        <v>11817</v>
      </c>
      <c r="Q7" s="12" t="s">
        <v>11818</v>
      </c>
      <c r="R7" s="12" t="s">
        <v>11819</v>
      </c>
      <c r="S7" s="12" t="s">
        <v>11820</v>
      </c>
      <c r="T7" s="12" t="s">
        <v>11821</v>
      </c>
    </row>
    <row r="8" spans="1:20">
      <c r="A8" s="13">
        <v>43405</v>
      </c>
      <c r="B8" s="14">
        <v>337.286609973179</v>
      </c>
      <c r="C8" s="14">
        <v>2605.07129126655</v>
      </c>
      <c r="D8" s="14">
        <v>513946.023263888</v>
      </c>
      <c r="E8" s="14">
        <v>1033.88596513536</v>
      </c>
      <c r="F8" s="14">
        <v>2614.38577592638</v>
      </c>
      <c r="G8" s="14">
        <v>0</v>
      </c>
      <c r="H8" s="14">
        <v>0</v>
      </c>
      <c r="I8" s="14">
        <v>7.64666703939416</v>
      </c>
      <c r="L8" s="13">
        <v>43408</v>
      </c>
      <c r="M8" s="14">
        <v>0</v>
      </c>
      <c r="N8" s="14">
        <v>2939.12991943359</v>
      </c>
      <c r="O8" s="14">
        <v>522742.21875</v>
      </c>
      <c r="P8" s="14">
        <v>0</v>
      </c>
      <c r="Q8" s="14">
        <v>2949.28857014974</v>
      </c>
      <c r="R8" s="14">
        <v>0</v>
      </c>
      <c r="S8" s="14">
        <v>0</v>
      </c>
      <c r="T8" s="14">
        <v>8.14000042279561</v>
      </c>
    </row>
    <row r="9" spans="1:20">
      <c r="A9" s="15">
        <v>43406</v>
      </c>
      <c r="B9" s="14">
        <v>0</v>
      </c>
      <c r="C9" s="14">
        <v>2779.95878397624</v>
      </c>
      <c r="D9" s="14">
        <v>517373.702951388</v>
      </c>
      <c r="E9" s="14">
        <v>5000.09974602593</v>
      </c>
      <c r="F9" s="14">
        <v>2790.64008246528</v>
      </c>
      <c r="G9" s="14">
        <v>0</v>
      </c>
      <c r="H9" s="14">
        <v>0</v>
      </c>
      <c r="I9" s="14">
        <v>7.5250003516672</v>
      </c>
      <c r="J9" s="29">
        <v>41579</v>
      </c>
      <c r="K9" s="1" t="s">
        <v>12028</v>
      </c>
      <c r="L9" s="15">
        <v>43408.0416666667</v>
      </c>
      <c r="M9" s="14">
        <v>0</v>
      </c>
      <c r="N9" s="14">
        <v>2938.66920572917</v>
      </c>
      <c r="O9" s="14">
        <v>522742.21875</v>
      </c>
      <c r="P9" s="14">
        <v>0</v>
      </c>
      <c r="Q9" s="14">
        <v>2948.09966634115</v>
      </c>
      <c r="R9" s="14">
        <v>0</v>
      </c>
      <c r="S9" s="14">
        <v>0</v>
      </c>
      <c r="T9" s="14">
        <v>8.00000040531159</v>
      </c>
    </row>
    <row r="10" spans="1:20">
      <c r="A10" s="15">
        <v>43407</v>
      </c>
      <c r="B10" s="14">
        <v>0</v>
      </c>
      <c r="C10" s="14">
        <v>2940.3863249037</v>
      </c>
      <c r="D10" s="14">
        <v>521919.450151898</v>
      </c>
      <c r="E10" s="14">
        <v>2868.49571916262</v>
      </c>
      <c r="F10" s="14">
        <v>2949.9781914605</v>
      </c>
      <c r="G10" s="14">
        <v>0</v>
      </c>
      <c r="H10" s="14">
        <v>0</v>
      </c>
      <c r="I10" s="14">
        <v>7.77916704912964</v>
      </c>
      <c r="J10" s="29">
        <v>41580</v>
      </c>
      <c r="K10" s="1" t="s">
        <v>12028</v>
      </c>
      <c r="L10" s="15">
        <v>43408.0416666667</v>
      </c>
      <c r="M10" s="14">
        <v>0</v>
      </c>
      <c r="N10" s="14">
        <v>2942.91990152995</v>
      </c>
      <c r="O10" s="14">
        <v>522742.21875</v>
      </c>
      <c r="P10" s="14">
        <v>0</v>
      </c>
      <c r="Q10" s="14">
        <v>2946.89017333984</v>
      </c>
      <c r="R10" s="14">
        <v>0</v>
      </c>
      <c r="S10" s="14">
        <v>0</v>
      </c>
      <c r="T10" s="14">
        <v>7.60000033378601</v>
      </c>
    </row>
    <row r="11" ht="13.95" spans="1:20">
      <c r="A11" s="13">
        <v>43408</v>
      </c>
      <c r="B11" s="14">
        <v>0</v>
      </c>
      <c r="C11" s="14">
        <v>2939.61879492865</v>
      </c>
      <c r="D11" s="14">
        <v>522742.218749982</v>
      </c>
      <c r="E11" s="14">
        <v>0</v>
      </c>
      <c r="F11" s="14">
        <v>2949.76927998861</v>
      </c>
      <c r="G11" s="14">
        <v>0</v>
      </c>
      <c r="H11" s="14">
        <v>0</v>
      </c>
      <c r="I11" s="14">
        <v>7.85500039656941</v>
      </c>
      <c r="J11" s="20">
        <v>41946</v>
      </c>
      <c r="K11" s="1" t="s">
        <v>12028</v>
      </c>
      <c r="L11" s="13">
        <v>43408.0833333333</v>
      </c>
      <c r="M11" s="14">
        <v>0</v>
      </c>
      <c r="N11" s="14">
        <v>2936.42471923828</v>
      </c>
      <c r="O11" s="14">
        <v>522742.21875</v>
      </c>
      <c r="P11" s="14">
        <v>0</v>
      </c>
      <c r="Q11" s="14">
        <v>2949.23188069661</v>
      </c>
      <c r="R11" s="14">
        <v>0</v>
      </c>
      <c r="S11" s="14">
        <v>0</v>
      </c>
      <c r="T11" s="14">
        <v>7.22000029087067</v>
      </c>
    </row>
    <row r="12" ht="13.95" spans="1:20">
      <c r="A12" s="26">
        <v>43409.9583333333</v>
      </c>
      <c r="B12" s="27">
        <f>M34</f>
        <v>0</v>
      </c>
      <c r="C12" s="27">
        <f t="shared" ref="C12:I12" si="0">N34</f>
        <v>3060.89676462809</v>
      </c>
      <c r="D12" s="27">
        <f t="shared" si="0"/>
        <v>544523.14453125</v>
      </c>
      <c r="E12" s="27">
        <f t="shared" si="0"/>
        <v>0</v>
      </c>
      <c r="F12" s="27">
        <f t="shared" si="0"/>
        <v>3071.28960503472</v>
      </c>
      <c r="G12" s="27">
        <f t="shared" si="0"/>
        <v>0</v>
      </c>
      <c r="H12" s="27">
        <f t="shared" si="0"/>
        <v>0</v>
      </c>
      <c r="I12" s="27">
        <f t="shared" si="0"/>
        <v>8.61916710800595</v>
      </c>
      <c r="J12" s="30">
        <v>41582</v>
      </c>
      <c r="K12" s="6" t="s">
        <v>12029</v>
      </c>
      <c r="L12" s="13">
        <v>43408.125</v>
      </c>
      <c r="M12" s="14">
        <v>0</v>
      </c>
      <c r="N12" s="14">
        <v>2941.18993733724</v>
      </c>
      <c r="O12" s="14">
        <v>522742.21875</v>
      </c>
      <c r="P12" s="14">
        <v>0</v>
      </c>
      <c r="Q12" s="14">
        <v>2948.68464355469</v>
      </c>
      <c r="R12" s="14">
        <v>0</v>
      </c>
      <c r="S12" s="14">
        <v>0</v>
      </c>
      <c r="T12" s="14">
        <v>8.32000047365824</v>
      </c>
    </row>
    <row r="13" spans="1:20">
      <c r="A13" s="15">
        <v>43410</v>
      </c>
      <c r="B13" s="14">
        <v>0</v>
      </c>
      <c r="C13" s="14">
        <v>2939.49379543728</v>
      </c>
      <c r="D13" s="14">
        <v>523268.761631938</v>
      </c>
      <c r="E13" s="14">
        <v>2295.17708413866</v>
      </c>
      <c r="F13" s="14">
        <v>2950.29734039307</v>
      </c>
      <c r="G13" s="14">
        <v>0</v>
      </c>
      <c r="H13" s="14">
        <v>0</v>
      </c>
      <c r="I13" s="14">
        <v>8.14000042776251</v>
      </c>
      <c r="J13" s="30">
        <v>41583</v>
      </c>
      <c r="K13" s="6" t="s">
        <v>12030</v>
      </c>
      <c r="L13" s="13">
        <v>43408.1666666667</v>
      </c>
      <c r="M13" s="14">
        <v>0</v>
      </c>
      <c r="N13" s="14">
        <v>2938.30560302734</v>
      </c>
      <c r="O13" s="14">
        <v>522742.21875</v>
      </c>
      <c r="P13" s="14">
        <v>0</v>
      </c>
      <c r="Q13" s="14">
        <v>2949.06655273437</v>
      </c>
      <c r="R13" s="14">
        <v>0</v>
      </c>
      <c r="S13" s="14">
        <v>0</v>
      </c>
      <c r="T13" s="14">
        <v>8.22000041802724</v>
      </c>
    </row>
    <row r="14" spans="1:20">
      <c r="A14" s="15">
        <v>43411</v>
      </c>
      <c r="B14" s="14">
        <v>0</v>
      </c>
      <c r="C14" s="14">
        <v>2939.375519477</v>
      </c>
      <c r="D14" s="14">
        <v>527536.860937495</v>
      </c>
      <c r="E14" s="14">
        <v>4999.66565856934</v>
      </c>
      <c r="F14" s="14">
        <v>2949.52045288086</v>
      </c>
      <c r="G14" s="14">
        <v>0</v>
      </c>
      <c r="H14" s="14">
        <v>0</v>
      </c>
      <c r="I14" s="14">
        <v>7.91333374612845</v>
      </c>
      <c r="J14" s="29">
        <v>41584</v>
      </c>
      <c r="K14" s="1" t="s">
        <v>12031</v>
      </c>
      <c r="L14" s="13">
        <v>43408.2083333333</v>
      </c>
      <c r="M14" s="14">
        <v>0</v>
      </c>
      <c r="N14" s="14">
        <v>2938.19995524089</v>
      </c>
      <c r="O14" s="14">
        <v>522742.21875</v>
      </c>
      <c r="P14" s="14">
        <v>0</v>
      </c>
      <c r="Q14" s="14">
        <v>2948.59169108073</v>
      </c>
      <c r="R14" s="14">
        <v>0</v>
      </c>
      <c r="S14" s="14">
        <v>0</v>
      </c>
      <c r="T14" s="14">
        <v>8.50000046094259</v>
      </c>
    </row>
    <row r="15" spans="1:20">
      <c r="A15" s="13">
        <v>43412</v>
      </c>
      <c r="B15" s="14">
        <v>0</v>
      </c>
      <c r="C15" s="14">
        <v>2938.07099117703</v>
      </c>
      <c r="D15" s="14">
        <v>532341.446093735</v>
      </c>
      <c r="E15" s="14">
        <v>3602.18704155816</v>
      </c>
      <c r="F15" s="14">
        <v>2948.09541320801</v>
      </c>
      <c r="G15" s="14">
        <v>0</v>
      </c>
      <c r="H15" s="14">
        <v>0</v>
      </c>
      <c r="I15" s="14">
        <v>8.2325004276301</v>
      </c>
      <c r="J15" s="20">
        <v>41585</v>
      </c>
      <c r="K15" s="1" t="s">
        <v>12031</v>
      </c>
      <c r="L15" s="15">
        <v>43408.25</v>
      </c>
      <c r="M15" s="14">
        <v>0</v>
      </c>
      <c r="N15" s="14">
        <v>2940.48740641276</v>
      </c>
      <c r="O15" s="14">
        <v>522742.21875</v>
      </c>
      <c r="P15" s="14">
        <v>0</v>
      </c>
      <c r="Q15" s="14">
        <v>2951.08166503906</v>
      </c>
      <c r="R15" s="14">
        <v>0</v>
      </c>
      <c r="S15" s="14">
        <v>0</v>
      </c>
      <c r="T15" s="14">
        <v>8.5200004418691</v>
      </c>
    </row>
    <row r="16" spans="1:20">
      <c r="A16" s="13">
        <v>43413</v>
      </c>
      <c r="B16" s="14">
        <v>0</v>
      </c>
      <c r="C16" s="14">
        <v>2939.54177246094</v>
      </c>
      <c r="D16" s="14">
        <v>533638.93749998</v>
      </c>
      <c r="E16" s="14">
        <v>0</v>
      </c>
      <c r="F16" s="14">
        <v>2949.16874576144</v>
      </c>
      <c r="G16" s="14">
        <v>0</v>
      </c>
      <c r="H16" s="14">
        <v>0</v>
      </c>
      <c r="I16" s="14">
        <v>8.44083377023528</v>
      </c>
      <c r="J16" s="20">
        <v>41586</v>
      </c>
      <c r="K16" s="1" t="s">
        <v>12031</v>
      </c>
      <c r="L16" s="15">
        <v>43408.2916666667</v>
      </c>
      <c r="M16" s="14">
        <v>0</v>
      </c>
      <c r="N16" s="14">
        <v>2936.30647379557</v>
      </c>
      <c r="O16" s="14">
        <v>522742.21875</v>
      </c>
      <c r="P16" s="14">
        <v>0</v>
      </c>
      <c r="Q16" s="14">
        <v>2946.22533365885</v>
      </c>
      <c r="R16" s="14">
        <v>0</v>
      </c>
      <c r="S16" s="14">
        <v>0</v>
      </c>
      <c r="T16" s="14">
        <v>8.14000039895376</v>
      </c>
    </row>
    <row r="17" spans="1:20">
      <c r="A17" s="13">
        <v>43414</v>
      </c>
      <c r="B17" s="14">
        <v>0</v>
      </c>
      <c r="C17" s="14">
        <v>2937.98021731906</v>
      </c>
      <c r="D17" s="14">
        <v>533706.754861102</v>
      </c>
      <c r="E17" s="14">
        <v>735.188094711304</v>
      </c>
      <c r="F17" s="14">
        <v>2947.65339355469</v>
      </c>
      <c r="G17" s="14">
        <v>0</v>
      </c>
      <c r="H17" s="14">
        <v>0</v>
      </c>
      <c r="I17" s="14">
        <v>8.70916711323784</v>
      </c>
      <c r="J17" s="20">
        <v>41587</v>
      </c>
      <c r="K17" s="1" t="s">
        <v>12031</v>
      </c>
      <c r="L17" s="13">
        <v>43408.3333333333</v>
      </c>
      <c r="M17" s="14">
        <v>0</v>
      </c>
      <c r="N17" s="14">
        <v>2933.69924723307</v>
      </c>
      <c r="O17" s="14">
        <v>522742.21875</v>
      </c>
      <c r="P17" s="14">
        <v>0</v>
      </c>
      <c r="Q17" s="14">
        <v>2948.29269205729</v>
      </c>
      <c r="R17" s="14">
        <v>0</v>
      </c>
      <c r="S17" s="14">
        <v>0</v>
      </c>
      <c r="T17" s="14">
        <v>8.50000046094259</v>
      </c>
    </row>
    <row r="18" spans="1:20">
      <c r="A18" s="13">
        <v>43415</v>
      </c>
      <c r="B18" s="14">
        <v>0</v>
      </c>
      <c r="C18" s="14">
        <v>2932.8350156996</v>
      </c>
      <c r="D18" s="14">
        <v>536375.507769098</v>
      </c>
      <c r="E18" s="14">
        <v>4000.15593651665</v>
      </c>
      <c r="F18" s="14">
        <v>2942.9755730523</v>
      </c>
      <c r="G18" s="14">
        <v>0</v>
      </c>
      <c r="H18" s="14">
        <v>0</v>
      </c>
      <c r="I18" s="14">
        <v>9.3016670760181</v>
      </c>
      <c r="J18" s="20">
        <v>41588</v>
      </c>
      <c r="K18" s="1" t="s">
        <v>12031</v>
      </c>
      <c r="L18" s="13">
        <v>43408.375</v>
      </c>
      <c r="M18" s="14">
        <v>0</v>
      </c>
      <c r="N18" s="14">
        <v>2938.14180094401</v>
      </c>
      <c r="O18" s="14">
        <v>522742.21875</v>
      </c>
      <c r="P18" s="14">
        <v>0</v>
      </c>
      <c r="Q18" s="14">
        <v>2948.65973307292</v>
      </c>
      <c r="R18" s="14">
        <v>0</v>
      </c>
      <c r="S18" s="14">
        <v>0</v>
      </c>
      <c r="T18" s="14">
        <v>8.2800004084905</v>
      </c>
    </row>
    <row r="19" spans="1:20">
      <c r="A19" s="13">
        <v>43416</v>
      </c>
      <c r="B19" s="14">
        <v>0</v>
      </c>
      <c r="C19" s="14">
        <v>2933.60642038981</v>
      </c>
      <c r="D19" s="14">
        <v>540285.319314236</v>
      </c>
      <c r="E19" s="14">
        <v>3151.2516720242</v>
      </c>
      <c r="F19" s="14">
        <v>2943.65816226536</v>
      </c>
      <c r="G19" s="14">
        <v>0</v>
      </c>
      <c r="H19" s="14">
        <v>0</v>
      </c>
      <c r="I19" s="14">
        <v>9.44916706946159</v>
      </c>
      <c r="J19" s="20">
        <v>41589</v>
      </c>
      <c r="K19" s="1" t="s">
        <v>12031</v>
      </c>
      <c r="L19" s="15">
        <v>43408.4166666667</v>
      </c>
      <c r="M19" s="14">
        <v>0</v>
      </c>
      <c r="N19" s="14">
        <v>2940.33595377604</v>
      </c>
      <c r="O19" s="14">
        <v>522742.21875</v>
      </c>
      <c r="P19" s="14">
        <v>0</v>
      </c>
      <c r="Q19" s="14">
        <v>2949.19104410807</v>
      </c>
      <c r="R19" s="14">
        <v>0</v>
      </c>
      <c r="S19" s="14">
        <v>0</v>
      </c>
      <c r="T19" s="14">
        <v>8.54000044663747</v>
      </c>
    </row>
    <row r="20" spans="1:20">
      <c r="A20" s="15">
        <v>43417</v>
      </c>
      <c r="B20" s="14">
        <v>0</v>
      </c>
      <c r="C20" s="14">
        <v>2934.19777306451</v>
      </c>
      <c r="D20" s="14">
        <v>541526.125</v>
      </c>
      <c r="E20" s="14">
        <v>0</v>
      </c>
      <c r="F20" s="14">
        <v>2943.72233937581</v>
      </c>
      <c r="G20" s="14">
        <v>0</v>
      </c>
      <c r="H20" s="14">
        <v>0</v>
      </c>
      <c r="I20" s="14">
        <v>9.41583374175757</v>
      </c>
      <c r="J20" s="20">
        <v>41590</v>
      </c>
      <c r="K20" s="1" t="s">
        <v>12031</v>
      </c>
      <c r="L20" s="15">
        <v>43408.4583333333</v>
      </c>
      <c r="M20" s="14">
        <v>0</v>
      </c>
      <c r="N20" s="14">
        <v>2937.50962727865</v>
      </c>
      <c r="O20" s="14">
        <v>522742.21875</v>
      </c>
      <c r="P20" s="14">
        <v>0</v>
      </c>
      <c r="Q20" s="14">
        <v>2949.67443033854</v>
      </c>
      <c r="R20" s="14">
        <v>0</v>
      </c>
      <c r="S20" s="14">
        <v>0</v>
      </c>
      <c r="T20" s="14">
        <v>8.42000041802724</v>
      </c>
    </row>
    <row r="21" spans="1:20">
      <c r="A21" s="15">
        <v>43418</v>
      </c>
      <c r="B21" s="14">
        <v>0</v>
      </c>
      <c r="C21" s="14">
        <v>2931.78715532091</v>
      </c>
      <c r="D21" s="14">
        <v>541526.125</v>
      </c>
      <c r="E21" s="14">
        <v>0</v>
      </c>
      <c r="F21" s="14">
        <v>2941.5250588311</v>
      </c>
      <c r="G21" s="14">
        <v>0</v>
      </c>
      <c r="H21" s="14">
        <v>0</v>
      </c>
      <c r="I21" s="14">
        <v>9.36916708085269</v>
      </c>
      <c r="J21" s="20">
        <v>41591</v>
      </c>
      <c r="K21" s="1" t="s">
        <v>12031</v>
      </c>
      <c r="L21" s="15">
        <v>43408.5</v>
      </c>
      <c r="M21" s="14">
        <v>0</v>
      </c>
      <c r="N21" s="14">
        <v>2937.30544840495</v>
      </c>
      <c r="O21" s="14">
        <v>522742.21875</v>
      </c>
      <c r="P21" s="14">
        <v>0</v>
      </c>
      <c r="Q21" s="14">
        <v>2947.36670735677</v>
      </c>
      <c r="R21" s="14">
        <v>0</v>
      </c>
      <c r="S21" s="14">
        <v>0</v>
      </c>
      <c r="T21" s="14">
        <v>8.1600004196167</v>
      </c>
    </row>
    <row r="22" spans="1:20">
      <c r="A22" s="15">
        <v>43419</v>
      </c>
      <c r="B22" s="14">
        <v>0</v>
      </c>
      <c r="C22" s="14">
        <v>2932.18275400798</v>
      </c>
      <c r="D22" s="14">
        <v>541526.125</v>
      </c>
      <c r="E22" s="14">
        <v>0</v>
      </c>
      <c r="F22" s="14">
        <v>2942.26019015843</v>
      </c>
      <c r="G22" s="14">
        <v>0</v>
      </c>
      <c r="H22" s="14">
        <v>0</v>
      </c>
      <c r="I22" s="14">
        <v>9.3875004092852</v>
      </c>
      <c r="J22" s="20">
        <v>41592</v>
      </c>
      <c r="K22" s="1" t="s">
        <v>12031</v>
      </c>
      <c r="L22" s="15">
        <v>43408.5416666667</v>
      </c>
      <c r="M22" s="14">
        <v>0</v>
      </c>
      <c r="N22" s="14">
        <v>2939.40028076172</v>
      </c>
      <c r="O22" s="14">
        <v>522742.21875</v>
      </c>
      <c r="P22" s="14">
        <v>0</v>
      </c>
      <c r="Q22" s="14">
        <v>2948.96298828125</v>
      </c>
      <c r="R22" s="14">
        <v>0</v>
      </c>
      <c r="S22" s="14">
        <v>0</v>
      </c>
      <c r="T22" s="14">
        <v>8.3800004084905</v>
      </c>
    </row>
    <row r="23" spans="1:20">
      <c r="A23" s="15">
        <v>43420</v>
      </c>
      <c r="B23" s="14">
        <v>253.454322385607</v>
      </c>
      <c r="C23" s="14">
        <v>2931.80356038411</v>
      </c>
      <c r="D23" s="14">
        <v>541526.125</v>
      </c>
      <c r="E23" s="14">
        <v>0</v>
      </c>
      <c r="F23" s="14">
        <v>2941.54198811849</v>
      </c>
      <c r="G23" s="14">
        <v>0</v>
      </c>
      <c r="H23" s="14">
        <v>0</v>
      </c>
      <c r="I23" s="14">
        <v>9.39333374434043</v>
      </c>
      <c r="J23" s="20">
        <v>41593</v>
      </c>
      <c r="K23" s="1" t="s">
        <v>12031</v>
      </c>
      <c r="L23" s="15">
        <v>43408.5833333333</v>
      </c>
      <c r="M23" s="14">
        <v>0</v>
      </c>
      <c r="N23" s="14">
        <v>2937.91580810547</v>
      </c>
      <c r="O23" s="14">
        <v>522742.21875</v>
      </c>
      <c r="P23" s="14">
        <v>0</v>
      </c>
      <c r="Q23" s="14">
        <v>2948.76275634766</v>
      </c>
      <c r="R23" s="14">
        <v>0</v>
      </c>
      <c r="S23" s="14">
        <v>0</v>
      </c>
      <c r="T23" s="14">
        <v>8.64000045458476</v>
      </c>
    </row>
    <row r="24" spans="1:20">
      <c r="A24" s="13">
        <v>43421</v>
      </c>
      <c r="B24" s="28">
        <v>798.547216033936</v>
      </c>
      <c r="C24" s="14">
        <v>2932.42393663194</v>
      </c>
      <c r="D24" s="14">
        <v>541526.125</v>
      </c>
      <c r="E24" s="14">
        <v>0</v>
      </c>
      <c r="F24" s="14">
        <v>2942.16693132189</v>
      </c>
      <c r="G24" s="14">
        <v>0</v>
      </c>
      <c r="H24" s="14">
        <v>0</v>
      </c>
      <c r="I24" s="14">
        <v>9.210833766063</v>
      </c>
      <c r="J24" s="20">
        <v>41594</v>
      </c>
      <c r="K24" s="1" t="s">
        <v>12031</v>
      </c>
      <c r="L24" s="15">
        <v>43408.625</v>
      </c>
      <c r="M24" s="14">
        <v>0</v>
      </c>
      <c r="N24" s="14">
        <v>2940.00024007161</v>
      </c>
      <c r="O24" s="14">
        <v>522742.21875</v>
      </c>
      <c r="P24" s="14">
        <v>0</v>
      </c>
      <c r="Q24" s="14">
        <v>2948.11400553385</v>
      </c>
      <c r="R24" s="14">
        <v>0</v>
      </c>
      <c r="S24" s="14">
        <v>0</v>
      </c>
      <c r="T24" s="14">
        <v>8.58000045617421</v>
      </c>
    </row>
    <row r="25" spans="1:20">
      <c r="A25" s="13">
        <v>43422</v>
      </c>
      <c r="B25" s="14">
        <v>378.827389935652</v>
      </c>
      <c r="C25" s="14">
        <v>2933.57276272244</v>
      </c>
      <c r="D25" s="14">
        <v>542085.159939237</v>
      </c>
      <c r="E25" s="14">
        <v>2588.89285070631</v>
      </c>
      <c r="F25" s="14">
        <v>2944.06143595377</v>
      </c>
      <c r="G25" s="14">
        <v>0</v>
      </c>
      <c r="H25" s="14">
        <v>0</v>
      </c>
      <c r="I25" s="14">
        <v>9.07750043902126</v>
      </c>
      <c r="J25" s="20">
        <v>41595</v>
      </c>
      <c r="K25" s="1" t="s">
        <v>12031</v>
      </c>
      <c r="L25" s="15">
        <v>43408.6666666667</v>
      </c>
      <c r="M25" s="14">
        <v>0</v>
      </c>
      <c r="N25" s="14">
        <v>2938.04693196615</v>
      </c>
      <c r="O25" s="14">
        <v>522742.21875</v>
      </c>
      <c r="P25" s="14">
        <v>0</v>
      </c>
      <c r="Q25" s="14">
        <v>2950.40186767578</v>
      </c>
      <c r="R25" s="14">
        <v>0</v>
      </c>
      <c r="S25" s="14">
        <v>0</v>
      </c>
      <c r="T25" s="14">
        <v>8.46000043551127</v>
      </c>
    </row>
    <row r="26" spans="1:20">
      <c r="A26" s="15">
        <v>43423</v>
      </c>
      <c r="B26" s="14">
        <v>0</v>
      </c>
      <c r="C26" s="14">
        <v>2934.17384813096</v>
      </c>
      <c r="D26" s="14">
        <v>547115.473177083</v>
      </c>
      <c r="E26" s="14">
        <v>6000.07526855468</v>
      </c>
      <c r="F26" s="14">
        <v>2944.63071339925</v>
      </c>
      <c r="G26" s="14">
        <v>0</v>
      </c>
      <c r="H26" s="14">
        <v>0</v>
      </c>
      <c r="I26" s="14">
        <v>9.10833377672561</v>
      </c>
      <c r="J26" s="20">
        <v>41596</v>
      </c>
      <c r="K26" s="1" t="s">
        <v>12031</v>
      </c>
      <c r="L26" s="15">
        <v>43408.7083333333</v>
      </c>
      <c r="M26" s="14">
        <v>0</v>
      </c>
      <c r="N26" s="14">
        <v>2939.60728352865</v>
      </c>
      <c r="O26" s="14">
        <v>522742.21875</v>
      </c>
      <c r="P26" s="14">
        <v>0</v>
      </c>
      <c r="Q26" s="14">
        <v>2947.46547851562</v>
      </c>
      <c r="R26" s="14">
        <v>0</v>
      </c>
      <c r="S26" s="14">
        <v>0</v>
      </c>
      <c r="T26" s="14">
        <v>8.2200004418691</v>
      </c>
    </row>
    <row r="27" spans="1:20">
      <c r="A27" s="15">
        <v>43424</v>
      </c>
      <c r="B27" s="14">
        <v>5.13197543720404e-5</v>
      </c>
      <c r="C27" s="14">
        <v>2346.18642781575</v>
      </c>
      <c r="D27" s="14">
        <v>551161.880295139</v>
      </c>
      <c r="E27" s="14">
        <v>1158.76866175334</v>
      </c>
      <c r="F27" s="14">
        <v>2354.68645434909</v>
      </c>
      <c r="G27" s="14">
        <v>0</v>
      </c>
      <c r="H27" s="14">
        <v>0</v>
      </c>
      <c r="I27" s="14">
        <v>9.11666710575416</v>
      </c>
      <c r="J27" s="20">
        <v>41597</v>
      </c>
      <c r="K27" s="1" t="s">
        <v>12031</v>
      </c>
      <c r="L27" s="15">
        <v>43408.75</v>
      </c>
      <c r="M27" s="14">
        <v>0</v>
      </c>
      <c r="N27" s="14">
        <v>2939.36251220703</v>
      </c>
      <c r="O27" s="14">
        <v>522742.21875</v>
      </c>
      <c r="P27" s="14">
        <v>0</v>
      </c>
      <c r="Q27" s="14">
        <v>2949.84729817708</v>
      </c>
      <c r="R27" s="14">
        <v>0</v>
      </c>
      <c r="S27" s="14">
        <v>0</v>
      </c>
      <c r="T27" s="14">
        <v>8.34000043869019</v>
      </c>
    </row>
    <row r="28" spans="1:20">
      <c r="A28" s="15">
        <v>43425</v>
      </c>
      <c r="B28" s="14">
        <v>0</v>
      </c>
      <c r="C28" s="14">
        <v>1691.45866656833</v>
      </c>
      <c r="D28" s="14">
        <v>551273.75</v>
      </c>
      <c r="E28" s="14">
        <v>0</v>
      </c>
      <c r="F28" s="14">
        <v>1699.20227033827</v>
      </c>
      <c r="G28" s="14">
        <v>0</v>
      </c>
      <c r="H28" s="14">
        <v>0</v>
      </c>
      <c r="I28" s="14">
        <v>9.03833377791769</v>
      </c>
      <c r="J28" s="20">
        <v>41598</v>
      </c>
      <c r="K28" s="1" t="s">
        <v>12031</v>
      </c>
      <c r="L28" s="15">
        <v>43408.7916666667</v>
      </c>
      <c r="M28" s="14">
        <v>0</v>
      </c>
      <c r="N28" s="14">
        <v>2937.7270711263</v>
      </c>
      <c r="O28" s="14">
        <v>522742.21875</v>
      </c>
      <c r="P28" s="14">
        <v>0</v>
      </c>
      <c r="Q28" s="14">
        <v>2947.28606363932</v>
      </c>
      <c r="R28" s="14">
        <v>0</v>
      </c>
      <c r="S28" s="14">
        <v>0</v>
      </c>
      <c r="T28" s="14">
        <v>8.42000044981639</v>
      </c>
    </row>
    <row r="29" spans="1:20">
      <c r="A29" s="15">
        <v>43426</v>
      </c>
      <c r="B29" s="14">
        <v>0</v>
      </c>
      <c r="C29" s="14">
        <v>1701.92505849202</v>
      </c>
      <c r="D29" s="14">
        <v>551273.75</v>
      </c>
      <c r="E29" s="14">
        <v>0</v>
      </c>
      <c r="F29" s="14">
        <v>1709.95885035197</v>
      </c>
      <c r="G29" s="14">
        <v>0</v>
      </c>
      <c r="H29" s="14">
        <v>0</v>
      </c>
      <c r="I29" s="14">
        <v>8.98500044014713</v>
      </c>
      <c r="J29" s="20">
        <v>41599</v>
      </c>
      <c r="K29" s="1" t="s">
        <v>12031</v>
      </c>
      <c r="L29" s="15">
        <v>43408.8333333333</v>
      </c>
      <c r="M29" s="14">
        <v>0</v>
      </c>
      <c r="N29" s="14">
        <v>2937.58296305339</v>
      </c>
      <c r="O29" s="14">
        <v>522742.21875</v>
      </c>
      <c r="P29" s="14">
        <v>0</v>
      </c>
      <c r="Q29" s="14">
        <v>2949.04971110026</v>
      </c>
      <c r="R29" s="14">
        <v>0</v>
      </c>
      <c r="S29" s="14">
        <v>0</v>
      </c>
      <c r="T29" s="14">
        <v>8.12000043392181</v>
      </c>
    </row>
    <row r="30" spans="1:20">
      <c r="A30" s="15">
        <v>43427</v>
      </c>
      <c r="B30" s="14">
        <v>144.804344818327</v>
      </c>
      <c r="C30" s="14">
        <v>2501.69149231381</v>
      </c>
      <c r="D30" s="14">
        <v>551273.75</v>
      </c>
      <c r="E30" s="14">
        <v>0</v>
      </c>
      <c r="F30" s="14">
        <v>2515.21167555915</v>
      </c>
      <c r="G30" s="14">
        <v>0</v>
      </c>
      <c r="H30" s="14">
        <v>0</v>
      </c>
      <c r="I30" s="14">
        <v>9.16333376665905</v>
      </c>
      <c r="J30" s="20">
        <v>41600</v>
      </c>
      <c r="K30" s="1" t="s">
        <v>12031</v>
      </c>
      <c r="L30" s="15">
        <v>43408.875</v>
      </c>
      <c r="M30" s="14">
        <v>0</v>
      </c>
      <c r="N30" s="14">
        <v>2938.32706705729</v>
      </c>
      <c r="O30" s="14">
        <v>522742.21875</v>
      </c>
      <c r="P30" s="14">
        <v>0</v>
      </c>
      <c r="Q30" s="14">
        <v>2946.88756510417</v>
      </c>
      <c r="R30" s="14">
        <v>0</v>
      </c>
      <c r="S30" s="14">
        <v>0</v>
      </c>
      <c r="T30" s="14">
        <v>8.26000041166941</v>
      </c>
    </row>
    <row r="31" spans="1:20">
      <c r="A31" s="13">
        <v>43428</v>
      </c>
      <c r="B31" s="14">
        <v>793.750927522448</v>
      </c>
      <c r="C31" s="14">
        <v>2934.00323554145</v>
      </c>
      <c r="D31" s="14">
        <v>551273.75</v>
      </c>
      <c r="E31" s="14">
        <v>0</v>
      </c>
      <c r="F31" s="14">
        <v>2943.29672834609</v>
      </c>
      <c r="G31" s="14">
        <v>0</v>
      </c>
      <c r="H31" s="14">
        <v>0</v>
      </c>
      <c r="I31" s="14">
        <v>9.07000043955107</v>
      </c>
      <c r="J31" s="20">
        <v>41601</v>
      </c>
      <c r="K31" s="1" t="s">
        <v>12031</v>
      </c>
      <c r="L31" s="15">
        <v>43408.9166666667</v>
      </c>
      <c r="M31" s="14">
        <v>0</v>
      </c>
      <c r="N31" s="14">
        <v>2936.97299397786</v>
      </c>
      <c r="O31" s="14">
        <v>522742.21875</v>
      </c>
      <c r="P31" s="14">
        <v>0</v>
      </c>
      <c r="Q31" s="14">
        <v>2948.07867838542</v>
      </c>
      <c r="R31" s="14">
        <v>0</v>
      </c>
      <c r="S31" s="14">
        <v>0</v>
      </c>
      <c r="T31" s="14">
        <v>8.5400004307429</v>
      </c>
    </row>
    <row r="32" spans="1:20">
      <c r="A32" s="15">
        <v>43429</v>
      </c>
      <c r="B32" s="14">
        <v>683.9508574451</v>
      </c>
      <c r="C32" s="14">
        <v>2933.68676401774</v>
      </c>
      <c r="D32" s="14">
        <v>551303.099522569</v>
      </c>
      <c r="E32" s="14">
        <v>541.517737494575</v>
      </c>
      <c r="F32" s="14">
        <v>2942.62487403022</v>
      </c>
      <c r="G32" s="14">
        <v>0</v>
      </c>
      <c r="H32" s="14">
        <v>0</v>
      </c>
      <c r="I32" s="14">
        <v>8.85916712118511</v>
      </c>
      <c r="J32" s="20">
        <v>41602</v>
      </c>
      <c r="K32" s="1" t="s">
        <v>12031</v>
      </c>
      <c r="L32" s="15">
        <v>43408.9583333333</v>
      </c>
      <c r="M32" s="14">
        <v>0</v>
      </c>
      <c r="N32" s="14">
        <v>2939.7758992513</v>
      </c>
      <c r="O32" s="14">
        <v>522742.21875</v>
      </c>
      <c r="P32" s="14">
        <v>0</v>
      </c>
      <c r="Q32" s="14">
        <v>2948.2864461263</v>
      </c>
      <c r="R32" s="14">
        <v>0</v>
      </c>
      <c r="S32" s="14">
        <v>0</v>
      </c>
      <c r="T32" s="14">
        <v>8.34000044663747</v>
      </c>
    </row>
    <row r="33" spans="1:20">
      <c r="A33" s="15">
        <v>43430</v>
      </c>
      <c r="B33" s="14">
        <v>0</v>
      </c>
      <c r="C33" s="14">
        <v>2933.90955878364</v>
      </c>
      <c r="D33" s="14">
        <v>554315.462630207</v>
      </c>
      <c r="E33" s="14">
        <v>4999.52964952257</v>
      </c>
      <c r="F33" s="14">
        <v>2943.09541575114</v>
      </c>
      <c r="G33" s="14">
        <v>0</v>
      </c>
      <c r="H33" s="14">
        <v>0</v>
      </c>
      <c r="I33" s="14">
        <v>8.69833378990482</v>
      </c>
      <c r="J33" s="20">
        <v>41603</v>
      </c>
      <c r="K33" s="1" t="s">
        <v>12031</v>
      </c>
      <c r="L33" s="15">
        <v>43409</v>
      </c>
      <c r="M33" s="14">
        <v>0</v>
      </c>
      <c r="N33" s="14">
        <v>2937.30802001953</v>
      </c>
      <c r="O33" s="14">
        <v>522742.21875</v>
      </c>
      <c r="P33" s="14">
        <v>0</v>
      </c>
      <c r="Q33" s="14">
        <v>2946.75144856771</v>
      </c>
      <c r="R33" s="14">
        <v>0</v>
      </c>
      <c r="S33" s="14">
        <v>0</v>
      </c>
      <c r="T33" s="14">
        <v>8.14000040690104</v>
      </c>
    </row>
    <row r="34" ht="13.95" spans="1:20">
      <c r="A34" s="15">
        <v>43431</v>
      </c>
      <c r="B34" s="14">
        <v>0</v>
      </c>
      <c r="C34" s="14">
        <v>2929.55724131266</v>
      </c>
      <c r="D34" s="14">
        <v>559060.20017361</v>
      </c>
      <c r="E34" s="14">
        <v>3401.65723427666</v>
      </c>
      <c r="F34" s="14">
        <v>2938.75346764459</v>
      </c>
      <c r="G34" s="14">
        <v>0</v>
      </c>
      <c r="H34" s="14">
        <v>0</v>
      </c>
      <c r="I34" s="14">
        <v>8.51250045928679</v>
      </c>
      <c r="J34" s="20">
        <v>41604</v>
      </c>
      <c r="K34" s="1" t="s">
        <v>12031</v>
      </c>
      <c r="L34" s="24" t="s">
        <v>11630</v>
      </c>
      <c r="M34" s="31">
        <f>AVERAGE(M9:M33)/24*25</f>
        <v>0</v>
      </c>
      <c r="N34" s="31">
        <f t="shared" ref="N34:T34" si="1">AVERAGE(N9:N33)/24*25</f>
        <v>3060.89676462809</v>
      </c>
      <c r="O34" s="31">
        <f t="shared" si="1"/>
        <v>544523.14453125</v>
      </c>
      <c r="P34" s="31">
        <f t="shared" si="1"/>
        <v>0</v>
      </c>
      <c r="Q34" s="31">
        <f t="shared" si="1"/>
        <v>3071.28960503472</v>
      </c>
      <c r="R34" s="31">
        <f t="shared" si="1"/>
        <v>0</v>
      </c>
      <c r="S34" s="31">
        <f t="shared" si="1"/>
        <v>0</v>
      </c>
      <c r="T34" s="31">
        <f t="shared" si="1"/>
        <v>8.61916710800595</v>
      </c>
    </row>
    <row r="35" ht="13.95" spans="1:11">
      <c r="A35" s="15">
        <v>43432</v>
      </c>
      <c r="B35" s="14">
        <v>0</v>
      </c>
      <c r="C35" s="14">
        <v>2929.40887468127</v>
      </c>
      <c r="D35" s="14">
        <v>560217.75</v>
      </c>
      <c r="E35" s="14">
        <v>0</v>
      </c>
      <c r="F35" s="14">
        <v>2938.2111295912</v>
      </c>
      <c r="G35" s="14">
        <v>0</v>
      </c>
      <c r="H35" s="14">
        <v>0</v>
      </c>
      <c r="I35" s="14">
        <v>8.74666711986057</v>
      </c>
      <c r="J35" s="20">
        <v>41605</v>
      </c>
      <c r="K35" s="1" t="s">
        <v>12031</v>
      </c>
    </row>
    <row r="36" spans="1:11">
      <c r="A36" s="15">
        <v>43433</v>
      </c>
      <c r="B36" s="14">
        <v>0</v>
      </c>
      <c r="C36" s="14">
        <v>2929.16366628012</v>
      </c>
      <c r="D36" s="14">
        <v>560217.75</v>
      </c>
      <c r="E36" s="14">
        <v>0</v>
      </c>
      <c r="F36" s="14">
        <v>2938.47783321804</v>
      </c>
      <c r="G36" s="14">
        <v>0</v>
      </c>
      <c r="H36" s="14">
        <v>0</v>
      </c>
      <c r="I36" s="14">
        <v>8.78333378434172</v>
      </c>
      <c r="J36" s="20">
        <v>41606</v>
      </c>
      <c r="K36" s="1" t="s">
        <v>12031</v>
      </c>
    </row>
    <row r="37" spans="1:11">
      <c r="A37" s="15">
        <v>43434</v>
      </c>
      <c r="B37" s="14">
        <v>439.194814371069</v>
      </c>
      <c r="C37" s="14">
        <v>2788.38975101047</v>
      </c>
      <c r="D37" s="14">
        <v>560217.75</v>
      </c>
      <c r="E37" s="14">
        <v>0</v>
      </c>
      <c r="F37" s="14">
        <v>2796.93798946805</v>
      </c>
      <c r="G37" s="14">
        <v>0</v>
      </c>
      <c r="H37" s="14">
        <v>0</v>
      </c>
      <c r="I37" s="14">
        <v>8.67416712343684</v>
      </c>
      <c r="J37" s="20">
        <v>41607</v>
      </c>
      <c r="K37" s="1" t="s">
        <v>12031</v>
      </c>
    </row>
    <row r="38" spans="1:11">
      <c r="A38" s="13">
        <v>43435</v>
      </c>
      <c r="B38" s="14">
        <v>795.05533565945</v>
      </c>
      <c r="C38" s="14">
        <v>2780.57449917264</v>
      </c>
      <c r="D38" s="14">
        <v>560217.75</v>
      </c>
      <c r="E38" s="14">
        <v>0</v>
      </c>
      <c r="F38" s="14">
        <v>2789.73052164714</v>
      </c>
      <c r="G38" s="14">
        <v>0</v>
      </c>
      <c r="H38" s="14">
        <v>0</v>
      </c>
      <c r="I38" s="14">
        <v>8.61083379122936</v>
      </c>
      <c r="J38" s="20">
        <v>41608</v>
      </c>
      <c r="K38" s="1" t="s">
        <v>12031</v>
      </c>
    </row>
    <row r="39" spans="1:11">
      <c r="A39" s="13"/>
      <c r="B39" s="14"/>
      <c r="C39" s="14"/>
      <c r="D39" s="14"/>
      <c r="E39" s="14"/>
      <c r="F39" s="14"/>
      <c r="G39" s="14"/>
      <c r="H39" s="14"/>
      <c r="I39" s="14"/>
      <c r="J39" s="20">
        <v>41609</v>
      </c>
      <c r="K39" s="1" t="s">
        <v>12031</v>
      </c>
    </row>
    <row r="40" spans="10:10">
      <c r="J40" s="20"/>
    </row>
    <row r="50" spans="3:9">
      <c r="C50" s="19"/>
      <c r="D50" s="19"/>
      <c r="E50" s="19"/>
      <c r="F50" s="19"/>
      <c r="G50" s="19"/>
      <c r="H50" s="19"/>
      <c r="I50" s="19"/>
    </row>
  </sheetData>
  <customSheetViews>
    <customSheetView guid="{3590B4C8-3408-4C22-A182-96D6E61B41FC}" showPageBreaks="1" fitToPage="1" printArea="1">
      <selection activeCell="E45" sqref="E45"/>
      <pageMargins left="0.7" right="0.7" top="0.75" bottom="0.75" header="0.3" footer="0.3"/>
      <pageSetup paperSize="1" scale="83" orientation="portrait"/>
      <headerFooter/>
    </customSheetView>
    <customSheetView guid="{031350E9-2A5A-48A9-8BCD-85E50999C522}" fitToPage="1">
      <selection activeCell="E45" sqref="E45"/>
      <pageMargins left="0.7" right="0.7" top="0.75" bottom="0.75" header="0.3" footer="0.3"/>
      <pageSetup paperSize="1" scale="83" orientation="portrait"/>
      <headerFooter/>
    </customSheetView>
    <customSheetView guid="{8BDDDDA7-D938-494A-80FC-9A81AD854C12}" fitToPage="1">
      <selection activeCell="E45" sqref="E45"/>
      <pageMargins left="0.7" right="0.7" top="0.75" bottom="0.75" header="0.3" footer="0.3"/>
      <pageSetup paperSize="1" scale="83" orientation="portrait"/>
      <headerFooter/>
    </customSheetView>
  </customSheetViews>
  <pageMargins left="0.7" right="0.7" top="0.75" bottom="0.75" header="0.3" footer="0.3"/>
  <pageSetup paperSize="1" scale="83" orientation="portrait"/>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pageSetUpPr fitToPage="1"/>
  </sheetPr>
  <dimension ref="A1:T51"/>
  <sheetViews>
    <sheetView topLeftCell="A4" workbookViewId="0">
      <selection activeCell="I40" sqref="A9:I40"/>
    </sheetView>
  </sheetViews>
  <sheetFormatPr defaultColWidth="9.17592592592593" defaultRowHeight="13.2"/>
  <cols>
    <col min="1" max="3" width="18.1759259259259" customWidth="1"/>
    <col min="4" max="6" width="9.81481481481481" customWidth="1"/>
    <col min="8" max="8" width="8.5462962962963" customWidth="1"/>
    <col min="10" max="10" width="6.72222222222222" customWidth="1"/>
    <col min="11" max="11" width="90" customWidth="1"/>
    <col min="12" max="12" width="18.1759259259259" customWidth="1"/>
    <col min="15" max="15" width="9.5462962962963" customWidth="1"/>
  </cols>
  <sheetData>
    <row r="1" spans="1:1">
      <c r="A1" s="5" t="s">
        <v>12019</v>
      </c>
    </row>
    <row r="2" spans="1:1">
      <c r="A2" s="6" t="s">
        <v>12020</v>
      </c>
    </row>
    <row r="3" spans="1:12">
      <c r="A3" s="6" t="s">
        <v>12021</v>
      </c>
      <c r="L3" s="6" t="s">
        <v>12022</v>
      </c>
    </row>
    <row r="4" spans="1:12">
      <c r="A4" s="6" t="s">
        <v>12023</v>
      </c>
      <c r="L4" s="1"/>
    </row>
    <row r="5" spans="1:12">
      <c r="A5" s="1"/>
      <c r="L5" s="1"/>
    </row>
    <row r="6" s="4" customFormat="1" ht="52.8" spans="1:19">
      <c r="A6" s="7"/>
      <c r="B6" s="7" t="s">
        <v>12024</v>
      </c>
      <c r="C6" s="7" t="s">
        <v>12025</v>
      </c>
      <c r="E6" s="7" t="s">
        <v>12026</v>
      </c>
      <c r="H6" s="7" t="s">
        <v>12027</v>
      </c>
      <c r="L6" s="7"/>
      <c r="M6" s="7" t="s">
        <v>12024</v>
      </c>
      <c r="N6" s="7" t="s">
        <v>12025</v>
      </c>
      <c r="P6" s="7" t="s">
        <v>12026</v>
      </c>
      <c r="S6" s="7" t="s">
        <v>12027</v>
      </c>
    </row>
    <row r="7" spans="1:20">
      <c r="A7" s="8" t="s">
        <v>11805</v>
      </c>
      <c r="B7" s="9" t="s">
        <v>11806</v>
      </c>
      <c r="C7" s="9" t="s">
        <v>11807</v>
      </c>
      <c r="D7" s="9" t="s">
        <v>11808</v>
      </c>
      <c r="E7" s="9" t="s">
        <v>11809</v>
      </c>
      <c r="F7" s="9" t="s">
        <v>11810</v>
      </c>
      <c r="G7" s="9" t="s">
        <v>11811</v>
      </c>
      <c r="H7" s="9" t="s">
        <v>11812</v>
      </c>
      <c r="I7" s="9" t="s">
        <v>11813</v>
      </c>
      <c r="L7" s="8" t="s">
        <v>11805</v>
      </c>
      <c r="M7" s="9" t="s">
        <v>11806</v>
      </c>
      <c r="N7" s="9" t="s">
        <v>11807</v>
      </c>
      <c r="O7" s="9" t="s">
        <v>11808</v>
      </c>
      <c r="P7" s="9" t="s">
        <v>11809</v>
      </c>
      <c r="Q7" s="9" t="s">
        <v>11810</v>
      </c>
      <c r="R7" s="9" t="s">
        <v>11811</v>
      </c>
      <c r="S7" s="9" t="s">
        <v>11812</v>
      </c>
      <c r="T7" s="9" t="s">
        <v>11813</v>
      </c>
    </row>
    <row r="8" ht="33.6" spans="1:20">
      <c r="A8" s="10"/>
      <c r="B8" s="11" t="s">
        <v>11814</v>
      </c>
      <c r="C8" s="11" t="s">
        <v>11815</v>
      </c>
      <c r="D8" s="11" t="s">
        <v>11816</v>
      </c>
      <c r="E8" s="12" t="s">
        <v>11817</v>
      </c>
      <c r="F8" s="12" t="s">
        <v>11818</v>
      </c>
      <c r="G8" s="12" t="s">
        <v>11819</v>
      </c>
      <c r="H8" s="12" t="s">
        <v>11820</v>
      </c>
      <c r="I8" s="12" t="s">
        <v>11821</v>
      </c>
      <c r="L8" s="10"/>
      <c r="M8" s="11" t="s">
        <v>11814</v>
      </c>
      <c r="N8" s="11" t="s">
        <v>11815</v>
      </c>
      <c r="O8" s="11" t="s">
        <v>11816</v>
      </c>
      <c r="P8" s="12" t="s">
        <v>11817</v>
      </c>
      <c r="Q8" s="12" t="s">
        <v>11818</v>
      </c>
      <c r="R8" s="12" t="s">
        <v>11819</v>
      </c>
      <c r="S8" s="12" t="s">
        <v>11820</v>
      </c>
      <c r="T8" s="12" t="s">
        <v>11821</v>
      </c>
    </row>
    <row r="9" spans="1:20">
      <c r="A9" s="13">
        <v>43525</v>
      </c>
      <c r="B9" s="14">
        <v>0</v>
      </c>
      <c r="C9" s="14">
        <v>2959.60913204617</v>
      </c>
      <c r="D9" s="14">
        <v>640647.210416668</v>
      </c>
      <c r="E9" s="14">
        <v>3068.00154352188</v>
      </c>
      <c r="F9" s="14">
        <v>2953.63247053359</v>
      </c>
      <c r="G9" s="14">
        <v>0</v>
      </c>
      <c r="H9" s="14">
        <v>0</v>
      </c>
      <c r="I9" s="14">
        <v>2.4491667639878</v>
      </c>
      <c r="L9" s="13">
        <v>43534</v>
      </c>
      <c r="M9" s="14">
        <v>0</v>
      </c>
      <c r="N9" s="14">
        <v>2959.42174072266</v>
      </c>
      <c r="O9" s="14">
        <v>649099.088541667</v>
      </c>
      <c r="P9" s="14">
        <v>5000.55887858073</v>
      </c>
      <c r="Q9" s="14">
        <v>2953.1388264974</v>
      </c>
      <c r="R9" s="14">
        <v>0</v>
      </c>
      <c r="S9" s="14">
        <v>0</v>
      </c>
      <c r="T9" s="14">
        <v>4.14000016450882</v>
      </c>
    </row>
    <row r="10" spans="1:20">
      <c r="A10" s="15">
        <v>43526</v>
      </c>
      <c r="B10" s="14">
        <v>0</v>
      </c>
      <c r="C10" s="14">
        <v>2961.39214969211</v>
      </c>
      <c r="D10" s="14">
        <v>643884.365451389</v>
      </c>
      <c r="E10" s="14">
        <v>934.633630540636</v>
      </c>
      <c r="F10" s="14">
        <v>2955.73142581516</v>
      </c>
      <c r="G10" s="14">
        <v>0</v>
      </c>
      <c r="H10" s="14">
        <v>0.0451388888888889</v>
      </c>
      <c r="I10" s="14">
        <v>2.44250009705623</v>
      </c>
      <c r="J10" s="20">
        <v>43160</v>
      </c>
      <c r="K10" s="1" t="s">
        <v>12032</v>
      </c>
      <c r="L10" s="15">
        <v>43534.0416666667</v>
      </c>
      <c r="M10" s="14">
        <v>0</v>
      </c>
      <c r="N10" s="14">
        <v>2959.60960693359</v>
      </c>
      <c r="O10" s="14">
        <v>649307.423958333</v>
      </c>
      <c r="P10" s="14">
        <v>4998.17569986979</v>
      </c>
      <c r="Q10" s="14">
        <v>2953.89903564453</v>
      </c>
      <c r="R10" s="14">
        <v>0</v>
      </c>
      <c r="S10" s="14">
        <v>0</v>
      </c>
      <c r="T10" s="14">
        <v>4.24000016848246</v>
      </c>
    </row>
    <row r="11" spans="1:20">
      <c r="A11" s="15">
        <v>43527</v>
      </c>
      <c r="B11" s="14">
        <v>0</v>
      </c>
      <c r="C11" s="14">
        <v>2960.95477617052</v>
      </c>
      <c r="D11" s="14">
        <v>643949.75</v>
      </c>
      <c r="E11" s="14">
        <v>0</v>
      </c>
      <c r="F11" s="14">
        <v>2955.08613688151</v>
      </c>
      <c r="G11" s="14">
        <v>0</v>
      </c>
      <c r="H11" s="14">
        <v>0</v>
      </c>
      <c r="I11" s="14">
        <v>2.42666676309374</v>
      </c>
      <c r="J11" s="20">
        <v>43161</v>
      </c>
      <c r="K11" s="1" t="s">
        <v>12032</v>
      </c>
      <c r="L11" s="15">
        <v>43534.125</v>
      </c>
      <c r="M11" s="14">
        <v>0</v>
      </c>
      <c r="N11" s="14">
        <v>2960.15096842448</v>
      </c>
      <c r="O11" s="14">
        <v>649515.74375</v>
      </c>
      <c r="P11" s="14">
        <v>4999.42434082031</v>
      </c>
      <c r="Q11" s="14">
        <v>2954.10903320312</v>
      </c>
      <c r="R11" s="14">
        <v>0</v>
      </c>
      <c r="S11" s="14">
        <v>0</v>
      </c>
      <c r="T11" s="14">
        <v>3.96000015735626</v>
      </c>
    </row>
    <row r="12" spans="1:20">
      <c r="A12" s="13">
        <v>43528</v>
      </c>
      <c r="B12" s="14">
        <v>0</v>
      </c>
      <c r="C12" s="14">
        <v>2962.32239752875</v>
      </c>
      <c r="D12" s="14">
        <v>643949.75</v>
      </c>
      <c r="E12" s="14">
        <v>0</v>
      </c>
      <c r="F12" s="14">
        <v>2956.44443613688</v>
      </c>
      <c r="G12" s="14">
        <v>0</v>
      </c>
      <c r="H12" s="14">
        <v>0</v>
      </c>
      <c r="I12" s="14">
        <v>2.42833342982663</v>
      </c>
      <c r="J12" s="20">
        <v>43162</v>
      </c>
      <c r="K12" s="1" t="s">
        <v>12032</v>
      </c>
      <c r="L12" s="13">
        <v>43534.1666666667</v>
      </c>
      <c r="M12" s="14">
        <v>0</v>
      </c>
      <c r="N12" s="14">
        <v>2960.0176554362</v>
      </c>
      <c r="O12" s="14">
        <v>649724.115625</v>
      </c>
      <c r="P12" s="14">
        <v>4999.34082845052</v>
      </c>
      <c r="Q12" s="14">
        <v>2953.84141031901</v>
      </c>
      <c r="R12" s="14">
        <v>0</v>
      </c>
      <c r="S12" s="14">
        <v>0</v>
      </c>
      <c r="T12" s="14">
        <v>4.02000015974045</v>
      </c>
    </row>
    <row r="13" spans="1:20">
      <c r="A13" s="13">
        <v>43529</v>
      </c>
      <c r="B13" s="14">
        <v>0</v>
      </c>
      <c r="C13" s="14">
        <v>2959.15200449625</v>
      </c>
      <c r="D13" s="14">
        <v>643949.75</v>
      </c>
      <c r="E13" s="14">
        <v>0</v>
      </c>
      <c r="F13" s="14">
        <v>2953.23764190673</v>
      </c>
      <c r="G13" s="14">
        <v>0</v>
      </c>
      <c r="H13" s="14">
        <v>0</v>
      </c>
      <c r="I13" s="14">
        <v>4.07583349529237</v>
      </c>
      <c r="J13" s="20">
        <v>43163</v>
      </c>
      <c r="K13" s="1" t="s">
        <v>12032</v>
      </c>
      <c r="L13" s="13">
        <v>43534.2083333333</v>
      </c>
      <c r="M13" s="14">
        <v>0</v>
      </c>
      <c r="N13" s="14">
        <v>2961.84666341146</v>
      </c>
      <c r="O13" s="14">
        <v>649932.465625</v>
      </c>
      <c r="P13" s="14">
        <v>4999.27561035156</v>
      </c>
      <c r="Q13" s="14">
        <v>2955.38513183594</v>
      </c>
      <c r="R13" s="14">
        <v>0</v>
      </c>
      <c r="S13" s="14">
        <v>0</v>
      </c>
      <c r="T13" s="14">
        <v>4.06000016132991</v>
      </c>
    </row>
    <row r="14" spans="1:20">
      <c r="A14" s="13">
        <v>43530</v>
      </c>
      <c r="B14" s="14">
        <v>301.84130988121</v>
      </c>
      <c r="C14" s="14">
        <v>2958.78685828314</v>
      </c>
      <c r="D14" s="14">
        <v>643949.75</v>
      </c>
      <c r="E14" s="14">
        <v>0</v>
      </c>
      <c r="F14" s="14">
        <v>2952.8972249349</v>
      </c>
      <c r="G14" s="14">
        <v>0</v>
      </c>
      <c r="H14" s="14">
        <v>0</v>
      </c>
      <c r="I14" s="14">
        <v>4.82166685197088</v>
      </c>
      <c r="J14" s="20">
        <v>43164</v>
      </c>
      <c r="K14" s="1" t="s">
        <v>12032</v>
      </c>
      <c r="L14" s="13">
        <v>43534.25</v>
      </c>
      <c r="M14" s="14">
        <v>0</v>
      </c>
      <c r="N14" s="14">
        <v>2962.06923014323</v>
      </c>
      <c r="O14" s="14">
        <v>650140.791666667</v>
      </c>
      <c r="P14" s="14">
        <v>5001.12833658854</v>
      </c>
      <c r="Q14" s="14">
        <v>2955.50523681641</v>
      </c>
      <c r="R14" s="14">
        <v>0</v>
      </c>
      <c r="S14" s="14">
        <v>0</v>
      </c>
      <c r="T14" s="14">
        <v>4.04000016053518</v>
      </c>
    </row>
    <row r="15" spans="1:20">
      <c r="A15" s="13">
        <v>43531</v>
      </c>
      <c r="B15" s="14">
        <v>813.078710259332</v>
      </c>
      <c r="C15" s="14">
        <v>2962.73208584256</v>
      </c>
      <c r="D15" s="14">
        <v>643949.75</v>
      </c>
      <c r="E15" s="14">
        <v>0</v>
      </c>
      <c r="F15" s="14">
        <v>2956.52660556369</v>
      </c>
      <c r="G15" s="14">
        <v>0</v>
      </c>
      <c r="H15" s="14">
        <v>0</v>
      </c>
      <c r="I15" s="14">
        <v>4.8183335190018</v>
      </c>
      <c r="J15" s="20">
        <v>43165</v>
      </c>
      <c r="K15" s="1" t="s">
        <v>12032</v>
      </c>
      <c r="L15" s="13">
        <v>43534.2916666667</v>
      </c>
      <c r="M15" s="14">
        <v>0</v>
      </c>
      <c r="N15" s="14">
        <v>2960.10088704427</v>
      </c>
      <c r="O15" s="14">
        <v>650349.115625</v>
      </c>
      <c r="P15" s="14">
        <v>5002.15733235677</v>
      </c>
      <c r="Q15" s="14">
        <v>2955.35661214193</v>
      </c>
      <c r="R15" s="14">
        <v>0</v>
      </c>
      <c r="S15" s="14">
        <v>0</v>
      </c>
      <c r="T15" s="14">
        <v>4.12000016371409</v>
      </c>
    </row>
    <row r="16" spans="1:20">
      <c r="A16" s="15">
        <v>43532</v>
      </c>
      <c r="B16" s="14">
        <v>18.7448052830166</v>
      </c>
      <c r="C16" s="14">
        <v>2961.47351582845</v>
      </c>
      <c r="D16" s="14">
        <v>643949.75</v>
      </c>
      <c r="E16" s="14">
        <v>0</v>
      </c>
      <c r="F16" s="14">
        <v>2955.40690273709</v>
      </c>
      <c r="G16" s="14">
        <v>0</v>
      </c>
      <c r="H16" s="14">
        <v>0</v>
      </c>
      <c r="I16" s="14">
        <v>4.65416685028207</v>
      </c>
      <c r="J16" s="20">
        <v>43166</v>
      </c>
      <c r="K16" s="1" t="s">
        <v>12032</v>
      </c>
      <c r="L16" s="15">
        <v>43534.3333333333</v>
      </c>
      <c r="M16" s="14">
        <v>0</v>
      </c>
      <c r="N16" s="14">
        <v>2959.75054931641</v>
      </c>
      <c r="O16" s="14">
        <v>650557.434375</v>
      </c>
      <c r="P16" s="14">
        <v>5001.28312988281</v>
      </c>
      <c r="Q16" s="14">
        <v>2954.27710367839</v>
      </c>
      <c r="R16" s="14">
        <v>0</v>
      </c>
      <c r="S16" s="14">
        <v>0</v>
      </c>
      <c r="T16" s="14">
        <v>4.1200001557668</v>
      </c>
    </row>
    <row r="17" spans="1:20">
      <c r="A17" s="15">
        <v>43533</v>
      </c>
      <c r="B17" s="14">
        <v>0</v>
      </c>
      <c r="C17" s="14">
        <v>2961.70158114963</v>
      </c>
      <c r="D17" s="14">
        <v>644020.026432292</v>
      </c>
      <c r="E17" s="14">
        <v>749.120639403661</v>
      </c>
      <c r="F17" s="14">
        <v>2955.81295149062</v>
      </c>
      <c r="G17" s="14">
        <v>0</v>
      </c>
      <c r="H17" s="14">
        <v>0</v>
      </c>
      <c r="I17" s="14">
        <v>4.47333350943191</v>
      </c>
      <c r="J17" s="20">
        <v>43167</v>
      </c>
      <c r="K17" s="1" t="s">
        <v>12032</v>
      </c>
      <c r="L17" s="15">
        <v>43534.375</v>
      </c>
      <c r="M17" s="14">
        <v>0</v>
      </c>
      <c r="N17" s="14">
        <v>2960.30147705078</v>
      </c>
      <c r="O17" s="14">
        <v>650765.76875</v>
      </c>
      <c r="P17" s="14">
        <v>4999.69527994792</v>
      </c>
      <c r="Q17" s="14">
        <v>2954.05036214193</v>
      </c>
      <c r="R17" s="14">
        <v>0</v>
      </c>
      <c r="S17" s="14">
        <v>0</v>
      </c>
      <c r="T17" s="14">
        <v>3.78000014623006</v>
      </c>
    </row>
    <row r="18" ht="13.95" spans="1:20">
      <c r="A18" s="13">
        <v>43534</v>
      </c>
      <c r="B18" s="14">
        <v>0</v>
      </c>
      <c r="C18" s="14">
        <v>2961.89259490967</v>
      </c>
      <c r="D18" s="14">
        <v>646826.423741315</v>
      </c>
      <c r="E18" s="14">
        <v>4503.68277757433</v>
      </c>
      <c r="F18" s="14">
        <v>2956.21440107558</v>
      </c>
      <c r="G18" s="14">
        <v>0</v>
      </c>
      <c r="H18" s="14">
        <v>0</v>
      </c>
      <c r="I18" s="14">
        <v>4.2658335016833</v>
      </c>
      <c r="J18" s="20">
        <v>43168</v>
      </c>
      <c r="K18" s="1" t="s">
        <v>12032</v>
      </c>
      <c r="L18" s="13">
        <v>43534.4166666667</v>
      </c>
      <c r="M18" s="14">
        <v>0</v>
      </c>
      <c r="N18" s="14">
        <v>2958.86026204427</v>
      </c>
      <c r="O18" s="14">
        <v>650974.107291667</v>
      </c>
      <c r="P18" s="14">
        <v>5000.17422688802</v>
      </c>
      <c r="Q18" s="14">
        <v>2952.81479085286</v>
      </c>
      <c r="R18" s="14">
        <v>0</v>
      </c>
      <c r="S18" s="14">
        <v>0</v>
      </c>
      <c r="T18" s="14">
        <v>3.56000014146169</v>
      </c>
    </row>
    <row r="19" ht="13.95" spans="1:20">
      <c r="A19" s="16">
        <v>43535</v>
      </c>
      <c r="B19" s="17">
        <v>0</v>
      </c>
      <c r="C19" s="17">
        <v>2836.63543616401</v>
      </c>
      <c r="D19" s="17">
        <v>624448.960112847</v>
      </c>
      <c r="E19" s="17">
        <v>4748.28548496862</v>
      </c>
      <c r="F19" s="17">
        <v>2830.96299235026</v>
      </c>
      <c r="G19" s="17">
        <v>0</v>
      </c>
      <c r="H19" s="17">
        <v>0</v>
      </c>
      <c r="I19" s="17">
        <v>3.68500014493863</v>
      </c>
      <c r="J19" s="21">
        <v>43169</v>
      </c>
      <c r="K19" s="22" t="s">
        <v>12033</v>
      </c>
      <c r="L19" s="13">
        <v>43534.4583333333</v>
      </c>
      <c r="M19" s="14">
        <v>0</v>
      </c>
      <c r="N19" s="14">
        <v>2958.47919108073</v>
      </c>
      <c r="O19" s="14">
        <v>651182.434375</v>
      </c>
      <c r="P19" s="14">
        <v>5000.74135742188</v>
      </c>
      <c r="Q19" s="14">
        <v>2952.73806966146</v>
      </c>
      <c r="R19" s="14">
        <v>0</v>
      </c>
      <c r="S19" s="14">
        <v>0</v>
      </c>
      <c r="T19" s="14">
        <v>3.62000014384588</v>
      </c>
    </row>
    <row r="20" ht="13.95" spans="1:20">
      <c r="A20" s="18">
        <v>43536</v>
      </c>
      <c r="B20" s="14">
        <v>0</v>
      </c>
      <c r="C20" s="14">
        <v>2961.79179416233</v>
      </c>
      <c r="D20" s="14">
        <v>653952.062500026</v>
      </c>
      <c r="E20" s="14">
        <v>0</v>
      </c>
      <c r="F20" s="14">
        <v>2955.97398325602</v>
      </c>
      <c r="G20" s="14">
        <v>0</v>
      </c>
      <c r="H20" s="14">
        <v>0</v>
      </c>
      <c r="I20" s="14">
        <v>3.40250013487213</v>
      </c>
      <c r="J20" s="23">
        <v>43170</v>
      </c>
      <c r="K20" s="1" t="s">
        <v>12034</v>
      </c>
      <c r="L20" s="15">
        <v>43534.5</v>
      </c>
      <c r="M20" s="14">
        <v>0</v>
      </c>
      <c r="N20" s="14">
        <v>2957.83698730469</v>
      </c>
      <c r="O20" s="14">
        <v>651390.76875</v>
      </c>
      <c r="P20" s="14">
        <v>4999.22511393229</v>
      </c>
      <c r="Q20" s="14">
        <v>2950.99927978516</v>
      </c>
      <c r="R20" s="14">
        <v>0</v>
      </c>
      <c r="S20" s="14">
        <v>0</v>
      </c>
      <c r="T20" s="14">
        <v>4.00000015497208</v>
      </c>
    </row>
    <row r="21" spans="1:20">
      <c r="A21" s="18">
        <v>43537</v>
      </c>
      <c r="B21" s="14">
        <v>0</v>
      </c>
      <c r="C21" s="14">
        <v>2957.48064286974</v>
      </c>
      <c r="D21" s="14">
        <v>653952.062500026</v>
      </c>
      <c r="E21" s="14">
        <v>0</v>
      </c>
      <c r="F21" s="14">
        <v>2951.57193976508</v>
      </c>
      <c r="G21" s="14">
        <v>0</v>
      </c>
      <c r="H21" s="14">
        <v>0</v>
      </c>
      <c r="I21" s="14">
        <v>2.91166678220034</v>
      </c>
      <c r="J21" s="20">
        <v>43171</v>
      </c>
      <c r="K21" s="1" t="s">
        <v>12034</v>
      </c>
      <c r="L21" s="15">
        <v>43534.5416666667</v>
      </c>
      <c r="M21" s="14">
        <v>0</v>
      </c>
      <c r="N21" s="14">
        <v>2959.45184733073</v>
      </c>
      <c r="O21" s="14">
        <v>651599.098958333</v>
      </c>
      <c r="P21" s="14">
        <v>5000.11545410156</v>
      </c>
      <c r="Q21" s="14">
        <v>2953.16186930339</v>
      </c>
      <c r="R21" s="14">
        <v>0</v>
      </c>
      <c r="S21" s="14">
        <v>0</v>
      </c>
      <c r="T21" s="14">
        <v>3.96000015338262</v>
      </c>
    </row>
    <row r="22" spans="1:20">
      <c r="A22" s="15">
        <v>43538</v>
      </c>
      <c r="B22" s="14">
        <v>0</v>
      </c>
      <c r="C22" s="14">
        <v>2956.96108178033</v>
      </c>
      <c r="D22" s="14">
        <v>653952.062500026</v>
      </c>
      <c r="E22" s="14">
        <v>0</v>
      </c>
      <c r="F22" s="14">
        <v>2951.22861768934</v>
      </c>
      <c r="G22" s="14">
        <v>0</v>
      </c>
      <c r="H22" s="14">
        <v>0</v>
      </c>
      <c r="I22" s="14">
        <v>2.8050001114607</v>
      </c>
      <c r="J22" s="20">
        <v>43172</v>
      </c>
      <c r="K22" s="1" t="s">
        <v>12034</v>
      </c>
      <c r="L22" s="15">
        <v>43534.5833333333</v>
      </c>
      <c r="M22" s="14">
        <v>0</v>
      </c>
      <c r="N22" s="14">
        <v>2960.17649332682</v>
      </c>
      <c r="O22" s="14">
        <v>651807.432291667</v>
      </c>
      <c r="P22" s="14">
        <v>5000.19889322917</v>
      </c>
      <c r="Q22" s="14">
        <v>2954.24746907552</v>
      </c>
      <c r="R22" s="14">
        <v>0</v>
      </c>
      <c r="S22" s="14">
        <v>0</v>
      </c>
      <c r="T22" s="14">
        <v>3.7800001502037</v>
      </c>
    </row>
    <row r="23" spans="1:20">
      <c r="A23" s="13">
        <v>43539</v>
      </c>
      <c r="B23" s="14">
        <v>0</v>
      </c>
      <c r="C23" s="14">
        <v>2956.86762712266</v>
      </c>
      <c r="D23" s="14">
        <v>653952.062500026</v>
      </c>
      <c r="E23" s="14">
        <v>0</v>
      </c>
      <c r="F23" s="14">
        <v>2951.40824211968</v>
      </c>
      <c r="G23" s="14">
        <v>0</v>
      </c>
      <c r="H23" s="14">
        <v>0</v>
      </c>
      <c r="I23" s="14">
        <v>2.47833343181345</v>
      </c>
      <c r="J23" s="20">
        <v>43173</v>
      </c>
      <c r="K23" s="1" t="s">
        <v>12034</v>
      </c>
      <c r="L23" s="15">
        <v>43534.625</v>
      </c>
      <c r="M23" s="14">
        <v>0</v>
      </c>
      <c r="N23" s="14">
        <v>2959.46190185547</v>
      </c>
      <c r="O23" s="14">
        <v>652015.766666667</v>
      </c>
      <c r="P23" s="14">
        <v>4999.1314860026</v>
      </c>
      <c r="Q23" s="14">
        <v>2953.60491943359</v>
      </c>
      <c r="R23" s="14">
        <v>0</v>
      </c>
      <c r="S23" s="14">
        <v>0</v>
      </c>
      <c r="T23" s="14">
        <v>3.82000014384588</v>
      </c>
    </row>
    <row r="24" spans="1:20">
      <c r="A24" s="13">
        <v>43540</v>
      </c>
      <c r="B24" s="14">
        <v>0</v>
      </c>
      <c r="C24" s="14">
        <v>2955.10200703939</v>
      </c>
      <c r="D24" s="14">
        <v>653952.062500026</v>
      </c>
      <c r="E24" s="14">
        <v>0</v>
      </c>
      <c r="F24" s="14">
        <v>2949.41886088053</v>
      </c>
      <c r="G24" s="14">
        <v>0</v>
      </c>
      <c r="H24" s="14">
        <v>0</v>
      </c>
      <c r="I24" s="14">
        <v>2.40333342883322</v>
      </c>
      <c r="J24" s="20">
        <v>43174</v>
      </c>
      <c r="K24" s="1" t="s">
        <v>12034</v>
      </c>
      <c r="L24" s="15">
        <v>43534.6666666667</v>
      </c>
      <c r="M24" s="14">
        <v>0</v>
      </c>
      <c r="N24" s="14">
        <v>2958.7187906901</v>
      </c>
      <c r="O24" s="14">
        <v>652224.104166667</v>
      </c>
      <c r="P24" s="14">
        <v>5000.84010416667</v>
      </c>
      <c r="Q24" s="14">
        <v>2953.19602457682</v>
      </c>
      <c r="R24" s="14">
        <v>0</v>
      </c>
      <c r="S24" s="14">
        <v>0</v>
      </c>
      <c r="T24" s="14">
        <v>3.60000014305115</v>
      </c>
    </row>
    <row r="25" spans="1:20">
      <c r="A25" s="13">
        <v>43541</v>
      </c>
      <c r="B25" s="14">
        <v>0</v>
      </c>
      <c r="C25" s="14">
        <v>2952.013575236</v>
      </c>
      <c r="D25" s="14">
        <v>654180.969878481</v>
      </c>
      <c r="E25" s="14">
        <v>1353.79519772</v>
      </c>
      <c r="F25" s="14">
        <v>2946.42995758057</v>
      </c>
      <c r="G25" s="14">
        <v>0</v>
      </c>
      <c r="H25" s="14">
        <v>0</v>
      </c>
      <c r="I25" s="14">
        <v>2.477500098447</v>
      </c>
      <c r="J25" s="20">
        <v>43175</v>
      </c>
      <c r="K25" s="1" t="s">
        <v>12034</v>
      </c>
      <c r="L25" s="15">
        <v>43534.7083333333</v>
      </c>
      <c r="M25" s="14">
        <v>0</v>
      </c>
      <c r="N25" s="14">
        <v>2959.84575195312</v>
      </c>
      <c r="O25" s="14">
        <v>652432.439583333</v>
      </c>
      <c r="P25" s="14">
        <v>5000.71725260417</v>
      </c>
      <c r="Q25" s="14">
        <v>2954.01972249349</v>
      </c>
      <c r="R25" s="14">
        <v>0</v>
      </c>
      <c r="S25" s="14">
        <v>0</v>
      </c>
      <c r="T25" s="14">
        <v>3.60000014305115</v>
      </c>
    </row>
    <row r="26" spans="1:20">
      <c r="A26" s="15">
        <v>43542</v>
      </c>
      <c r="B26" s="14">
        <v>0</v>
      </c>
      <c r="C26" s="14">
        <v>2952.95724656847</v>
      </c>
      <c r="D26" s="14">
        <v>657362.11597222</v>
      </c>
      <c r="E26" s="14">
        <v>4387.8275267707</v>
      </c>
      <c r="F26" s="14">
        <v>2947.24236128065</v>
      </c>
      <c r="G26" s="14">
        <v>0</v>
      </c>
      <c r="H26" s="14">
        <v>0</v>
      </c>
      <c r="I26" s="14">
        <v>2.62166677084234</v>
      </c>
      <c r="J26" s="20">
        <v>43176</v>
      </c>
      <c r="K26" s="1" t="s">
        <v>12034</v>
      </c>
      <c r="L26" s="15">
        <v>43534.75</v>
      </c>
      <c r="M26" s="14">
        <v>0</v>
      </c>
      <c r="N26" s="14">
        <v>2959.39538574219</v>
      </c>
      <c r="O26" s="14">
        <v>652640.777083333</v>
      </c>
      <c r="P26" s="14">
        <v>4999.01134440104</v>
      </c>
      <c r="Q26" s="14">
        <v>2953.28001708984</v>
      </c>
      <c r="R26" s="14">
        <v>0</v>
      </c>
      <c r="S26" s="14">
        <v>0</v>
      </c>
      <c r="T26" s="14">
        <v>3.5000001390775</v>
      </c>
    </row>
    <row r="27" spans="1:20">
      <c r="A27" s="15">
        <v>43543</v>
      </c>
      <c r="B27" s="14">
        <v>0</v>
      </c>
      <c r="C27" s="14">
        <v>2952.77869177924</v>
      </c>
      <c r="D27" s="14">
        <v>661438.686414904</v>
      </c>
      <c r="E27" s="14">
        <v>2255.63288574219</v>
      </c>
      <c r="F27" s="14">
        <v>2947.1721572876</v>
      </c>
      <c r="G27" s="14">
        <v>0</v>
      </c>
      <c r="H27" s="14">
        <v>0</v>
      </c>
      <c r="I27" s="14">
        <v>2.60166677004762</v>
      </c>
      <c r="J27" s="20">
        <v>43177</v>
      </c>
      <c r="K27" s="1" t="s">
        <v>12034</v>
      </c>
      <c r="L27" s="15">
        <v>43534.7916666667</v>
      </c>
      <c r="M27" s="14">
        <v>0</v>
      </c>
      <c r="N27" s="14">
        <v>2960.70814615885</v>
      </c>
      <c r="O27" s="14">
        <v>652849.10625</v>
      </c>
      <c r="P27" s="14">
        <v>4999.18471679688</v>
      </c>
      <c r="Q27" s="14">
        <v>2954.36805826823</v>
      </c>
      <c r="R27" s="14">
        <v>0</v>
      </c>
      <c r="S27" s="14">
        <v>0</v>
      </c>
      <c r="T27" s="14">
        <v>3.86000015338262</v>
      </c>
    </row>
    <row r="28" spans="1:20">
      <c r="A28" s="13">
        <v>43544</v>
      </c>
      <c r="B28" s="14">
        <v>0</v>
      </c>
      <c r="C28" s="14">
        <v>2955.68987986247</v>
      </c>
      <c r="D28" s="14">
        <v>661946.687499974</v>
      </c>
      <c r="E28" s="14">
        <v>0</v>
      </c>
      <c r="F28" s="14">
        <v>2949.90653449164</v>
      </c>
      <c r="G28" s="14">
        <v>0</v>
      </c>
      <c r="H28" s="14">
        <v>0</v>
      </c>
      <c r="I28" s="14">
        <v>2.50500009953975</v>
      </c>
      <c r="J28" s="20">
        <v>43178</v>
      </c>
      <c r="K28" s="1" t="s">
        <v>12034</v>
      </c>
      <c r="L28" s="15">
        <v>43534.8333333333</v>
      </c>
      <c r="M28" s="14">
        <v>0</v>
      </c>
      <c r="N28" s="14">
        <v>2961.07746988932</v>
      </c>
      <c r="O28" s="14">
        <v>653057.44375</v>
      </c>
      <c r="P28" s="14">
        <v>5000.3019938151</v>
      </c>
      <c r="Q28" s="14">
        <v>2955.56984863281</v>
      </c>
      <c r="R28" s="14">
        <v>0</v>
      </c>
      <c r="S28" s="14">
        <v>0</v>
      </c>
      <c r="T28" s="14">
        <v>3.72000014781952</v>
      </c>
    </row>
    <row r="29" spans="1:20">
      <c r="A29" s="16">
        <v>43545</v>
      </c>
      <c r="B29" s="17">
        <v>0</v>
      </c>
      <c r="C29" s="17">
        <v>2954.72227749295</v>
      </c>
      <c r="D29" s="17">
        <v>661946.687499974</v>
      </c>
      <c r="E29" s="17">
        <v>0</v>
      </c>
      <c r="F29" s="17">
        <v>2948.80136498345</v>
      </c>
      <c r="G29" s="17">
        <v>0</v>
      </c>
      <c r="H29" s="17">
        <v>0</v>
      </c>
      <c r="I29" s="17">
        <v>2.4633334312174</v>
      </c>
      <c r="J29" s="20">
        <v>43179</v>
      </c>
      <c r="K29" s="1" t="s">
        <v>12034</v>
      </c>
      <c r="L29" s="15">
        <v>43534.875</v>
      </c>
      <c r="M29" s="14">
        <v>0</v>
      </c>
      <c r="N29" s="14">
        <v>2960.3218343099</v>
      </c>
      <c r="O29" s="14">
        <v>653265.779166667</v>
      </c>
      <c r="P29" s="14">
        <v>5000.63996582031</v>
      </c>
      <c r="Q29" s="14">
        <v>2955.00180257161</v>
      </c>
      <c r="R29" s="14">
        <v>0</v>
      </c>
      <c r="S29" s="14">
        <v>0</v>
      </c>
      <c r="T29" s="14">
        <v>3.76000014940898</v>
      </c>
    </row>
    <row r="30" spans="1:20">
      <c r="A30" s="18">
        <v>43546</v>
      </c>
      <c r="B30" s="14">
        <v>0</v>
      </c>
      <c r="C30" s="14">
        <v>2956.67184753418</v>
      </c>
      <c r="D30" s="14">
        <v>661946.687499974</v>
      </c>
      <c r="E30" s="14">
        <v>0</v>
      </c>
      <c r="F30" s="14">
        <v>2950.96763831245</v>
      </c>
      <c r="G30" s="14">
        <v>0</v>
      </c>
      <c r="H30" s="14">
        <v>0</v>
      </c>
      <c r="I30" s="14">
        <v>2.45333343082004</v>
      </c>
      <c r="J30" s="20">
        <v>43180</v>
      </c>
      <c r="K30" s="1" t="s">
        <v>12034</v>
      </c>
      <c r="L30" s="15">
        <v>43534.9166666667</v>
      </c>
      <c r="M30" s="14">
        <v>0</v>
      </c>
      <c r="N30" s="14">
        <v>2960.0431233724</v>
      </c>
      <c r="O30" s="14">
        <v>653474.113541667</v>
      </c>
      <c r="P30" s="14">
        <v>4999.99684244792</v>
      </c>
      <c r="Q30" s="14">
        <v>2954.29547526042</v>
      </c>
      <c r="R30" s="14">
        <v>0</v>
      </c>
      <c r="S30" s="14">
        <v>0</v>
      </c>
      <c r="T30" s="14">
        <v>4.06000015338262</v>
      </c>
    </row>
    <row r="31" spans="1:20">
      <c r="A31" s="18">
        <v>43547</v>
      </c>
      <c r="B31" s="14">
        <v>0</v>
      </c>
      <c r="C31" s="14">
        <v>2955.664535692</v>
      </c>
      <c r="D31" s="14">
        <v>661946.687499974</v>
      </c>
      <c r="E31" s="14">
        <v>0</v>
      </c>
      <c r="F31" s="14">
        <v>2949.97597707113</v>
      </c>
      <c r="G31" s="14">
        <v>0</v>
      </c>
      <c r="H31" s="14">
        <v>0</v>
      </c>
      <c r="I31" s="14">
        <v>2.47833343181345</v>
      </c>
      <c r="J31" s="20">
        <v>43181</v>
      </c>
      <c r="K31" s="1" t="s">
        <v>12034</v>
      </c>
      <c r="L31" s="15">
        <v>43534.9583333333</v>
      </c>
      <c r="M31" s="14">
        <v>0</v>
      </c>
      <c r="N31" s="14">
        <v>2960.9422648112</v>
      </c>
      <c r="O31" s="14">
        <v>653682.447916667</v>
      </c>
      <c r="P31" s="14">
        <v>4999.75799967448</v>
      </c>
      <c r="Q31" s="14">
        <v>2955.04124348958</v>
      </c>
      <c r="R31" s="14">
        <v>0</v>
      </c>
      <c r="S31" s="14">
        <v>0</v>
      </c>
      <c r="T31" s="14">
        <v>3.70000014702479</v>
      </c>
    </row>
    <row r="32" spans="1:20">
      <c r="A32" s="15">
        <v>43548</v>
      </c>
      <c r="B32" s="14">
        <v>0</v>
      </c>
      <c r="C32" s="14">
        <v>2956.48830210368</v>
      </c>
      <c r="D32" s="14">
        <v>662600.904774302</v>
      </c>
      <c r="E32" s="14">
        <v>2987.66732092963</v>
      </c>
      <c r="F32" s="14">
        <v>2950.97489946153</v>
      </c>
      <c r="G32" s="14">
        <v>0</v>
      </c>
      <c r="H32" s="14">
        <v>0</v>
      </c>
      <c r="I32" s="14">
        <v>2.60166677004762</v>
      </c>
      <c r="J32" s="20">
        <v>43182</v>
      </c>
      <c r="K32" s="1" t="s">
        <v>12034</v>
      </c>
      <c r="L32" s="15">
        <v>43535</v>
      </c>
      <c r="M32" s="14">
        <v>0</v>
      </c>
      <c r="N32" s="14">
        <v>2960.08398030599</v>
      </c>
      <c r="O32" s="14">
        <v>653886.363541667</v>
      </c>
      <c r="P32" s="14">
        <v>3958.33432967663</v>
      </c>
      <c r="Q32" s="14">
        <v>2954.34930013021</v>
      </c>
      <c r="R32" s="14">
        <v>0</v>
      </c>
      <c r="S32" s="14">
        <v>0</v>
      </c>
      <c r="T32" s="14">
        <v>3.56000014146169</v>
      </c>
    </row>
    <row r="33" ht="13.95" spans="1:20">
      <c r="A33" s="13">
        <v>43549</v>
      </c>
      <c r="B33" s="14">
        <v>0</v>
      </c>
      <c r="C33" s="14">
        <v>2828.23656616211</v>
      </c>
      <c r="D33" s="14">
        <v>667745.482855925</v>
      </c>
      <c r="E33" s="14">
        <v>3980.52464810742</v>
      </c>
      <c r="F33" s="14">
        <v>2823.15769500733</v>
      </c>
      <c r="G33" s="14">
        <v>0</v>
      </c>
      <c r="H33" s="14">
        <v>0</v>
      </c>
      <c r="I33" s="14">
        <v>2.44166676368978</v>
      </c>
      <c r="J33" s="20">
        <v>43183</v>
      </c>
      <c r="K33" s="1" t="s">
        <v>12034</v>
      </c>
      <c r="L33" s="24" t="s">
        <v>11630</v>
      </c>
      <c r="M33" s="25">
        <f t="shared" ref="M33:T33" si="0">AVERAGE(M10:M32)/24*23</f>
        <v>0</v>
      </c>
      <c r="N33" s="25">
        <f t="shared" si="0"/>
        <v>2836.63543616401</v>
      </c>
      <c r="O33" s="25">
        <f t="shared" si="0"/>
        <v>624448.960112847</v>
      </c>
      <c r="P33" s="25">
        <f t="shared" si="0"/>
        <v>4748.28548496862</v>
      </c>
      <c r="Q33" s="25">
        <f t="shared" si="0"/>
        <v>2830.96299235026</v>
      </c>
      <c r="R33" s="25">
        <f t="shared" si="0"/>
        <v>0</v>
      </c>
      <c r="S33" s="25">
        <f t="shared" si="0"/>
        <v>0</v>
      </c>
      <c r="T33" s="25">
        <f t="shared" si="0"/>
        <v>3.68500014493863</v>
      </c>
    </row>
    <row r="34" ht="13.95" spans="1:11">
      <c r="A34" s="13">
        <v>43550</v>
      </c>
      <c r="B34" s="14">
        <v>5.13291814261013e-5</v>
      </c>
      <c r="C34" s="14">
        <v>2124.15285864936</v>
      </c>
      <c r="D34" s="14">
        <v>668915.562500027</v>
      </c>
      <c r="E34" s="14">
        <v>0</v>
      </c>
      <c r="F34" s="14">
        <v>2121.34286753337</v>
      </c>
      <c r="G34" s="14">
        <v>0</v>
      </c>
      <c r="H34" s="14">
        <v>0</v>
      </c>
      <c r="I34" s="14">
        <v>2.42666676309374</v>
      </c>
      <c r="J34" s="20">
        <v>43184</v>
      </c>
      <c r="K34" s="1" t="s">
        <v>12034</v>
      </c>
    </row>
    <row r="35" spans="1:11">
      <c r="A35" s="13">
        <v>43551</v>
      </c>
      <c r="B35" s="14">
        <v>0</v>
      </c>
      <c r="C35" s="14">
        <v>2122.58389790853</v>
      </c>
      <c r="D35" s="14">
        <v>668915.562500027</v>
      </c>
      <c r="E35" s="14">
        <v>0</v>
      </c>
      <c r="F35" s="14">
        <v>2119.68874562582</v>
      </c>
      <c r="G35" s="14">
        <v>0</v>
      </c>
      <c r="H35" s="14">
        <v>0</v>
      </c>
      <c r="I35" s="14">
        <v>2.45333343082004</v>
      </c>
      <c r="J35" s="20">
        <v>43185</v>
      </c>
      <c r="K35" s="1" t="s">
        <v>12034</v>
      </c>
    </row>
    <row r="36" spans="1:11">
      <c r="A36" s="15">
        <v>43552</v>
      </c>
      <c r="B36" s="14">
        <v>0</v>
      </c>
      <c r="C36" s="14">
        <v>2108.15777360644</v>
      </c>
      <c r="D36" s="14">
        <v>668915.562500027</v>
      </c>
      <c r="E36" s="14">
        <v>0</v>
      </c>
      <c r="F36" s="14">
        <v>2104.38614213202</v>
      </c>
      <c r="G36" s="14">
        <v>0</v>
      </c>
      <c r="H36" s="14">
        <v>0</v>
      </c>
      <c r="I36" s="14">
        <v>2.42666676309374</v>
      </c>
      <c r="J36" s="20">
        <v>43186</v>
      </c>
      <c r="K36" s="1" t="s">
        <v>12034</v>
      </c>
    </row>
    <row r="37" spans="1:11">
      <c r="A37" s="15">
        <v>43553</v>
      </c>
      <c r="B37" s="14">
        <v>4.41159011744377e-5</v>
      </c>
      <c r="C37" s="14">
        <v>2122.0576526218</v>
      </c>
      <c r="D37" s="14">
        <v>668915.580685775</v>
      </c>
      <c r="E37" s="14">
        <v>0.032268218199412</v>
      </c>
      <c r="F37" s="14">
        <v>2119.13046705458</v>
      </c>
      <c r="G37" s="14">
        <v>0</v>
      </c>
      <c r="H37" s="14">
        <v>0</v>
      </c>
      <c r="I37" s="14">
        <v>2.42833342982663</v>
      </c>
      <c r="J37" s="20">
        <v>43187</v>
      </c>
      <c r="K37" s="1" t="s">
        <v>12034</v>
      </c>
    </row>
    <row r="38" spans="1:11">
      <c r="A38" s="13">
        <v>43554</v>
      </c>
      <c r="B38" s="14">
        <v>0</v>
      </c>
      <c r="C38" s="14">
        <v>2120.74186960857</v>
      </c>
      <c r="D38" s="14">
        <v>668915.625</v>
      </c>
      <c r="E38" s="14">
        <v>0</v>
      </c>
      <c r="F38" s="14">
        <v>2117.90535685221</v>
      </c>
      <c r="G38" s="14">
        <v>0</v>
      </c>
      <c r="H38" s="14">
        <v>0</v>
      </c>
      <c r="I38" s="14">
        <v>2.40000009536743</v>
      </c>
      <c r="J38" s="20">
        <v>43188</v>
      </c>
      <c r="K38" s="1" t="s">
        <v>12034</v>
      </c>
    </row>
    <row r="39" spans="1:11">
      <c r="A39" s="16">
        <v>43555</v>
      </c>
      <c r="B39" s="17">
        <v>0</v>
      </c>
      <c r="C39" s="17">
        <v>2659.77485249837</v>
      </c>
      <c r="D39" s="17">
        <v>668915.625</v>
      </c>
      <c r="E39" s="17">
        <v>0</v>
      </c>
      <c r="F39" s="17">
        <v>2656.08278181288</v>
      </c>
      <c r="G39" s="17">
        <v>0</v>
      </c>
      <c r="H39" s="17">
        <v>0</v>
      </c>
      <c r="I39" s="17">
        <v>2.40000009536743</v>
      </c>
      <c r="J39" s="20">
        <v>43189</v>
      </c>
      <c r="K39" s="1" t="s">
        <v>12034</v>
      </c>
    </row>
    <row r="40" spans="1:11">
      <c r="A40" s="18">
        <v>43556</v>
      </c>
      <c r="B40" s="14">
        <v>0</v>
      </c>
      <c r="C40" s="14">
        <v>2951.19413825141</v>
      </c>
      <c r="D40" s="14">
        <v>668915.625</v>
      </c>
      <c r="E40" s="14">
        <v>0</v>
      </c>
      <c r="F40" s="14">
        <v>2946.46646965875</v>
      </c>
      <c r="G40" s="14">
        <v>0</v>
      </c>
      <c r="H40" s="14">
        <v>10.3847222222222</v>
      </c>
      <c r="I40" s="14">
        <v>2.45500009755293</v>
      </c>
      <c r="J40" s="20"/>
      <c r="K40" s="1"/>
    </row>
    <row r="41" spans="10:10">
      <c r="J41" s="20"/>
    </row>
    <row r="51" spans="3:9">
      <c r="C51" s="19"/>
      <c r="D51" s="19"/>
      <c r="E51" s="19"/>
      <c r="F51" s="19"/>
      <c r="G51" s="19"/>
      <c r="H51" s="19"/>
      <c r="I51" s="19"/>
    </row>
  </sheetData>
  <customSheetViews>
    <customSheetView guid="{3590B4C8-3408-4C22-A182-96D6E61B41FC}" showPageBreaks="1" fitToPage="1" printArea="1">
      <selection activeCell="K8" sqref="K8"/>
      <pageMargins left="0.7" right="0.7" top="0.75" bottom="0.75" header="0.3" footer="0.3"/>
      <pageSetup paperSize="1" scale="83" orientation="portrait"/>
      <headerFooter/>
    </customSheetView>
    <customSheetView guid="{031350E9-2A5A-48A9-8BCD-85E50999C522}" fitToPage="1">
      <selection activeCell="K8" sqref="K8"/>
      <pageMargins left="0.7" right="0.7" top="0.75" bottom="0.75" header="0.3" footer="0.3"/>
      <pageSetup paperSize="1" scale="83" orientation="portrait"/>
      <headerFooter/>
    </customSheetView>
    <customSheetView guid="{8BDDDDA7-D938-494A-80FC-9A81AD854C12}" fitToPage="1">
      <selection activeCell="K8" sqref="K8"/>
      <pageMargins left="0.7" right="0.7" top="0.75" bottom="0.75" header="0.3" footer="0.3"/>
      <pageSetup paperSize="1" scale="83" orientation="portrait"/>
      <headerFooter/>
    </customSheetView>
  </customSheetViews>
  <pageMargins left="0.7" right="0.7" top="0.75" bottom="0.75" header="0.3" footer="0.3"/>
  <pageSetup paperSize="1" scale="83" orientation="portrait"/>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7:J22"/>
  <sheetViews>
    <sheetView workbookViewId="0">
      <selection activeCell="J32" sqref="J32"/>
    </sheetView>
  </sheetViews>
  <sheetFormatPr defaultColWidth="9" defaultRowHeight="13.2"/>
  <sheetData>
    <row r="7" spans="3:3">
      <c r="C7" s="3" t="s">
        <v>12035</v>
      </c>
    </row>
    <row r="8" spans="3:3">
      <c r="C8" s="3" t="s">
        <v>12036</v>
      </c>
    </row>
    <row r="9" spans="10:10">
      <c r="J9" s="1" t="s">
        <v>12037</v>
      </c>
    </row>
    <row r="10" spans="10:10">
      <c r="J10" s="1" t="s">
        <v>12038</v>
      </c>
    </row>
    <row r="11" spans="3:3">
      <c r="C11" s="3" t="s">
        <v>12039</v>
      </c>
    </row>
    <row r="18" spans="1:1">
      <c r="A18" s="1" t="s">
        <v>12040</v>
      </c>
    </row>
    <row r="19" spans="2:2">
      <c r="B19" s="266" t="s">
        <v>12041</v>
      </c>
    </row>
    <row r="22" spans="1:1">
      <c r="A22" s="1" t="s">
        <v>12042</v>
      </c>
    </row>
  </sheetData>
  <pageMargins left="0.7" right="0.7" top="0.75" bottom="0.75" header="0.3" footer="0.3"/>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4:E8"/>
  <sheetViews>
    <sheetView workbookViewId="0">
      <selection activeCell="B8" sqref="B8"/>
    </sheetView>
  </sheetViews>
  <sheetFormatPr defaultColWidth="9" defaultRowHeight="13.2" outlineLevelRow="7" outlineLevelCol="4"/>
  <cols>
    <col min="5" max="5" width="13" customWidth="1"/>
  </cols>
  <sheetData>
    <row r="4" spans="1:1">
      <c r="A4" s="1" t="s">
        <v>12043</v>
      </c>
    </row>
    <row r="5" spans="3:5">
      <c r="C5" s="1" t="s">
        <v>12044</v>
      </c>
      <c r="D5" s="1" t="s">
        <v>12045</v>
      </c>
      <c r="E5" s="1" t="s">
        <v>12046</v>
      </c>
    </row>
    <row r="6" spans="2:4">
      <c r="B6" s="1" t="s">
        <v>12047</v>
      </c>
      <c r="C6" s="2" t="s">
        <v>12048</v>
      </c>
      <c r="D6" s="1" t="s">
        <v>12049</v>
      </c>
    </row>
    <row r="7" spans="2:4">
      <c r="B7" s="1" t="s">
        <v>12050</v>
      </c>
      <c r="C7" s="2" t="s">
        <v>12048</v>
      </c>
      <c r="D7" s="1" t="s">
        <v>12049</v>
      </c>
    </row>
    <row r="8" spans="2:4">
      <c r="B8" s="1" t="s">
        <v>12051</v>
      </c>
      <c r="C8" s="1" t="s">
        <v>12049</v>
      </c>
      <c r="D8" s="1" t="s">
        <v>12049</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Company>InterPlant Consulting Inc.</Company>
  <Application>Microsoft Excel</Application>
  <HeadingPairs>
    <vt:vector size="2" baseType="variant">
      <vt:variant>
        <vt:lpstr>工作表</vt:lpstr>
      </vt:variant>
      <vt:variant>
        <vt:i4>26</vt:i4>
      </vt:variant>
    </vt:vector>
  </HeadingPairs>
  <TitlesOfParts>
    <vt:vector size="26" baseType="lpstr">
      <vt:lpstr>Phd Host</vt:lpstr>
      <vt:lpstr>ODBC_Module</vt:lpstr>
      <vt:lpstr>PHD_Core</vt:lpstr>
      <vt:lpstr>DwayTagList</vt:lpstr>
      <vt:lpstr>Auto_Module</vt:lpstr>
      <vt:lpstr>Scratch</vt:lpstr>
      <vt:lpstr>ODBC_Globals</vt:lpstr>
      <vt:lpstr>Convert_Module</vt:lpstr>
      <vt:lpstr>Convert_Dialog</vt:lpstr>
      <vt:lpstr>Production</vt:lpstr>
      <vt:lpstr>Happy Path</vt:lpstr>
      <vt:lpstr>Sheet5</vt:lpstr>
      <vt:lpstr>Transformation Logic</vt:lpstr>
      <vt:lpstr>Sheet2</vt:lpstr>
      <vt:lpstr>Sheet1</vt:lpstr>
      <vt:lpstr>Extract Data</vt:lpstr>
      <vt:lpstr>Sheet4</vt:lpstr>
      <vt:lpstr>Data Sheet</vt:lpstr>
      <vt:lpstr>Tag List</vt:lpstr>
      <vt:lpstr>TagList_Module</vt:lpstr>
      <vt:lpstr>Phd Login</vt:lpstr>
      <vt:lpstr>Taglist</vt:lpstr>
      <vt:lpstr>Fall Time Change Data</vt:lpstr>
      <vt:lpstr>Spring Time Change Data</vt:lpstr>
      <vt:lpstr>Tk58</vt:lpstr>
      <vt:lpstr>Var Rpt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TRAINING1</dc:creator>
  <cp:lastModifiedBy>cbodie</cp:lastModifiedBy>
  <dcterms:created xsi:type="dcterms:W3CDTF">1996-11-07T16:16:00Z</dcterms:created>
  <cp:lastPrinted>2012-12-03T15:38:00Z</cp:lastPrinted>
  <dcterms:modified xsi:type="dcterms:W3CDTF">2021-04-12T21:49:39Z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1033-11.2.0.10101</vt:lpwstr>
  </property>
</Properties>
</file>